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G:\Mi unidad\Pagina yams\"/>
    </mc:Choice>
  </mc:AlternateContent>
  <xr:revisionPtr revIDLastSave="0" documentId="8_{09755647-5A0D-4341-A3C9-E6E3D206B4B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inventario llegada" sheetId="1" r:id="rId1"/>
    <sheet name="INVENTARIO" sheetId="5" r:id="rId2"/>
    <sheet name="SALIDAS" sheetId="6" r:id="rId3"/>
    <sheet name="ENTRADA" sheetId="7" r:id="rId4"/>
    <sheet name="BUSCADOR" sheetId="9" r:id="rId5"/>
    <sheet name="GENERADOR" sheetId="10" r:id="rId6"/>
    <sheet name="Hoja1" sheetId="11" r:id="rId7"/>
  </sheets>
  <externalReferences>
    <externalReference r:id="rId8"/>
    <externalReference r:id="rId9"/>
  </externalReferences>
  <definedNames>
    <definedName name="_xlnm.Print_Area" localSheetId="5">GENERADOR!$B$2:$AD$131</definedName>
    <definedName name="CODI">Inventari_2[[#Headers],[#Data],[CODIGO]]</definedName>
    <definedName name="DESCRIP">Inventari_2[[#Headers],[#Data],[DESCRIPCION]]</definedName>
    <definedName name="TAX">'[1]Bid Tabulation'!$E$158</definedName>
    <definedName name="Type">'[2]Maintenance Work Order'!#REF!</definedName>
    <definedName name="valHighlight">'inventario llegada'!#REF!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4" i="5" l="1"/>
  <c r="E295" i="5"/>
  <c r="E296" i="5"/>
  <c r="E297" i="5"/>
  <c r="E298" i="5"/>
  <c r="E299" i="5"/>
  <c r="E300" i="5"/>
  <c r="E301" i="5"/>
  <c r="E302" i="5"/>
  <c r="E303" i="5"/>
  <c r="E304" i="5"/>
  <c r="E305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G354" i="1"/>
  <c r="D141" i="6"/>
  <c r="D140" i="6"/>
  <c r="D139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H94" i="6"/>
  <c r="D90" i="6"/>
  <c r="H84" i="6"/>
  <c r="H89" i="6"/>
  <c r="H116" i="6"/>
  <c r="H120" i="6"/>
  <c r="H151" i="6"/>
  <c r="H173" i="6"/>
  <c r="H178" i="6"/>
  <c r="H193" i="6"/>
  <c r="H199" i="6"/>
  <c r="H202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E226" i="5"/>
  <c r="F226" i="5"/>
  <c r="E227" i="5"/>
  <c r="F227" i="5"/>
  <c r="E228" i="5"/>
  <c r="F228" i="5"/>
  <c r="E229" i="5"/>
  <c r="F229" i="5"/>
  <c r="E230" i="5"/>
  <c r="F230" i="5"/>
  <c r="G230" i="5" s="1"/>
  <c r="D5" i="7"/>
  <c r="D4" i="7"/>
  <c r="I266" i="1"/>
  <c r="I267" i="1"/>
  <c r="J267" i="1" s="1"/>
  <c r="I268" i="1"/>
  <c r="I269" i="1"/>
  <c r="J271" i="1"/>
  <c r="I275" i="1"/>
  <c r="J277" i="1"/>
  <c r="K277" i="1" s="1"/>
  <c r="J283" i="1"/>
  <c r="K283" i="1" s="1"/>
  <c r="J289" i="1"/>
  <c r="K289" i="1" s="1"/>
  <c r="I290" i="1"/>
  <c r="H220" i="5" s="1"/>
  <c r="F117" i="6" s="1"/>
  <c r="G117" i="6" s="1"/>
  <c r="J295" i="1"/>
  <c r="K295" i="1" s="1"/>
  <c r="J301" i="1"/>
  <c r="K301" i="1" s="1"/>
  <c r="J307" i="1"/>
  <c r="K307" i="1" s="1"/>
  <c r="J313" i="1"/>
  <c r="K313" i="1" s="1"/>
  <c r="J319" i="1"/>
  <c r="J325" i="1"/>
  <c r="K325" i="1" s="1"/>
  <c r="I330" i="1"/>
  <c r="J331" i="1"/>
  <c r="K331" i="1" s="1"/>
  <c r="I332" i="1"/>
  <c r="H267" i="5" s="1"/>
  <c r="J337" i="1"/>
  <c r="K337" i="1" s="1"/>
  <c r="J343" i="1"/>
  <c r="K343" i="1" s="1"/>
  <c r="I347" i="1"/>
  <c r="H284" i="5" s="1"/>
  <c r="J349" i="1"/>
  <c r="K349" i="1" s="1"/>
  <c r="J355" i="1"/>
  <c r="K355" i="1" s="1"/>
  <c r="I356" i="1"/>
  <c r="J361" i="1"/>
  <c r="K361" i="1" s="1"/>
  <c r="J367" i="1"/>
  <c r="K367" i="1" s="1"/>
  <c r="I369" i="1"/>
  <c r="I370" i="1"/>
  <c r="I371" i="1"/>
  <c r="I372" i="1"/>
  <c r="I373" i="1"/>
  <c r="I374" i="1"/>
  <c r="I375" i="1"/>
  <c r="I376" i="1"/>
  <c r="I377" i="1"/>
  <c r="I378" i="1"/>
  <c r="I379" i="1"/>
  <c r="J379" i="1" s="1"/>
  <c r="K379" i="1" s="1"/>
  <c r="I380" i="1"/>
  <c r="I381" i="1"/>
  <c r="J381" i="1" s="1"/>
  <c r="K381" i="1" s="1"/>
  <c r="I382" i="1"/>
  <c r="I383" i="1"/>
  <c r="I384" i="1"/>
  <c r="I385" i="1"/>
  <c r="J385" i="1" s="1"/>
  <c r="K385" i="1" s="1"/>
  <c r="I386" i="1"/>
  <c r="I387" i="1"/>
  <c r="I388" i="1"/>
  <c r="I389" i="1"/>
  <c r="I390" i="1"/>
  <c r="I391" i="1"/>
  <c r="J391" i="1" s="1"/>
  <c r="K391" i="1" s="1"/>
  <c r="I392" i="1"/>
  <c r="I393" i="1"/>
  <c r="I394" i="1"/>
  <c r="I395" i="1"/>
  <c r="I396" i="1"/>
  <c r="I397" i="1"/>
  <c r="J397" i="1" s="1"/>
  <c r="K397" i="1" s="1"/>
  <c r="I398" i="1"/>
  <c r="I399" i="1"/>
  <c r="J399" i="1" s="1"/>
  <c r="K399" i="1" s="1"/>
  <c r="I400" i="1"/>
  <c r="I401" i="1"/>
  <c r="I402" i="1"/>
  <c r="I403" i="1"/>
  <c r="J403" i="1" s="1"/>
  <c r="K403" i="1" s="1"/>
  <c r="I404" i="1"/>
  <c r="I405" i="1"/>
  <c r="I406" i="1"/>
  <c r="I407" i="1"/>
  <c r="I408" i="1"/>
  <c r="I409" i="1"/>
  <c r="J409" i="1" s="1"/>
  <c r="K409" i="1" s="1"/>
  <c r="I410" i="1"/>
  <c r="I411" i="1"/>
  <c r="I412" i="1"/>
  <c r="I413" i="1"/>
  <c r="I414" i="1"/>
  <c r="I415" i="1"/>
  <c r="J415" i="1" s="1"/>
  <c r="K415" i="1" s="1"/>
  <c r="I416" i="1"/>
  <c r="I417" i="1"/>
  <c r="J417" i="1" s="1"/>
  <c r="K417" i="1" s="1"/>
  <c r="I418" i="1"/>
  <c r="I419" i="1"/>
  <c r="I420" i="1"/>
  <c r="I421" i="1"/>
  <c r="J421" i="1" s="1"/>
  <c r="K421" i="1" s="1"/>
  <c r="I422" i="1"/>
  <c r="I423" i="1"/>
  <c r="I424" i="1"/>
  <c r="I425" i="1"/>
  <c r="I426" i="1"/>
  <c r="I427" i="1"/>
  <c r="J427" i="1" s="1"/>
  <c r="K427" i="1" s="1"/>
  <c r="I428" i="1"/>
  <c r="I429" i="1"/>
  <c r="I430" i="1"/>
  <c r="I431" i="1"/>
  <c r="I432" i="1"/>
  <c r="I433" i="1"/>
  <c r="J433" i="1" s="1"/>
  <c r="K433" i="1" s="1"/>
  <c r="I434" i="1"/>
  <c r="I435" i="1"/>
  <c r="J435" i="1" s="1"/>
  <c r="K435" i="1" s="1"/>
  <c r="I436" i="1"/>
  <c r="I437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H189" i="5"/>
  <c r="F23" i="6" s="1"/>
  <c r="J58" i="1"/>
  <c r="H3" i="6" s="1"/>
  <c r="J21" i="1"/>
  <c r="H121" i="6" s="1"/>
  <c r="H4" i="6"/>
  <c r="J254" i="1"/>
  <c r="K254" i="1" s="1"/>
  <c r="J237" i="1"/>
  <c r="J77" i="1"/>
  <c r="H8" i="6" s="1"/>
  <c r="J13" i="1"/>
  <c r="H9" i="6" s="1"/>
  <c r="J48" i="1"/>
  <c r="H83" i="6" s="1"/>
  <c r="H10" i="6"/>
  <c r="H11" i="6"/>
  <c r="J188" i="1"/>
  <c r="J22" i="1"/>
  <c r="H13" i="6" s="1"/>
  <c r="J49" i="1"/>
  <c r="H14" i="6"/>
  <c r="J92" i="1"/>
  <c r="H15" i="6" s="1"/>
  <c r="J244" i="1"/>
  <c r="H16" i="6" s="1"/>
  <c r="J33" i="1"/>
  <c r="H18" i="6" s="1"/>
  <c r="H29" i="6"/>
  <c r="H31" i="6"/>
  <c r="H33" i="6"/>
  <c r="H43" i="6"/>
  <c r="H46" i="6"/>
  <c r="H48" i="6"/>
  <c r="H49" i="6"/>
  <c r="H64" i="6"/>
  <c r="H67" i="6"/>
  <c r="H70" i="6"/>
  <c r="H77" i="6"/>
  <c r="E174" i="5"/>
  <c r="H174" i="5"/>
  <c r="F85" i="6" s="1"/>
  <c r="G85" i="6" s="1"/>
  <c r="I174" i="5"/>
  <c r="J174" i="5"/>
  <c r="E70" i="5"/>
  <c r="H70" i="5"/>
  <c r="I70" i="5"/>
  <c r="J70" i="5" s="1"/>
  <c r="E35" i="5"/>
  <c r="H35" i="5"/>
  <c r="I35" i="5"/>
  <c r="J35" i="5" s="1"/>
  <c r="E33" i="5"/>
  <c r="H33" i="5"/>
  <c r="F60" i="6" s="1"/>
  <c r="G60" i="6" s="1"/>
  <c r="I33" i="5"/>
  <c r="J33" i="5" s="1"/>
  <c r="E34" i="5"/>
  <c r="H34" i="5"/>
  <c r="I34" i="5"/>
  <c r="J34" i="5" s="1"/>
  <c r="H132" i="5"/>
  <c r="H193" i="5"/>
  <c r="H120" i="5"/>
  <c r="F156" i="6" s="1"/>
  <c r="G156" i="6" s="1"/>
  <c r="H116" i="5"/>
  <c r="H17" i="5"/>
  <c r="H18" i="5"/>
  <c r="H188" i="5"/>
  <c r="H199" i="5"/>
  <c r="H200" i="5"/>
  <c r="F154" i="6" s="1"/>
  <c r="G154" i="6" s="1"/>
  <c r="H201" i="5"/>
  <c r="H202" i="5"/>
  <c r="H203" i="5"/>
  <c r="F196" i="6" s="1"/>
  <c r="G196" i="6" s="1"/>
  <c r="H204" i="5"/>
  <c r="H205" i="5"/>
  <c r="H206" i="5"/>
  <c r="H207" i="5"/>
  <c r="H208" i="5"/>
  <c r="H209" i="5"/>
  <c r="F109" i="6" s="1"/>
  <c r="G109" i="6" s="1"/>
  <c r="H210" i="5"/>
  <c r="H211" i="5"/>
  <c r="H212" i="5"/>
  <c r="H213" i="5"/>
  <c r="F198" i="6" s="1"/>
  <c r="G198" i="6" s="1"/>
  <c r="H214" i="5"/>
  <c r="F159" i="6" s="1"/>
  <c r="G159" i="6" s="1"/>
  <c r="H215" i="5"/>
  <c r="F192" i="6" s="1"/>
  <c r="G192" i="6" s="1"/>
  <c r="H216" i="5"/>
  <c r="H217" i="5"/>
  <c r="F149" i="6" s="1"/>
  <c r="G149" i="6" s="1"/>
  <c r="H218" i="5"/>
  <c r="F111" i="6" s="1"/>
  <c r="G111" i="6" s="1"/>
  <c r="H219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F176" i="6" s="1"/>
  <c r="G176" i="6" s="1"/>
  <c r="H234" i="5"/>
  <c r="H235" i="5"/>
  <c r="H236" i="5"/>
  <c r="F179" i="6" s="1"/>
  <c r="G179" i="6" s="1"/>
  <c r="H237" i="5"/>
  <c r="F122" i="6" s="1"/>
  <c r="G122" i="6" s="1"/>
  <c r="H238" i="5"/>
  <c r="F162" i="6" s="1"/>
  <c r="G162" i="6" s="1"/>
  <c r="H239" i="5"/>
  <c r="F132" i="6" s="1"/>
  <c r="G132" i="6" s="1"/>
  <c r="H240" i="5"/>
  <c r="F191" i="6" s="1"/>
  <c r="G191" i="6" s="1"/>
  <c r="H241" i="5"/>
  <c r="F128" i="6" s="1"/>
  <c r="G128" i="6" s="1"/>
  <c r="H242" i="5"/>
  <c r="H243" i="5"/>
  <c r="H244" i="5"/>
  <c r="H245" i="5"/>
  <c r="H246" i="5"/>
  <c r="F144" i="6" s="1"/>
  <c r="G144" i="6" s="1"/>
  <c r="H247" i="5"/>
  <c r="H248" i="5"/>
  <c r="H249" i="5"/>
  <c r="H250" i="5"/>
  <c r="H251" i="5"/>
  <c r="F147" i="6" s="1"/>
  <c r="G147" i="6" s="1"/>
  <c r="H252" i="5"/>
  <c r="F146" i="6" s="1"/>
  <c r="G146" i="6" s="1"/>
  <c r="H253" i="5"/>
  <c r="H254" i="5"/>
  <c r="H255" i="5"/>
  <c r="H256" i="5"/>
  <c r="F137" i="6" s="1"/>
  <c r="G137" i="6" s="1"/>
  <c r="H257" i="5"/>
  <c r="F182" i="6" s="1"/>
  <c r="G182" i="6" s="1"/>
  <c r="H258" i="5"/>
  <c r="H259" i="5"/>
  <c r="H260" i="5"/>
  <c r="H261" i="5"/>
  <c r="H262" i="5"/>
  <c r="H263" i="5"/>
  <c r="H264" i="5"/>
  <c r="H265" i="5"/>
  <c r="H266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5" i="5"/>
  <c r="H286" i="5"/>
  <c r="H287" i="5"/>
  <c r="H288" i="5"/>
  <c r="H289" i="5"/>
  <c r="H290" i="5"/>
  <c r="H291" i="5"/>
  <c r="H292" i="5"/>
  <c r="H293" i="5"/>
  <c r="E102" i="5"/>
  <c r="H102" i="5"/>
  <c r="F20" i="6" s="1"/>
  <c r="G20" i="6" s="1"/>
  <c r="I102" i="5"/>
  <c r="J102" i="5"/>
  <c r="F102" i="5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D3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I19" i="5"/>
  <c r="J19" i="5"/>
  <c r="H40" i="5"/>
  <c r="F10" i="6" s="1"/>
  <c r="G10" i="6" s="1"/>
  <c r="H161" i="5"/>
  <c r="F22" i="6" s="1"/>
  <c r="G22" i="6" s="1"/>
  <c r="H122" i="5"/>
  <c r="F40" i="6"/>
  <c r="G40" i="6" s="1"/>
  <c r="F70" i="6"/>
  <c r="G70" i="6" s="1"/>
  <c r="F202" i="6"/>
  <c r="G202" i="6" s="1"/>
  <c r="F208" i="6"/>
  <c r="G208" i="6" s="1"/>
  <c r="F214" i="6"/>
  <c r="G214" i="6" s="1"/>
  <c r="F232" i="6"/>
  <c r="G232" i="6" s="1"/>
  <c r="F238" i="6"/>
  <c r="G238" i="6" s="1"/>
  <c r="F244" i="6"/>
  <c r="G244" i="6" s="1"/>
  <c r="F364" i="6"/>
  <c r="G364" i="6" s="1"/>
  <c r="F370" i="6"/>
  <c r="G370" i="6" s="1"/>
  <c r="F376" i="6"/>
  <c r="G376" i="6" s="1"/>
  <c r="F382" i="6"/>
  <c r="G382" i="6" s="1"/>
  <c r="F388" i="6"/>
  <c r="G388" i="6" s="1"/>
  <c r="F394" i="6"/>
  <c r="G394" i="6" s="1"/>
  <c r="F400" i="6"/>
  <c r="G400" i="6" s="1"/>
  <c r="F406" i="6"/>
  <c r="G406" i="6" s="1"/>
  <c r="F412" i="6"/>
  <c r="G412" i="6" s="1"/>
  <c r="F418" i="6"/>
  <c r="G418" i="6" s="1"/>
  <c r="F424" i="6"/>
  <c r="G424" i="6" s="1"/>
  <c r="F430" i="6"/>
  <c r="G430" i="6" s="1"/>
  <c r="F436" i="6"/>
  <c r="G436" i="6" s="1"/>
  <c r="F442" i="6"/>
  <c r="G442" i="6" s="1"/>
  <c r="F448" i="6"/>
  <c r="G448" i="6" s="1"/>
  <c r="F454" i="6"/>
  <c r="G454" i="6" s="1"/>
  <c r="F460" i="6"/>
  <c r="G460" i="6" s="1"/>
  <c r="F466" i="6"/>
  <c r="G466" i="6" s="1"/>
  <c r="F472" i="6"/>
  <c r="G472" i="6" s="1"/>
  <c r="F478" i="6"/>
  <c r="G478" i="6" s="1"/>
  <c r="F484" i="6"/>
  <c r="G484" i="6" s="1"/>
  <c r="F490" i="6"/>
  <c r="G490" i="6" s="1"/>
  <c r="F496" i="6"/>
  <c r="G496" i="6" s="1"/>
  <c r="F502" i="6"/>
  <c r="G502" i="6" s="1"/>
  <c r="F508" i="6"/>
  <c r="G508" i="6" s="1"/>
  <c r="F514" i="6"/>
  <c r="G514" i="6" s="1"/>
  <c r="F520" i="6"/>
  <c r="G520" i="6" s="1"/>
  <c r="F526" i="6"/>
  <c r="G526" i="6" s="1"/>
  <c r="F532" i="6"/>
  <c r="G532" i="6" s="1"/>
  <c r="F544" i="6"/>
  <c r="G544" i="6" s="1"/>
  <c r="F550" i="6"/>
  <c r="G550" i="6" s="1"/>
  <c r="F556" i="6"/>
  <c r="G556" i="6" s="1"/>
  <c r="F562" i="6"/>
  <c r="G562" i="6" s="1"/>
  <c r="F580" i="6"/>
  <c r="G580" i="6" s="1"/>
  <c r="F586" i="6"/>
  <c r="G586" i="6" s="1"/>
  <c r="F592" i="6"/>
  <c r="G592" i="6" s="1"/>
  <c r="F604" i="6"/>
  <c r="G604" i="6" s="1"/>
  <c r="F616" i="6"/>
  <c r="G616" i="6" s="1"/>
  <c r="F622" i="6"/>
  <c r="G622" i="6" s="1"/>
  <c r="F628" i="6"/>
  <c r="G628" i="6" s="1"/>
  <c r="F634" i="6"/>
  <c r="G634" i="6" s="1"/>
  <c r="F640" i="6"/>
  <c r="G640" i="6" s="1"/>
  <c r="F652" i="6"/>
  <c r="G652" i="6" s="1"/>
  <c r="F658" i="6"/>
  <c r="G658" i="6" s="1"/>
  <c r="F664" i="6"/>
  <c r="G664" i="6" s="1"/>
  <c r="F676" i="6"/>
  <c r="G676" i="6" s="1"/>
  <c r="F688" i="6"/>
  <c r="G688" i="6" s="1"/>
  <c r="F700" i="6"/>
  <c r="G700" i="6" s="1"/>
  <c r="F706" i="6"/>
  <c r="G706" i="6" s="1"/>
  <c r="F712" i="6"/>
  <c r="G712" i="6" s="1"/>
  <c r="F724" i="6"/>
  <c r="G724" i="6" s="1"/>
  <c r="F730" i="6"/>
  <c r="G730" i="6" s="1"/>
  <c r="F736" i="6"/>
  <c r="G736" i="6" s="1"/>
  <c r="F742" i="6"/>
  <c r="G742" i="6" s="1"/>
  <c r="F748" i="6"/>
  <c r="G748" i="6" s="1"/>
  <c r="F760" i="6"/>
  <c r="G760" i="6" s="1"/>
  <c r="F766" i="6"/>
  <c r="G766" i="6" s="1"/>
  <c r="F772" i="6"/>
  <c r="G772" i="6" s="1"/>
  <c r="F778" i="6"/>
  <c r="G778" i="6" s="1"/>
  <c r="H15" i="5"/>
  <c r="F11" i="6" s="1"/>
  <c r="G11" i="6" s="1"/>
  <c r="H181" i="5"/>
  <c r="F17" i="6" s="1"/>
  <c r="G17" i="6" s="1"/>
  <c r="H25" i="5"/>
  <c r="F18" i="6" s="1"/>
  <c r="G18" i="6" s="1"/>
  <c r="H125" i="5"/>
  <c r="F25" i="6" s="1"/>
  <c r="G25" i="6" s="1"/>
  <c r="F31" i="6"/>
  <c r="G31" i="6" s="1"/>
  <c r="H42" i="5"/>
  <c r="F35" i="6" s="1"/>
  <c r="G35" i="6" s="1"/>
  <c r="H159" i="5"/>
  <c r="F36" i="6" s="1"/>
  <c r="G36" i="6" s="1"/>
  <c r="H100" i="5"/>
  <c r="F62" i="6" s="1"/>
  <c r="G62" i="6" s="1"/>
  <c r="H136" i="5"/>
  <c r="F38" i="6" s="1"/>
  <c r="G38" i="6" s="1"/>
  <c r="F41" i="6"/>
  <c r="G41" i="6" s="1"/>
  <c r="H29" i="5"/>
  <c r="G42" i="6"/>
  <c r="H41" i="5"/>
  <c r="F43" i="6" s="1"/>
  <c r="G43" i="6" s="1"/>
  <c r="H11" i="5"/>
  <c r="F44" i="6" s="1"/>
  <c r="G44" i="6" s="1"/>
  <c r="F63" i="6"/>
  <c r="G63" i="6" s="1"/>
  <c r="F65" i="6"/>
  <c r="G65" i="6" s="1"/>
  <c r="F77" i="6"/>
  <c r="G77" i="6" s="1"/>
  <c r="G80" i="6"/>
  <c r="F89" i="6"/>
  <c r="G89" i="6" s="1"/>
  <c r="F116" i="6"/>
  <c r="G116" i="6" s="1"/>
  <c r="F151" i="6"/>
  <c r="G151" i="6" s="1"/>
  <c r="F173" i="6"/>
  <c r="G173" i="6" s="1"/>
  <c r="F206" i="6"/>
  <c r="G206" i="6" s="1"/>
  <c r="F207" i="6"/>
  <c r="G207" i="6" s="1"/>
  <c r="F209" i="6"/>
  <c r="G209" i="6" s="1"/>
  <c r="F210" i="6"/>
  <c r="G210" i="6" s="1"/>
  <c r="F211" i="6"/>
  <c r="G211" i="6" s="1"/>
  <c r="F212" i="6"/>
  <c r="G212" i="6" s="1"/>
  <c r="F213" i="6"/>
  <c r="G213" i="6" s="1"/>
  <c r="F215" i="6"/>
  <c r="G215" i="6" s="1"/>
  <c r="F216" i="6"/>
  <c r="G216" i="6" s="1"/>
  <c r="F217" i="6"/>
  <c r="G217" i="6" s="1"/>
  <c r="F218" i="6"/>
  <c r="G218" i="6" s="1"/>
  <c r="F222" i="6"/>
  <c r="G222" i="6" s="1"/>
  <c r="F223" i="6"/>
  <c r="G223" i="6" s="1"/>
  <c r="F224" i="6"/>
  <c r="G224" i="6" s="1"/>
  <c r="F231" i="6"/>
  <c r="G231" i="6" s="1"/>
  <c r="F233" i="6"/>
  <c r="G233" i="6" s="1"/>
  <c r="F234" i="6"/>
  <c r="G234" i="6" s="1"/>
  <c r="F235" i="6"/>
  <c r="G235" i="6" s="1"/>
  <c r="F236" i="6"/>
  <c r="G236" i="6" s="1"/>
  <c r="F237" i="6"/>
  <c r="G237" i="6" s="1"/>
  <c r="F239" i="6"/>
  <c r="G239" i="6" s="1"/>
  <c r="F240" i="6"/>
  <c r="G240" i="6" s="1"/>
  <c r="F241" i="6"/>
  <c r="G241" i="6" s="1"/>
  <c r="F243" i="6"/>
  <c r="G243" i="6" s="1"/>
  <c r="F246" i="6"/>
  <c r="G246" i="6" s="1"/>
  <c r="F247" i="6"/>
  <c r="G247" i="6" s="1"/>
  <c r="F248" i="6"/>
  <c r="G248" i="6" s="1"/>
  <c r="F265" i="6"/>
  <c r="G265" i="6" s="1"/>
  <c r="F356" i="6"/>
  <c r="G356" i="6" s="1"/>
  <c r="F362" i="6"/>
  <c r="G362" i="6" s="1"/>
  <c r="F363" i="6"/>
  <c r="G363" i="6" s="1"/>
  <c r="F365" i="6"/>
  <c r="G365" i="6" s="1"/>
  <c r="F366" i="6"/>
  <c r="G366" i="6" s="1"/>
  <c r="F367" i="6"/>
  <c r="G367" i="6" s="1"/>
  <c r="F368" i="6"/>
  <c r="G368" i="6" s="1"/>
  <c r="F369" i="6"/>
  <c r="G369" i="6" s="1"/>
  <c r="F371" i="6"/>
  <c r="G371" i="6" s="1"/>
  <c r="F372" i="6"/>
  <c r="G372" i="6" s="1"/>
  <c r="F373" i="6"/>
  <c r="G373" i="6" s="1"/>
  <c r="F374" i="6"/>
  <c r="G374" i="6" s="1"/>
  <c r="F375" i="6"/>
  <c r="G375" i="6" s="1"/>
  <c r="F377" i="6"/>
  <c r="G377" i="6" s="1"/>
  <c r="F378" i="6"/>
  <c r="G378" i="6" s="1"/>
  <c r="F379" i="6"/>
  <c r="G379" i="6" s="1"/>
  <c r="F380" i="6"/>
  <c r="G380" i="6" s="1"/>
  <c r="F381" i="6"/>
  <c r="G381" i="6" s="1"/>
  <c r="F383" i="6"/>
  <c r="G383" i="6" s="1"/>
  <c r="F384" i="6"/>
  <c r="G384" i="6" s="1"/>
  <c r="F385" i="6"/>
  <c r="G385" i="6" s="1"/>
  <c r="F386" i="6"/>
  <c r="G386" i="6" s="1"/>
  <c r="F387" i="6"/>
  <c r="G387" i="6" s="1"/>
  <c r="F389" i="6"/>
  <c r="G389" i="6" s="1"/>
  <c r="F390" i="6"/>
  <c r="G390" i="6" s="1"/>
  <c r="F391" i="6"/>
  <c r="G391" i="6" s="1"/>
  <c r="F392" i="6"/>
  <c r="G392" i="6" s="1"/>
  <c r="F393" i="6"/>
  <c r="G393" i="6" s="1"/>
  <c r="F395" i="6"/>
  <c r="G395" i="6" s="1"/>
  <c r="F396" i="6"/>
  <c r="G396" i="6" s="1"/>
  <c r="F397" i="6"/>
  <c r="G397" i="6" s="1"/>
  <c r="F398" i="6"/>
  <c r="G398" i="6" s="1"/>
  <c r="F399" i="6"/>
  <c r="G399" i="6" s="1"/>
  <c r="F401" i="6"/>
  <c r="G401" i="6" s="1"/>
  <c r="F402" i="6"/>
  <c r="G402" i="6" s="1"/>
  <c r="F403" i="6"/>
  <c r="G403" i="6" s="1"/>
  <c r="F404" i="6"/>
  <c r="G404" i="6" s="1"/>
  <c r="F405" i="6"/>
  <c r="G405" i="6" s="1"/>
  <c r="F407" i="6"/>
  <c r="G407" i="6" s="1"/>
  <c r="F408" i="6"/>
  <c r="G408" i="6" s="1"/>
  <c r="F409" i="6"/>
  <c r="G409" i="6" s="1"/>
  <c r="F410" i="6"/>
  <c r="G410" i="6" s="1"/>
  <c r="F411" i="6"/>
  <c r="G411" i="6" s="1"/>
  <c r="F413" i="6"/>
  <c r="G413" i="6" s="1"/>
  <c r="F414" i="6"/>
  <c r="G414" i="6" s="1"/>
  <c r="F415" i="6"/>
  <c r="G415" i="6" s="1"/>
  <c r="F416" i="6"/>
  <c r="G416" i="6" s="1"/>
  <c r="F417" i="6"/>
  <c r="G417" i="6" s="1"/>
  <c r="F419" i="6"/>
  <c r="G419" i="6" s="1"/>
  <c r="F420" i="6"/>
  <c r="G420" i="6" s="1"/>
  <c r="F421" i="6"/>
  <c r="G421" i="6" s="1"/>
  <c r="F422" i="6"/>
  <c r="G422" i="6" s="1"/>
  <c r="F423" i="6"/>
  <c r="G423" i="6" s="1"/>
  <c r="F425" i="6"/>
  <c r="G425" i="6" s="1"/>
  <c r="F426" i="6"/>
  <c r="G426" i="6" s="1"/>
  <c r="F427" i="6"/>
  <c r="G427" i="6" s="1"/>
  <c r="F428" i="6"/>
  <c r="G428" i="6" s="1"/>
  <c r="F429" i="6"/>
  <c r="G429" i="6" s="1"/>
  <c r="F431" i="6"/>
  <c r="G431" i="6" s="1"/>
  <c r="F432" i="6"/>
  <c r="G432" i="6" s="1"/>
  <c r="F433" i="6"/>
  <c r="G433" i="6" s="1"/>
  <c r="F434" i="6"/>
  <c r="G434" i="6" s="1"/>
  <c r="F435" i="6"/>
  <c r="G435" i="6" s="1"/>
  <c r="F437" i="6"/>
  <c r="G437" i="6" s="1"/>
  <c r="F438" i="6"/>
  <c r="G438" i="6" s="1"/>
  <c r="F439" i="6"/>
  <c r="G439" i="6" s="1"/>
  <c r="F440" i="6"/>
  <c r="G440" i="6" s="1"/>
  <c r="F441" i="6"/>
  <c r="G441" i="6" s="1"/>
  <c r="F443" i="6"/>
  <c r="G443" i="6" s="1"/>
  <c r="F444" i="6"/>
  <c r="G444" i="6" s="1"/>
  <c r="F445" i="6"/>
  <c r="G445" i="6" s="1"/>
  <c r="F446" i="6"/>
  <c r="G446" i="6" s="1"/>
  <c r="F447" i="6"/>
  <c r="G447" i="6" s="1"/>
  <c r="F449" i="6"/>
  <c r="G449" i="6" s="1"/>
  <c r="F450" i="6"/>
  <c r="G450" i="6" s="1"/>
  <c r="F451" i="6"/>
  <c r="G451" i="6" s="1"/>
  <c r="F452" i="6"/>
  <c r="G452" i="6" s="1"/>
  <c r="F453" i="6"/>
  <c r="G453" i="6" s="1"/>
  <c r="F455" i="6"/>
  <c r="G455" i="6" s="1"/>
  <c r="F456" i="6"/>
  <c r="G456" i="6" s="1"/>
  <c r="F457" i="6"/>
  <c r="G457" i="6" s="1"/>
  <c r="F458" i="6"/>
  <c r="G458" i="6" s="1"/>
  <c r="F459" i="6"/>
  <c r="G459" i="6" s="1"/>
  <c r="F461" i="6"/>
  <c r="G461" i="6" s="1"/>
  <c r="F462" i="6"/>
  <c r="G462" i="6" s="1"/>
  <c r="F463" i="6"/>
  <c r="G463" i="6" s="1"/>
  <c r="F464" i="6"/>
  <c r="G464" i="6" s="1"/>
  <c r="F465" i="6"/>
  <c r="G465" i="6" s="1"/>
  <c r="F467" i="6"/>
  <c r="G467" i="6" s="1"/>
  <c r="F468" i="6"/>
  <c r="G468" i="6" s="1"/>
  <c r="F469" i="6"/>
  <c r="G469" i="6" s="1"/>
  <c r="F470" i="6"/>
  <c r="G470" i="6" s="1"/>
  <c r="F471" i="6"/>
  <c r="G471" i="6" s="1"/>
  <c r="F473" i="6"/>
  <c r="G473" i="6" s="1"/>
  <c r="F474" i="6"/>
  <c r="G474" i="6" s="1"/>
  <c r="F475" i="6"/>
  <c r="G475" i="6" s="1"/>
  <c r="F476" i="6"/>
  <c r="G476" i="6" s="1"/>
  <c r="F477" i="6"/>
  <c r="G477" i="6" s="1"/>
  <c r="F479" i="6"/>
  <c r="G479" i="6" s="1"/>
  <c r="F480" i="6"/>
  <c r="G480" i="6" s="1"/>
  <c r="F481" i="6"/>
  <c r="G481" i="6" s="1"/>
  <c r="F482" i="6"/>
  <c r="G482" i="6" s="1"/>
  <c r="F483" i="6"/>
  <c r="G483" i="6" s="1"/>
  <c r="F485" i="6"/>
  <c r="G485" i="6" s="1"/>
  <c r="F486" i="6"/>
  <c r="G486" i="6" s="1"/>
  <c r="F487" i="6"/>
  <c r="G487" i="6" s="1"/>
  <c r="F488" i="6"/>
  <c r="G488" i="6" s="1"/>
  <c r="F489" i="6"/>
  <c r="G489" i="6" s="1"/>
  <c r="F491" i="6"/>
  <c r="G491" i="6" s="1"/>
  <c r="F492" i="6"/>
  <c r="G492" i="6" s="1"/>
  <c r="F493" i="6"/>
  <c r="G493" i="6" s="1"/>
  <c r="F494" i="6"/>
  <c r="G494" i="6" s="1"/>
  <c r="F495" i="6"/>
  <c r="G495" i="6" s="1"/>
  <c r="F497" i="6"/>
  <c r="G497" i="6" s="1"/>
  <c r="F498" i="6"/>
  <c r="G498" i="6" s="1"/>
  <c r="F499" i="6"/>
  <c r="G499" i="6" s="1"/>
  <c r="F500" i="6"/>
  <c r="G500" i="6" s="1"/>
  <c r="F501" i="6"/>
  <c r="G501" i="6" s="1"/>
  <c r="F503" i="6"/>
  <c r="G503" i="6" s="1"/>
  <c r="F504" i="6"/>
  <c r="G504" i="6" s="1"/>
  <c r="F505" i="6"/>
  <c r="G505" i="6" s="1"/>
  <c r="F506" i="6"/>
  <c r="G506" i="6" s="1"/>
  <c r="F507" i="6"/>
  <c r="G507" i="6" s="1"/>
  <c r="F509" i="6"/>
  <c r="G509" i="6" s="1"/>
  <c r="F510" i="6"/>
  <c r="G510" i="6" s="1"/>
  <c r="F511" i="6"/>
  <c r="G511" i="6" s="1"/>
  <c r="F512" i="6"/>
  <c r="G512" i="6" s="1"/>
  <c r="F513" i="6"/>
  <c r="G513" i="6" s="1"/>
  <c r="F515" i="6"/>
  <c r="G515" i="6" s="1"/>
  <c r="F516" i="6"/>
  <c r="G516" i="6" s="1"/>
  <c r="F517" i="6"/>
  <c r="G517" i="6" s="1"/>
  <c r="F518" i="6"/>
  <c r="G518" i="6" s="1"/>
  <c r="F519" i="6"/>
  <c r="G519" i="6" s="1"/>
  <c r="F521" i="6"/>
  <c r="G521" i="6" s="1"/>
  <c r="F522" i="6"/>
  <c r="G522" i="6" s="1"/>
  <c r="F523" i="6"/>
  <c r="G523" i="6" s="1"/>
  <c r="F524" i="6"/>
  <c r="G524" i="6" s="1"/>
  <c r="F525" i="6"/>
  <c r="G525" i="6" s="1"/>
  <c r="F527" i="6"/>
  <c r="G527" i="6" s="1"/>
  <c r="F528" i="6"/>
  <c r="G528" i="6" s="1"/>
  <c r="F529" i="6"/>
  <c r="G529" i="6" s="1"/>
  <c r="F530" i="6"/>
  <c r="G530" i="6" s="1"/>
  <c r="F531" i="6"/>
  <c r="G531" i="6" s="1"/>
  <c r="F533" i="6"/>
  <c r="G533" i="6" s="1"/>
  <c r="F534" i="6"/>
  <c r="G534" i="6" s="1"/>
  <c r="F535" i="6"/>
  <c r="G535" i="6" s="1"/>
  <c r="F536" i="6"/>
  <c r="G536" i="6" s="1"/>
  <c r="F537" i="6"/>
  <c r="G537" i="6" s="1"/>
  <c r="F539" i="6"/>
  <c r="G539" i="6" s="1"/>
  <c r="F540" i="6"/>
  <c r="G540" i="6" s="1"/>
  <c r="F541" i="6"/>
  <c r="G541" i="6" s="1"/>
  <c r="F542" i="6"/>
  <c r="G542" i="6" s="1"/>
  <c r="F543" i="6"/>
  <c r="G543" i="6" s="1"/>
  <c r="F545" i="6"/>
  <c r="G545" i="6" s="1"/>
  <c r="F546" i="6"/>
  <c r="G546" i="6" s="1"/>
  <c r="F547" i="6"/>
  <c r="G547" i="6" s="1"/>
  <c r="F548" i="6"/>
  <c r="G548" i="6" s="1"/>
  <c r="F549" i="6"/>
  <c r="G549" i="6" s="1"/>
  <c r="F551" i="6"/>
  <c r="G551" i="6" s="1"/>
  <c r="F552" i="6"/>
  <c r="G552" i="6" s="1"/>
  <c r="F553" i="6"/>
  <c r="G553" i="6" s="1"/>
  <c r="F554" i="6"/>
  <c r="G554" i="6" s="1"/>
  <c r="F555" i="6"/>
  <c r="G555" i="6" s="1"/>
  <c r="F557" i="6"/>
  <c r="G557" i="6" s="1"/>
  <c r="F558" i="6"/>
  <c r="G558" i="6" s="1"/>
  <c r="F559" i="6"/>
  <c r="G559" i="6" s="1"/>
  <c r="F560" i="6"/>
  <c r="G560" i="6" s="1"/>
  <c r="F561" i="6"/>
  <c r="G561" i="6" s="1"/>
  <c r="F563" i="6"/>
  <c r="G563" i="6" s="1"/>
  <c r="F564" i="6"/>
  <c r="G564" i="6" s="1"/>
  <c r="F565" i="6"/>
  <c r="G565" i="6" s="1"/>
  <c r="F566" i="6"/>
  <c r="G566" i="6" s="1"/>
  <c r="F567" i="6"/>
  <c r="G567" i="6" s="1"/>
  <c r="F569" i="6"/>
  <c r="G569" i="6" s="1"/>
  <c r="F570" i="6"/>
  <c r="G570" i="6" s="1"/>
  <c r="F571" i="6"/>
  <c r="G571" i="6" s="1"/>
  <c r="F572" i="6"/>
  <c r="G572" i="6" s="1"/>
  <c r="F573" i="6"/>
  <c r="G573" i="6" s="1"/>
  <c r="F575" i="6"/>
  <c r="G575" i="6" s="1"/>
  <c r="F576" i="6"/>
  <c r="G576" i="6" s="1"/>
  <c r="F577" i="6"/>
  <c r="G577" i="6" s="1"/>
  <c r="F578" i="6"/>
  <c r="G578" i="6" s="1"/>
  <c r="F579" i="6"/>
  <c r="G579" i="6" s="1"/>
  <c r="F581" i="6"/>
  <c r="G581" i="6" s="1"/>
  <c r="F582" i="6"/>
  <c r="G582" i="6" s="1"/>
  <c r="F583" i="6"/>
  <c r="G583" i="6" s="1"/>
  <c r="F584" i="6"/>
  <c r="G584" i="6" s="1"/>
  <c r="F585" i="6"/>
  <c r="G585" i="6" s="1"/>
  <c r="F587" i="6"/>
  <c r="G587" i="6" s="1"/>
  <c r="F588" i="6"/>
  <c r="G588" i="6" s="1"/>
  <c r="F589" i="6"/>
  <c r="G589" i="6" s="1"/>
  <c r="F590" i="6"/>
  <c r="G590" i="6" s="1"/>
  <c r="F591" i="6"/>
  <c r="G591" i="6" s="1"/>
  <c r="F593" i="6"/>
  <c r="G593" i="6" s="1"/>
  <c r="F594" i="6"/>
  <c r="G594" i="6" s="1"/>
  <c r="F595" i="6"/>
  <c r="G595" i="6" s="1"/>
  <c r="F596" i="6"/>
  <c r="G596" i="6" s="1"/>
  <c r="F597" i="6"/>
  <c r="G597" i="6" s="1"/>
  <c r="F599" i="6"/>
  <c r="G599" i="6" s="1"/>
  <c r="F600" i="6"/>
  <c r="G600" i="6" s="1"/>
  <c r="F601" i="6"/>
  <c r="G601" i="6" s="1"/>
  <c r="F602" i="6"/>
  <c r="G602" i="6" s="1"/>
  <c r="F603" i="6"/>
  <c r="G603" i="6" s="1"/>
  <c r="F605" i="6"/>
  <c r="G605" i="6" s="1"/>
  <c r="F606" i="6"/>
  <c r="G606" i="6" s="1"/>
  <c r="F607" i="6"/>
  <c r="G607" i="6" s="1"/>
  <c r="F608" i="6"/>
  <c r="G608" i="6" s="1"/>
  <c r="F609" i="6"/>
  <c r="G609" i="6" s="1"/>
  <c r="F611" i="6"/>
  <c r="G611" i="6" s="1"/>
  <c r="F612" i="6"/>
  <c r="G612" i="6" s="1"/>
  <c r="F613" i="6"/>
  <c r="G613" i="6" s="1"/>
  <c r="F614" i="6"/>
  <c r="G614" i="6" s="1"/>
  <c r="F615" i="6"/>
  <c r="G615" i="6" s="1"/>
  <c r="F617" i="6"/>
  <c r="G617" i="6" s="1"/>
  <c r="F618" i="6"/>
  <c r="G618" i="6" s="1"/>
  <c r="F619" i="6"/>
  <c r="G619" i="6" s="1"/>
  <c r="F620" i="6"/>
  <c r="G620" i="6" s="1"/>
  <c r="F621" i="6"/>
  <c r="G621" i="6" s="1"/>
  <c r="F623" i="6"/>
  <c r="G623" i="6" s="1"/>
  <c r="F624" i="6"/>
  <c r="G624" i="6" s="1"/>
  <c r="F625" i="6"/>
  <c r="G625" i="6" s="1"/>
  <c r="F626" i="6"/>
  <c r="G626" i="6" s="1"/>
  <c r="F627" i="6"/>
  <c r="G627" i="6" s="1"/>
  <c r="F629" i="6"/>
  <c r="G629" i="6" s="1"/>
  <c r="F630" i="6"/>
  <c r="G630" i="6" s="1"/>
  <c r="F631" i="6"/>
  <c r="G631" i="6" s="1"/>
  <c r="F632" i="6"/>
  <c r="G632" i="6" s="1"/>
  <c r="F633" i="6"/>
  <c r="G633" i="6" s="1"/>
  <c r="F635" i="6"/>
  <c r="G635" i="6" s="1"/>
  <c r="F636" i="6"/>
  <c r="G636" i="6" s="1"/>
  <c r="F637" i="6"/>
  <c r="G637" i="6" s="1"/>
  <c r="F638" i="6"/>
  <c r="G638" i="6" s="1"/>
  <c r="F639" i="6"/>
  <c r="G639" i="6" s="1"/>
  <c r="F641" i="6"/>
  <c r="G641" i="6" s="1"/>
  <c r="F642" i="6"/>
  <c r="G642" i="6" s="1"/>
  <c r="F643" i="6"/>
  <c r="G643" i="6" s="1"/>
  <c r="F644" i="6"/>
  <c r="G644" i="6" s="1"/>
  <c r="F645" i="6"/>
  <c r="G645" i="6" s="1"/>
  <c r="F647" i="6"/>
  <c r="G647" i="6" s="1"/>
  <c r="F648" i="6"/>
  <c r="G648" i="6" s="1"/>
  <c r="F649" i="6"/>
  <c r="G649" i="6" s="1"/>
  <c r="F650" i="6"/>
  <c r="G650" i="6" s="1"/>
  <c r="F651" i="6"/>
  <c r="G651" i="6" s="1"/>
  <c r="F653" i="6"/>
  <c r="G653" i="6" s="1"/>
  <c r="F654" i="6"/>
  <c r="G654" i="6" s="1"/>
  <c r="F655" i="6"/>
  <c r="G655" i="6" s="1"/>
  <c r="F656" i="6"/>
  <c r="G656" i="6" s="1"/>
  <c r="F657" i="6"/>
  <c r="G657" i="6" s="1"/>
  <c r="F659" i="6"/>
  <c r="G659" i="6" s="1"/>
  <c r="F660" i="6"/>
  <c r="G660" i="6" s="1"/>
  <c r="F661" i="6"/>
  <c r="G661" i="6" s="1"/>
  <c r="F662" i="6"/>
  <c r="G662" i="6" s="1"/>
  <c r="F663" i="6"/>
  <c r="G663" i="6" s="1"/>
  <c r="F665" i="6"/>
  <c r="G665" i="6" s="1"/>
  <c r="F666" i="6"/>
  <c r="G666" i="6" s="1"/>
  <c r="F667" i="6"/>
  <c r="G667" i="6" s="1"/>
  <c r="F668" i="6"/>
  <c r="G668" i="6" s="1"/>
  <c r="F669" i="6"/>
  <c r="G669" i="6" s="1"/>
  <c r="F671" i="6"/>
  <c r="G671" i="6" s="1"/>
  <c r="F672" i="6"/>
  <c r="G672" i="6" s="1"/>
  <c r="F673" i="6"/>
  <c r="G673" i="6" s="1"/>
  <c r="F674" i="6"/>
  <c r="G674" i="6" s="1"/>
  <c r="F675" i="6"/>
  <c r="G675" i="6" s="1"/>
  <c r="F677" i="6"/>
  <c r="G677" i="6" s="1"/>
  <c r="F678" i="6"/>
  <c r="G678" i="6" s="1"/>
  <c r="F679" i="6"/>
  <c r="G679" i="6" s="1"/>
  <c r="F680" i="6"/>
  <c r="G680" i="6" s="1"/>
  <c r="F681" i="6"/>
  <c r="G681" i="6" s="1"/>
  <c r="F683" i="6"/>
  <c r="G683" i="6" s="1"/>
  <c r="F684" i="6"/>
  <c r="G684" i="6" s="1"/>
  <c r="F685" i="6"/>
  <c r="G685" i="6" s="1"/>
  <c r="F686" i="6"/>
  <c r="G686" i="6" s="1"/>
  <c r="F687" i="6"/>
  <c r="G687" i="6" s="1"/>
  <c r="F689" i="6"/>
  <c r="G689" i="6" s="1"/>
  <c r="F690" i="6"/>
  <c r="G690" i="6" s="1"/>
  <c r="F691" i="6"/>
  <c r="G691" i="6" s="1"/>
  <c r="F692" i="6"/>
  <c r="G692" i="6" s="1"/>
  <c r="F693" i="6"/>
  <c r="G693" i="6" s="1"/>
  <c r="F695" i="6"/>
  <c r="G695" i="6" s="1"/>
  <c r="F696" i="6"/>
  <c r="G696" i="6" s="1"/>
  <c r="F697" i="6"/>
  <c r="G697" i="6" s="1"/>
  <c r="F698" i="6"/>
  <c r="G698" i="6" s="1"/>
  <c r="F699" i="6"/>
  <c r="G699" i="6" s="1"/>
  <c r="F701" i="6"/>
  <c r="G701" i="6" s="1"/>
  <c r="F702" i="6"/>
  <c r="G702" i="6" s="1"/>
  <c r="F703" i="6"/>
  <c r="G703" i="6" s="1"/>
  <c r="F704" i="6"/>
  <c r="G704" i="6" s="1"/>
  <c r="F705" i="6"/>
  <c r="G705" i="6" s="1"/>
  <c r="F707" i="6"/>
  <c r="G707" i="6" s="1"/>
  <c r="F708" i="6"/>
  <c r="G708" i="6" s="1"/>
  <c r="F709" i="6"/>
  <c r="G709" i="6" s="1"/>
  <c r="F710" i="6"/>
  <c r="G710" i="6" s="1"/>
  <c r="F711" i="6"/>
  <c r="G711" i="6" s="1"/>
  <c r="F713" i="6"/>
  <c r="G713" i="6" s="1"/>
  <c r="F714" i="6"/>
  <c r="G714" i="6" s="1"/>
  <c r="F715" i="6"/>
  <c r="G715" i="6" s="1"/>
  <c r="F716" i="6"/>
  <c r="G716" i="6" s="1"/>
  <c r="F717" i="6"/>
  <c r="G717" i="6" s="1"/>
  <c r="F719" i="6"/>
  <c r="G719" i="6" s="1"/>
  <c r="F720" i="6"/>
  <c r="G720" i="6" s="1"/>
  <c r="F721" i="6"/>
  <c r="G721" i="6" s="1"/>
  <c r="F722" i="6"/>
  <c r="G722" i="6" s="1"/>
  <c r="F723" i="6"/>
  <c r="G723" i="6" s="1"/>
  <c r="F725" i="6"/>
  <c r="G725" i="6" s="1"/>
  <c r="F726" i="6"/>
  <c r="G726" i="6" s="1"/>
  <c r="F727" i="6"/>
  <c r="G727" i="6" s="1"/>
  <c r="F728" i="6"/>
  <c r="G728" i="6" s="1"/>
  <c r="F729" i="6"/>
  <c r="G729" i="6" s="1"/>
  <c r="F731" i="6"/>
  <c r="G731" i="6" s="1"/>
  <c r="F732" i="6"/>
  <c r="G732" i="6" s="1"/>
  <c r="F733" i="6"/>
  <c r="G733" i="6" s="1"/>
  <c r="F734" i="6"/>
  <c r="G734" i="6" s="1"/>
  <c r="F735" i="6"/>
  <c r="G735" i="6" s="1"/>
  <c r="F737" i="6"/>
  <c r="G737" i="6" s="1"/>
  <c r="F738" i="6"/>
  <c r="G738" i="6" s="1"/>
  <c r="F739" i="6"/>
  <c r="G739" i="6" s="1"/>
  <c r="F740" i="6"/>
  <c r="G740" i="6" s="1"/>
  <c r="F741" i="6"/>
  <c r="G741" i="6" s="1"/>
  <c r="F743" i="6"/>
  <c r="G743" i="6" s="1"/>
  <c r="F744" i="6"/>
  <c r="G744" i="6" s="1"/>
  <c r="F745" i="6"/>
  <c r="G745" i="6" s="1"/>
  <c r="F746" i="6"/>
  <c r="G746" i="6" s="1"/>
  <c r="F747" i="6"/>
  <c r="G747" i="6" s="1"/>
  <c r="F749" i="6"/>
  <c r="G749" i="6" s="1"/>
  <c r="F750" i="6"/>
  <c r="G750" i="6" s="1"/>
  <c r="F751" i="6"/>
  <c r="G751" i="6" s="1"/>
  <c r="F752" i="6"/>
  <c r="G752" i="6" s="1"/>
  <c r="F753" i="6"/>
  <c r="G753" i="6" s="1"/>
  <c r="F755" i="6"/>
  <c r="G755" i="6" s="1"/>
  <c r="F756" i="6"/>
  <c r="G756" i="6" s="1"/>
  <c r="F757" i="6"/>
  <c r="G757" i="6" s="1"/>
  <c r="F758" i="6"/>
  <c r="G758" i="6" s="1"/>
  <c r="F759" i="6"/>
  <c r="G759" i="6" s="1"/>
  <c r="F761" i="6"/>
  <c r="G761" i="6" s="1"/>
  <c r="F762" i="6"/>
  <c r="G762" i="6" s="1"/>
  <c r="F763" i="6"/>
  <c r="G763" i="6" s="1"/>
  <c r="F764" i="6"/>
  <c r="G764" i="6" s="1"/>
  <c r="F765" i="6"/>
  <c r="G765" i="6" s="1"/>
  <c r="F767" i="6"/>
  <c r="G767" i="6" s="1"/>
  <c r="F768" i="6"/>
  <c r="G768" i="6" s="1"/>
  <c r="F769" i="6"/>
  <c r="G769" i="6" s="1"/>
  <c r="F770" i="6"/>
  <c r="G770" i="6" s="1"/>
  <c r="F771" i="6"/>
  <c r="G771" i="6" s="1"/>
  <c r="F773" i="6"/>
  <c r="G773" i="6" s="1"/>
  <c r="F774" i="6"/>
  <c r="G774" i="6" s="1"/>
  <c r="F775" i="6"/>
  <c r="G775" i="6" s="1"/>
  <c r="F776" i="6"/>
  <c r="G776" i="6" s="1"/>
  <c r="F777" i="6"/>
  <c r="G777" i="6" s="1"/>
  <c r="F779" i="6"/>
  <c r="G779" i="6" s="1"/>
  <c r="F780" i="6"/>
  <c r="G780" i="6" s="1"/>
  <c r="F781" i="6"/>
  <c r="G781" i="6" s="1"/>
  <c r="F782" i="6"/>
  <c r="G782" i="6" s="1"/>
  <c r="F783" i="6"/>
  <c r="G783" i="6" s="1"/>
  <c r="F718" i="6"/>
  <c r="G718" i="6" s="1"/>
  <c r="F694" i="6"/>
  <c r="G694" i="6" s="1"/>
  <c r="F682" i="6"/>
  <c r="G682" i="6" s="1"/>
  <c r="F670" i="6"/>
  <c r="G670" i="6" s="1"/>
  <c r="F646" i="6"/>
  <c r="G646" i="6" s="1"/>
  <c r="F610" i="6"/>
  <c r="G610" i="6" s="1"/>
  <c r="F598" i="6"/>
  <c r="G598" i="6" s="1"/>
  <c r="F568" i="6"/>
  <c r="G568" i="6" s="1"/>
  <c r="F538" i="6"/>
  <c r="G538" i="6" s="1"/>
  <c r="F754" i="6"/>
  <c r="G754" i="6" s="1"/>
  <c r="F574" i="6"/>
  <c r="G574" i="6" s="1"/>
  <c r="E85" i="5"/>
  <c r="E289" i="5"/>
  <c r="E290" i="5"/>
  <c r="E291" i="5"/>
  <c r="E292" i="5"/>
  <c r="E293" i="5"/>
  <c r="I85" i="5"/>
  <c r="J85" i="5"/>
  <c r="I289" i="5"/>
  <c r="J289" i="5" s="1"/>
  <c r="I290" i="5"/>
  <c r="J290" i="5" s="1"/>
  <c r="I291" i="5"/>
  <c r="J291" i="5"/>
  <c r="I292" i="5"/>
  <c r="J292" i="5" s="1"/>
  <c r="I293" i="5"/>
  <c r="J293" i="5" s="1"/>
  <c r="G112" i="1"/>
  <c r="I112" i="1"/>
  <c r="H85" i="5" s="1"/>
  <c r="J348" i="1"/>
  <c r="K348" i="1" s="1"/>
  <c r="J373" i="1"/>
  <c r="K373" i="1" s="1"/>
  <c r="J346" i="1"/>
  <c r="K346" i="1" s="1"/>
  <c r="J352" i="1"/>
  <c r="K352" i="1" s="1"/>
  <c r="J358" i="1"/>
  <c r="K358" i="1" s="1"/>
  <c r="J364" i="1"/>
  <c r="K364" i="1" s="1"/>
  <c r="J370" i="1"/>
  <c r="K370" i="1" s="1"/>
  <c r="J376" i="1"/>
  <c r="K376" i="1" s="1"/>
  <c r="J382" i="1"/>
  <c r="K382" i="1" s="1"/>
  <c r="J388" i="1"/>
  <c r="K388" i="1" s="1"/>
  <c r="J394" i="1"/>
  <c r="K394" i="1" s="1"/>
  <c r="J400" i="1"/>
  <c r="K400" i="1" s="1"/>
  <c r="J406" i="1"/>
  <c r="K406" i="1" s="1"/>
  <c r="J412" i="1"/>
  <c r="K412" i="1" s="1"/>
  <c r="J418" i="1"/>
  <c r="K418" i="1" s="1"/>
  <c r="J424" i="1"/>
  <c r="K424" i="1" s="1"/>
  <c r="J430" i="1"/>
  <c r="K430" i="1" s="1"/>
  <c r="J436" i="1"/>
  <c r="K436" i="1" s="1"/>
  <c r="J347" i="1"/>
  <c r="K347" i="1" s="1"/>
  <c r="J350" i="1"/>
  <c r="K350" i="1" s="1"/>
  <c r="J351" i="1"/>
  <c r="K351" i="1" s="1"/>
  <c r="J353" i="1"/>
  <c r="K353" i="1" s="1"/>
  <c r="J354" i="1"/>
  <c r="K354" i="1" s="1"/>
  <c r="J356" i="1"/>
  <c r="K356" i="1" s="1"/>
  <c r="J357" i="1"/>
  <c r="K357" i="1" s="1"/>
  <c r="J359" i="1"/>
  <c r="K359" i="1" s="1"/>
  <c r="J360" i="1"/>
  <c r="K360" i="1" s="1"/>
  <c r="J362" i="1"/>
  <c r="K362" i="1" s="1"/>
  <c r="J363" i="1"/>
  <c r="K363" i="1" s="1"/>
  <c r="J365" i="1"/>
  <c r="K365" i="1" s="1"/>
  <c r="J366" i="1"/>
  <c r="K366" i="1" s="1"/>
  <c r="J368" i="1"/>
  <c r="K368" i="1" s="1"/>
  <c r="J369" i="1"/>
  <c r="K369" i="1" s="1"/>
  <c r="J371" i="1"/>
  <c r="K371" i="1" s="1"/>
  <c r="J372" i="1"/>
  <c r="K372" i="1" s="1"/>
  <c r="J374" i="1"/>
  <c r="K374" i="1" s="1"/>
  <c r="J375" i="1"/>
  <c r="K375" i="1" s="1"/>
  <c r="J377" i="1"/>
  <c r="K377" i="1" s="1"/>
  <c r="J378" i="1"/>
  <c r="K378" i="1" s="1"/>
  <c r="J380" i="1"/>
  <c r="K380" i="1" s="1"/>
  <c r="J383" i="1"/>
  <c r="K383" i="1" s="1"/>
  <c r="J384" i="1"/>
  <c r="K384" i="1" s="1"/>
  <c r="J386" i="1"/>
  <c r="K386" i="1" s="1"/>
  <c r="J387" i="1"/>
  <c r="K387" i="1" s="1"/>
  <c r="J389" i="1"/>
  <c r="K389" i="1" s="1"/>
  <c r="J390" i="1"/>
  <c r="K390" i="1" s="1"/>
  <c r="J392" i="1"/>
  <c r="K392" i="1" s="1"/>
  <c r="J393" i="1"/>
  <c r="K393" i="1" s="1"/>
  <c r="J395" i="1"/>
  <c r="K395" i="1" s="1"/>
  <c r="J396" i="1"/>
  <c r="K396" i="1" s="1"/>
  <c r="J398" i="1"/>
  <c r="K398" i="1" s="1"/>
  <c r="J401" i="1"/>
  <c r="K401" i="1" s="1"/>
  <c r="J402" i="1"/>
  <c r="K402" i="1" s="1"/>
  <c r="J404" i="1"/>
  <c r="K404" i="1" s="1"/>
  <c r="J405" i="1"/>
  <c r="K405" i="1" s="1"/>
  <c r="J407" i="1"/>
  <c r="K407" i="1" s="1"/>
  <c r="J408" i="1"/>
  <c r="K408" i="1" s="1"/>
  <c r="J410" i="1"/>
  <c r="K410" i="1" s="1"/>
  <c r="J411" i="1"/>
  <c r="K411" i="1" s="1"/>
  <c r="J413" i="1"/>
  <c r="K413" i="1" s="1"/>
  <c r="J414" i="1"/>
  <c r="K414" i="1" s="1"/>
  <c r="J416" i="1"/>
  <c r="K416" i="1" s="1"/>
  <c r="J419" i="1"/>
  <c r="K419" i="1" s="1"/>
  <c r="J420" i="1"/>
  <c r="K420" i="1" s="1"/>
  <c r="J422" i="1"/>
  <c r="K422" i="1" s="1"/>
  <c r="J423" i="1"/>
  <c r="K423" i="1" s="1"/>
  <c r="J425" i="1"/>
  <c r="K425" i="1" s="1"/>
  <c r="J426" i="1"/>
  <c r="K426" i="1" s="1"/>
  <c r="J428" i="1"/>
  <c r="K428" i="1" s="1"/>
  <c r="J429" i="1"/>
  <c r="K429" i="1" s="1"/>
  <c r="J431" i="1"/>
  <c r="K431" i="1" s="1"/>
  <c r="J432" i="1"/>
  <c r="K432" i="1" s="1"/>
  <c r="J434" i="1"/>
  <c r="K434" i="1" s="1"/>
  <c r="J437" i="1"/>
  <c r="K437" i="1" s="1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I200" i="5"/>
  <c r="J200" i="5" s="1"/>
  <c r="I201" i="5"/>
  <c r="J201" i="5" s="1"/>
  <c r="I202" i="5"/>
  <c r="J202" i="5"/>
  <c r="I203" i="5"/>
  <c r="J203" i="5"/>
  <c r="I204" i="5"/>
  <c r="J204" i="5" s="1"/>
  <c r="I205" i="5"/>
  <c r="J205" i="5" s="1"/>
  <c r="I206" i="5"/>
  <c r="J206" i="5"/>
  <c r="I207" i="5"/>
  <c r="J207" i="5" s="1"/>
  <c r="I208" i="5"/>
  <c r="J208" i="5"/>
  <c r="I209" i="5"/>
  <c r="J209" i="5"/>
  <c r="I210" i="5"/>
  <c r="J210" i="5" s="1"/>
  <c r="I211" i="5"/>
  <c r="J211" i="5" s="1"/>
  <c r="I212" i="5"/>
  <c r="J212" i="5" s="1"/>
  <c r="I213" i="5"/>
  <c r="J213" i="5" s="1"/>
  <c r="I214" i="5"/>
  <c r="J214" i="5"/>
  <c r="I215" i="5"/>
  <c r="J215" i="5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/>
  <c r="I222" i="5"/>
  <c r="J222" i="5" s="1"/>
  <c r="I223" i="5"/>
  <c r="J223" i="5" s="1"/>
  <c r="I224" i="5"/>
  <c r="J224" i="5" s="1"/>
  <c r="I225" i="5"/>
  <c r="J225" i="5" s="1"/>
  <c r="I226" i="5"/>
  <c r="J226" i="5"/>
  <c r="I227" i="5"/>
  <c r="J227" i="5" s="1"/>
  <c r="I228" i="5"/>
  <c r="J228" i="5"/>
  <c r="I229" i="5"/>
  <c r="J229" i="5"/>
  <c r="I230" i="5"/>
  <c r="J230" i="5" s="1"/>
  <c r="I231" i="5"/>
  <c r="J231" i="5" s="1"/>
  <c r="I232" i="5"/>
  <c r="J232" i="5" s="1"/>
  <c r="I233" i="5"/>
  <c r="J233" i="5"/>
  <c r="I234" i="5"/>
  <c r="J234" i="5"/>
  <c r="I235" i="5"/>
  <c r="J235" i="5" s="1"/>
  <c r="I236" i="5"/>
  <c r="J236" i="5" s="1"/>
  <c r="I237" i="5"/>
  <c r="J237" i="5"/>
  <c r="I238" i="5"/>
  <c r="J238" i="5" s="1"/>
  <c r="I239" i="5"/>
  <c r="J239" i="5"/>
  <c r="I240" i="5"/>
  <c r="J240" i="5"/>
  <c r="I241" i="5"/>
  <c r="J241" i="5" s="1"/>
  <c r="I242" i="5"/>
  <c r="J242" i="5" s="1"/>
  <c r="I243" i="5"/>
  <c r="J243" i="5" s="1"/>
  <c r="I244" i="5"/>
  <c r="J244" i="5" s="1"/>
  <c r="I245" i="5"/>
  <c r="J245" i="5"/>
  <c r="I246" i="5"/>
  <c r="J246" i="5"/>
  <c r="I247" i="5"/>
  <c r="J247" i="5" s="1"/>
  <c r="I248" i="5"/>
  <c r="J248" i="5"/>
  <c r="I249" i="5"/>
  <c r="J249" i="5" s="1"/>
  <c r="I250" i="5"/>
  <c r="J250" i="5" s="1"/>
  <c r="I251" i="5"/>
  <c r="J251" i="5"/>
  <c r="I252" i="5"/>
  <c r="J252" i="5"/>
  <c r="I253" i="5"/>
  <c r="J253" i="5" s="1"/>
  <c r="I254" i="5"/>
  <c r="J254" i="5" s="1"/>
  <c r="I255" i="5"/>
  <c r="J255" i="5"/>
  <c r="I256" i="5"/>
  <c r="J256" i="5" s="1"/>
  <c r="I257" i="5"/>
  <c r="J257" i="5"/>
  <c r="I258" i="5"/>
  <c r="J258" i="5"/>
  <c r="I259" i="5"/>
  <c r="J259" i="5" s="1"/>
  <c r="I260" i="5"/>
  <c r="J260" i="5" s="1"/>
  <c r="I261" i="5"/>
  <c r="J261" i="5" s="1"/>
  <c r="I262" i="5"/>
  <c r="J262" i="5" s="1"/>
  <c r="I263" i="5"/>
  <c r="J263" i="5"/>
  <c r="I264" i="5"/>
  <c r="J264" i="5"/>
  <c r="I265" i="5"/>
  <c r="J265" i="5" s="1"/>
  <c r="I266" i="5"/>
  <c r="J266" i="5" s="1"/>
  <c r="I267" i="5"/>
  <c r="J267" i="5"/>
  <c r="I268" i="5"/>
  <c r="J268" i="5" s="1"/>
  <c r="I269" i="5"/>
  <c r="J269" i="5"/>
  <c r="I270" i="5"/>
  <c r="J270" i="5"/>
  <c r="I271" i="5"/>
  <c r="J271" i="5" s="1"/>
  <c r="I272" i="5"/>
  <c r="J272" i="5" s="1"/>
  <c r="I273" i="5"/>
  <c r="J273" i="5" s="1"/>
  <c r="I274" i="5"/>
  <c r="J274" i="5" s="1"/>
  <c r="I275" i="5"/>
  <c r="J275" i="5"/>
  <c r="I276" i="5"/>
  <c r="J276" i="5"/>
  <c r="I277" i="5"/>
  <c r="J277" i="5" s="1"/>
  <c r="I278" i="5"/>
  <c r="J278" i="5"/>
  <c r="I279" i="5"/>
  <c r="J279" i="5" s="1"/>
  <c r="I280" i="5"/>
  <c r="J280" i="5" s="1"/>
  <c r="I281" i="5"/>
  <c r="J281" i="5"/>
  <c r="I282" i="5"/>
  <c r="J282" i="5" s="1"/>
  <c r="I283" i="5"/>
  <c r="J283" i="5" s="1"/>
  <c r="I284" i="5"/>
  <c r="J284" i="5" s="1"/>
  <c r="I285" i="5"/>
  <c r="J285" i="5" s="1"/>
  <c r="I286" i="5"/>
  <c r="J286" i="5"/>
  <c r="I287" i="5"/>
  <c r="J287" i="5" s="1"/>
  <c r="I288" i="5"/>
  <c r="J288" i="5"/>
  <c r="E63" i="5"/>
  <c r="E199" i="5"/>
  <c r="H63" i="5"/>
  <c r="F8" i="6" s="1"/>
  <c r="G8" i="6" s="1"/>
  <c r="I63" i="5"/>
  <c r="J63" i="5" s="1"/>
  <c r="I199" i="5"/>
  <c r="J199" i="5" s="1"/>
  <c r="J84" i="5"/>
  <c r="H76" i="5"/>
  <c r="F27" i="6" s="1"/>
  <c r="G27" i="6" s="1"/>
  <c r="E166" i="5"/>
  <c r="E11" i="5"/>
  <c r="G138" i="1"/>
  <c r="H104" i="5"/>
  <c r="F157" i="6" s="1"/>
  <c r="G157" i="6" s="1"/>
  <c r="G48" i="1"/>
  <c r="E40" i="5"/>
  <c r="E90" i="5"/>
  <c r="E6" i="5"/>
  <c r="E91" i="5"/>
  <c r="E106" i="5"/>
  <c r="E95" i="5"/>
  <c r="E79" i="5"/>
  <c r="E176" i="5"/>
  <c r="E177" i="5"/>
  <c r="E152" i="5"/>
  <c r="E129" i="5"/>
  <c r="E47" i="5"/>
  <c r="E178" i="5"/>
  <c r="E104" i="5"/>
  <c r="E171" i="5"/>
  <c r="E5" i="5"/>
  <c r="E180" i="5"/>
  <c r="E96" i="5"/>
  <c r="E108" i="5"/>
  <c r="E97" i="5"/>
  <c r="E101" i="5"/>
  <c r="E89" i="5"/>
  <c r="E48" i="5"/>
  <c r="E16" i="5"/>
  <c r="E46" i="5"/>
  <c r="E7" i="5"/>
  <c r="E124" i="5"/>
  <c r="E123" i="5"/>
  <c r="E86" i="5"/>
  <c r="E84" i="5"/>
  <c r="E118" i="5"/>
  <c r="E189" i="5"/>
  <c r="E127" i="5"/>
  <c r="E57" i="5"/>
  <c r="E9" i="5"/>
  <c r="E132" i="5"/>
  <c r="E193" i="5"/>
  <c r="E130" i="5"/>
  <c r="E120" i="5"/>
  <c r="E116" i="5"/>
  <c r="E17" i="5"/>
  <c r="E18" i="5"/>
  <c r="E188" i="5"/>
  <c r="E195" i="5"/>
  <c r="E196" i="5"/>
  <c r="E197" i="5"/>
  <c r="E198" i="5"/>
  <c r="H90" i="5"/>
  <c r="H6" i="5"/>
  <c r="F82" i="6" s="1"/>
  <c r="G82" i="6" s="1"/>
  <c r="H79" i="5"/>
  <c r="H47" i="5"/>
  <c r="F133" i="6" s="1"/>
  <c r="G133" i="6" s="1"/>
  <c r="H5" i="5"/>
  <c r="H96" i="5"/>
  <c r="H108" i="5"/>
  <c r="F190" i="6" s="1"/>
  <c r="G190" i="6" s="1"/>
  <c r="H97" i="5"/>
  <c r="H101" i="5"/>
  <c r="H89" i="5"/>
  <c r="H152" i="5"/>
  <c r="H48" i="5"/>
  <c r="H16" i="5"/>
  <c r="F13" i="6" s="1"/>
  <c r="G13" i="6" s="1"/>
  <c r="H170" i="5"/>
  <c r="H175" i="5"/>
  <c r="F7" i="6" s="1"/>
  <c r="G7" i="6" s="1"/>
  <c r="H7" i="5"/>
  <c r="H8" i="5"/>
  <c r="F9" i="6" s="1"/>
  <c r="G9" i="6" s="1"/>
  <c r="H124" i="5"/>
  <c r="G155" i="6"/>
  <c r="G153" i="6"/>
  <c r="H86" i="5"/>
  <c r="F110" i="6" s="1"/>
  <c r="G110" i="6" s="1"/>
  <c r="H84" i="5"/>
  <c r="H118" i="5"/>
  <c r="F30" i="6" s="1"/>
  <c r="G30" i="6" s="1"/>
  <c r="F249" i="6"/>
  <c r="G249" i="6" s="1"/>
  <c r="H127" i="5"/>
  <c r="F250" i="6"/>
  <c r="G250" i="6" s="1"/>
  <c r="I40" i="5"/>
  <c r="J40" i="5"/>
  <c r="I90" i="5"/>
  <c r="J90" i="5" s="1"/>
  <c r="I6" i="5"/>
  <c r="J6" i="5" s="1"/>
  <c r="I91" i="5"/>
  <c r="J91" i="5" s="1"/>
  <c r="I106" i="5"/>
  <c r="J106" i="5" s="1"/>
  <c r="I95" i="5"/>
  <c r="J95" i="5"/>
  <c r="I79" i="5"/>
  <c r="J79" i="5"/>
  <c r="I176" i="5"/>
  <c r="J176" i="5" s="1"/>
  <c r="I177" i="5"/>
  <c r="J177" i="5" s="1"/>
  <c r="I152" i="5"/>
  <c r="J152" i="5" s="1"/>
  <c r="I129" i="5"/>
  <c r="J129" i="5" s="1"/>
  <c r="I47" i="5"/>
  <c r="J47" i="5"/>
  <c r="I178" i="5"/>
  <c r="J178" i="5"/>
  <c r="I104" i="5"/>
  <c r="J104" i="5" s="1"/>
  <c r="I171" i="5"/>
  <c r="J171" i="5" s="1"/>
  <c r="I5" i="5"/>
  <c r="J5" i="5" s="1"/>
  <c r="I180" i="5"/>
  <c r="J180" i="5" s="1"/>
  <c r="I96" i="5"/>
  <c r="J96" i="5"/>
  <c r="I108" i="5"/>
  <c r="J108" i="5"/>
  <c r="I97" i="5"/>
  <c r="J97" i="5" s="1"/>
  <c r="I101" i="5"/>
  <c r="J101" i="5" s="1"/>
  <c r="I89" i="5"/>
  <c r="J89" i="5" s="1"/>
  <c r="I48" i="5"/>
  <c r="J48" i="5" s="1"/>
  <c r="I16" i="5"/>
  <c r="J16" i="5"/>
  <c r="I46" i="5"/>
  <c r="J46" i="5"/>
  <c r="I7" i="5"/>
  <c r="J7" i="5" s="1"/>
  <c r="I124" i="5"/>
  <c r="J124" i="5" s="1"/>
  <c r="I123" i="5"/>
  <c r="J123" i="5" s="1"/>
  <c r="I86" i="5"/>
  <c r="J86" i="5" s="1"/>
  <c r="I118" i="5"/>
  <c r="J118" i="5"/>
  <c r="I189" i="5"/>
  <c r="J189" i="5" s="1"/>
  <c r="I127" i="5"/>
  <c r="J127" i="5" s="1"/>
  <c r="I57" i="5"/>
  <c r="J57" i="5" s="1"/>
  <c r="I9" i="5"/>
  <c r="J9" i="5" s="1"/>
  <c r="I132" i="5"/>
  <c r="J132" i="5"/>
  <c r="I193" i="5"/>
  <c r="J193" i="5"/>
  <c r="I130" i="5"/>
  <c r="J130" i="5" s="1"/>
  <c r="I120" i="5"/>
  <c r="J120" i="5" s="1"/>
  <c r="I116" i="5"/>
  <c r="J116" i="5" s="1"/>
  <c r="I17" i="5"/>
  <c r="J17" i="5" s="1"/>
  <c r="I18" i="5"/>
  <c r="J18" i="5" s="1"/>
  <c r="I188" i="5"/>
  <c r="J188" i="5" s="1"/>
  <c r="I195" i="5"/>
  <c r="J195" i="5" s="1"/>
  <c r="I196" i="5"/>
  <c r="J196" i="5" s="1"/>
  <c r="I197" i="5"/>
  <c r="J197" i="5"/>
  <c r="I198" i="5"/>
  <c r="J198" i="5" s="1"/>
  <c r="I51" i="1"/>
  <c r="J51" i="1" s="1"/>
  <c r="K51" i="1" s="1"/>
  <c r="H131" i="5"/>
  <c r="I85" i="1"/>
  <c r="J85" i="1" s="1"/>
  <c r="K85" i="1" s="1"/>
  <c r="I117" i="1"/>
  <c r="J117" i="1" s="1"/>
  <c r="K117" i="1" s="1"/>
  <c r="I119" i="1"/>
  <c r="J119" i="1" s="1"/>
  <c r="K119" i="1" s="1"/>
  <c r="I249" i="1"/>
  <c r="J249" i="1" s="1"/>
  <c r="K249" i="1" s="1"/>
  <c r="I259" i="1"/>
  <c r="I79" i="1"/>
  <c r="J79" i="1" s="1"/>
  <c r="K79" i="1" s="1"/>
  <c r="I195" i="1"/>
  <c r="J195" i="1" s="1"/>
  <c r="K195" i="1" s="1"/>
  <c r="I206" i="1"/>
  <c r="H157" i="5" s="1"/>
  <c r="F71" i="6" s="1"/>
  <c r="G71" i="6" s="1"/>
  <c r="I72" i="1"/>
  <c r="J72" i="1" s="1"/>
  <c r="H59" i="6" s="1"/>
  <c r="I26" i="1"/>
  <c r="H20" i="5" s="1"/>
  <c r="I151" i="1"/>
  <c r="J151" i="1" s="1"/>
  <c r="K151" i="1" s="1"/>
  <c r="I108" i="1"/>
  <c r="H82" i="5" s="1"/>
  <c r="I128" i="1"/>
  <c r="J128" i="1" s="1"/>
  <c r="K128" i="1" s="1"/>
  <c r="I174" i="1"/>
  <c r="H133" i="5" s="1"/>
  <c r="I191" i="1"/>
  <c r="H145" i="5" s="1"/>
  <c r="I204" i="1"/>
  <c r="J204" i="1" s="1"/>
  <c r="K204" i="1" s="1"/>
  <c r="I109" i="1"/>
  <c r="J3" i="1"/>
  <c r="J113" i="1"/>
  <c r="K113" i="1" s="1"/>
  <c r="J123" i="1"/>
  <c r="I140" i="1"/>
  <c r="H106" i="5" s="1"/>
  <c r="I239" i="1"/>
  <c r="J239" i="1" s="1"/>
  <c r="K239" i="1" s="1"/>
  <c r="J202" i="1"/>
  <c r="K202" i="1"/>
  <c r="I241" i="1"/>
  <c r="H178" i="5" s="1"/>
  <c r="F24" i="6" s="1"/>
  <c r="G24" i="6" s="1"/>
  <c r="F227" i="6"/>
  <c r="G227" i="6" s="1"/>
  <c r="J234" i="1"/>
  <c r="K234" i="1" s="1"/>
  <c r="J107" i="1"/>
  <c r="K107" i="1" s="1"/>
  <c r="I243" i="1"/>
  <c r="H180" i="5" s="1"/>
  <c r="F229" i="6"/>
  <c r="G229" i="6" s="1"/>
  <c r="J130" i="1"/>
  <c r="K130" i="1" s="1"/>
  <c r="J131" i="1"/>
  <c r="K131" i="1" s="1"/>
  <c r="J136" i="1"/>
  <c r="J57" i="1"/>
  <c r="K57" i="1" s="1"/>
  <c r="I55" i="1"/>
  <c r="H46" i="5" s="1"/>
  <c r="J163" i="1"/>
  <c r="K163" i="1" s="1"/>
  <c r="J161" i="1"/>
  <c r="H40" i="6" s="1"/>
  <c r="J114" i="1"/>
  <c r="J111" i="1"/>
  <c r="K111" i="1" s="1"/>
  <c r="J153" i="1"/>
  <c r="K153" i="1" s="1"/>
  <c r="K77" i="1"/>
  <c r="J70" i="1"/>
  <c r="K70" i="1" s="1"/>
  <c r="H129" i="5"/>
  <c r="F50" i="6" s="1"/>
  <c r="G50" i="6" s="1"/>
  <c r="J172" i="1"/>
  <c r="K172" i="1" s="1"/>
  <c r="J263" i="1"/>
  <c r="K263" i="1" s="1"/>
  <c r="I170" i="1"/>
  <c r="J170" i="1" s="1"/>
  <c r="K170" i="1" s="1"/>
  <c r="J158" i="1"/>
  <c r="H195" i="5"/>
  <c r="F53" i="6" s="1"/>
  <c r="G53" i="6" s="1"/>
  <c r="H197" i="5"/>
  <c r="J269" i="1"/>
  <c r="K269" i="1" s="1"/>
  <c r="J270" i="1"/>
  <c r="K270" i="1" s="1"/>
  <c r="J272" i="1"/>
  <c r="K272" i="1" s="1"/>
  <c r="J273" i="1"/>
  <c r="K273" i="1" s="1"/>
  <c r="J274" i="1"/>
  <c r="K274" i="1" s="1"/>
  <c r="J275" i="1"/>
  <c r="K275" i="1" s="1"/>
  <c r="J278" i="1"/>
  <c r="K278" i="1" s="1"/>
  <c r="J279" i="1"/>
  <c r="K279" i="1" s="1"/>
  <c r="J280" i="1"/>
  <c r="H188" i="6" s="1"/>
  <c r="J281" i="1"/>
  <c r="K281" i="1" s="1"/>
  <c r="J282" i="1"/>
  <c r="K282" i="1" s="1"/>
  <c r="J284" i="1"/>
  <c r="K284" i="1" s="1"/>
  <c r="J285" i="1"/>
  <c r="H175" i="6" s="1"/>
  <c r="J286" i="1"/>
  <c r="K286" i="1" s="1"/>
  <c r="J287" i="1"/>
  <c r="H205" i="6" s="1"/>
  <c r="J288" i="1"/>
  <c r="H150" i="6" s="1"/>
  <c r="J290" i="1"/>
  <c r="J291" i="1"/>
  <c r="K291" i="1" s="1"/>
  <c r="J292" i="1"/>
  <c r="K292" i="1" s="1"/>
  <c r="J293" i="1"/>
  <c r="K293" i="1" s="1"/>
  <c r="J294" i="1"/>
  <c r="K294" i="1" s="1"/>
  <c r="J296" i="1"/>
  <c r="K296" i="1" s="1"/>
  <c r="J297" i="1"/>
  <c r="K297" i="1" s="1"/>
  <c r="J298" i="1"/>
  <c r="K298" i="1" s="1"/>
  <c r="J299" i="1"/>
  <c r="K299" i="1" s="1"/>
  <c r="J300" i="1"/>
  <c r="J302" i="1"/>
  <c r="K302" i="1" s="1"/>
  <c r="J303" i="1"/>
  <c r="K303" i="1" s="1"/>
  <c r="J304" i="1"/>
  <c r="J305" i="1"/>
  <c r="K305" i="1" s="1"/>
  <c r="J306" i="1"/>
  <c r="K306" i="1" s="1"/>
  <c r="J308" i="1"/>
  <c r="K308" i="1" s="1"/>
  <c r="J309" i="1"/>
  <c r="J310" i="1"/>
  <c r="K310" i="1" s="1"/>
  <c r="J311" i="1"/>
  <c r="K311" i="1" s="1"/>
  <c r="J312" i="1"/>
  <c r="K312" i="1" s="1"/>
  <c r="J314" i="1"/>
  <c r="J315" i="1"/>
  <c r="J316" i="1"/>
  <c r="K316" i="1" s="1"/>
  <c r="J317" i="1"/>
  <c r="J318" i="1"/>
  <c r="K318" i="1" s="1"/>
  <c r="J320" i="1"/>
  <c r="K320" i="1" s="1"/>
  <c r="J321" i="1"/>
  <c r="H191" i="6" s="1"/>
  <c r="J322" i="1"/>
  <c r="H162" i="6" s="1"/>
  <c r="H171" i="5"/>
  <c r="F220" i="6"/>
  <c r="G220" i="6" s="1"/>
  <c r="J324" i="1"/>
  <c r="K324" i="1" s="1"/>
  <c r="J326" i="1"/>
  <c r="K326" i="1" s="1"/>
  <c r="J327" i="1"/>
  <c r="K327" i="1" s="1"/>
  <c r="J328" i="1"/>
  <c r="K328" i="1" s="1"/>
  <c r="H177" i="5"/>
  <c r="F226" i="6"/>
  <c r="G226" i="6" s="1"/>
  <c r="J330" i="1"/>
  <c r="K330" i="1" s="1"/>
  <c r="J332" i="1"/>
  <c r="K332" i="1" s="1"/>
  <c r="J333" i="1"/>
  <c r="K333" i="1" s="1"/>
  <c r="J334" i="1"/>
  <c r="K334" i="1" s="1"/>
  <c r="J335" i="1"/>
  <c r="K335" i="1" s="1"/>
  <c r="J336" i="1"/>
  <c r="K336" i="1" s="1"/>
  <c r="J338" i="1"/>
  <c r="K338" i="1" s="1"/>
  <c r="J339" i="1"/>
  <c r="K339" i="1" s="1"/>
  <c r="J340" i="1"/>
  <c r="K340" i="1" s="1"/>
  <c r="J341" i="1"/>
  <c r="K341" i="1" s="1"/>
  <c r="J342" i="1"/>
  <c r="K342" i="1" s="1"/>
  <c r="J344" i="1"/>
  <c r="K344" i="1" s="1"/>
  <c r="J345" i="1"/>
  <c r="K345" i="1" s="1"/>
  <c r="G103" i="1"/>
  <c r="J103" i="1"/>
  <c r="K103" i="1" s="1"/>
  <c r="J44" i="1"/>
  <c r="K44" i="1"/>
  <c r="J146" i="1"/>
  <c r="K146" i="1" s="1"/>
  <c r="J160" i="1"/>
  <c r="K160" i="1" s="1"/>
  <c r="K188" i="1"/>
  <c r="K48" i="1"/>
  <c r="J129" i="1"/>
  <c r="K129" i="1" s="1"/>
  <c r="J104" i="1"/>
  <c r="K104" i="1" s="1"/>
  <c r="G44" i="1"/>
  <c r="G146" i="1"/>
  <c r="G62" i="1"/>
  <c r="G135" i="1"/>
  <c r="G245" i="1"/>
  <c r="G160" i="1"/>
  <c r="G246" i="1"/>
  <c r="J246" i="1"/>
  <c r="H57" i="6" s="1"/>
  <c r="K246" i="1"/>
  <c r="G188" i="1"/>
  <c r="G109" i="1"/>
  <c r="G3" i="1"/>
  <c r="G190" i="1"/>
  <c r="J190" i="1"/>
  <c r="H55" i="6" s="1"/>
  <c r="K190" i="1"/>
  <c r="G218" i="1"/>
  <c r="G113" i="1"/>
  <c r="G75" i="1"/>
  <c r="G238" i="1"/>
  <c r="G121" i="1"/>
  <c r="J121" i="1"/>
  <c r="K121" i="1" s="1"/>
  <c r="G8" i="1"/>
  <c r="G123" i="1"/>
  <c r="G140" i="1"/>
  <c r="G129" i="1"/>
  <c r="G104" i="1"/>
  <c r="G239" i="1"/>
  <c r="G240" i="1"/>
  <c r="G202" i="1"/>
  <c r="G169" i="1"/>
  <c r="G56" i="1"/>
  <c r="G125" i="1"/>
  <c r="G241" i="1"/>
  <c r="G234" i="1"/>
  <c r="G23" i="1"/>
  <c r="G6" i="1"/>
  <c r="G107" i="1"/>
  <c r="G122" i="1"/>
  <c r="G243" i="1"/>
  <c r="G130" i="1"/>
  <c r="G143" i="1"/>
  <c r="G131" i="1"/>
  <c r="G136" i="1"/>
  <c r="G120" i="1"/>
  <c r="G34" i="1"/>
  <c r="G57" i="1"/>
  <c r="G22" i="1"/>
  <c r="G55" i="1"/>
  <c r="G7" i="1"/>
  <c r="G9" i="1"/>
  <c r="G186" i="1"/>
  <c r="G163" i="1"/>
  <c r="G161" i="1"/>
  <c r="G114" i="1"/>
  <c r="G111" i="1"/>
  <c r="G115" i="1"/>
  <c r="G155" i="1"/>
  <c r="G258" i="1"/>
  <c r="G153" i="1"/>
  <c r="G77" i="1"/>
  <c r="G70" i="1"/>
  <c r="G14" i="1"/>
  <c r="G172" i="1"/>
  <c r="G263" i="1"/>
  <c r="G170" i="1"/>
  <c r="G158" i="1"/>
  <c r="J75" i="1"/>
  <c r="K75" i="1" s="1"/>
  <c r="J169" i="1"/>
  <c r="K169" i="1"/>
  <c r="J125" i="1"/>
  <c r="K125" i="1" s="1"/>
  <c r="J23" i="1"/>
  <c r="K23" i="1" s="1"/>
  <c r="J62" i="1"/>
  <c r="K62" i="1"/>
  <c r="J135" i="1"/>
  <c r="H194" i="6" s="1"/>
  <c r="J245" i="1"/>
  <c r="K245" i="1" s="1"/>
  <c r="J218" i="1"/>
  <c r="H165" i="6" s="1"/>
  <c r="K218" i="1"/>
  <c r="J238" i="1"/>
  <c r="H106" i="6" s="1"/>
  <c r="J8" i="1"/>
  <c r="J240" i="1"/>
  <c r="K240" i="1"/>
  <c r="J56" i="1"/>
  <c r="J138" i="1"/>
  <c r="H197" i="6" s="1"/>
  <c r="J6" i="1"/>
  <c r="K6" i="1" s="1"/>
  <c r="J143" i="1"/>
  <c r="K143" i="1" s="1"/>
  <c r="K22" i="1"/>
  <c r="J7" i="1"/>
  <c r="K7" i="1" s="1"/>
  <c r="G4" i="1"/>
  <c r="E43" i="5"/>
  <c r="E125" i="5"/>
  <c r="E49" i="5"/>
  <c r="E185" i="5"/>
  <c r="E99" i="5"/>
  <c r="E119" i="5"/>
  <c r="E19" i="5"/>
  <c r="E37" i="5"/>
  <c r="E110" i="5"/>
  <c r="E100" i="5"/>
  <c r="E182" i="5"/>
  <c r="E122" i="5"/>
  <c r="E142" i="5"/>
  <c r="E83" i="5"/>
  <c r="E3" i="5"/>
  <c r="E61" i="5"/>
  <c r="E173" i="5"/>
  <c r="E144" i="5"/>
  <c r="E162" i="5"/>
  <c r="H49" i="5"/>
  <c r="F3" i="6" s="1"/>
  <c r="G3" i="6" s="1"/>
  <c r="H185" i="5"/>
  <c r="F167" i="6" s="1"/>
  <c r="G167" i="6" s="1"/>
  <c r="H99" i="5"/>
  <c r="H119" i="5"/>
  <c r="H19" i="5"/>
  <c r="H37" i="5"/>
  <c r="H110" i="5"/>
  <c r="H182" i="5"/>
  <c r="F57" i="6" s="1"/>
  <c r="G57" i="6" s="1"/>
  <c r="G124" i="6"/>
  <c r="G97" i="6"/>
  <c r="H142" i="5"/>
  <c r="F12" i="6" s="1"/>
  <c r="G12" i="6" s="1"/>
  <c r="H3" i="5"/>
  <c r="F26" i="6" s="1"/>
  <c r="G26" i="6" s="1"/>
  <c r="H61" i="5"/>
  <c r="H144" i="5"/>
  <c r="F55" i="6" s="1"/>
  <c r="G55" i="6" s="1"/>
  <c r="H162" i="5"/>
  <c r="I43" i="5"/>
  <c r="J43" i="5" s="1"/>
  <c r="I125" i="5"/>
  <c r="J125" i="5" s="1"/>
  <c r="I49" i="5"/>
  <c r="J49" i="5" s="1"/>
  <c r="I185" i="5"/>
  <c r="J185" i="5" s="1"/>
  <c r="I99" i="5"/>
  <c r="J99" i="5"/>
  <c r="I119" i="5"/>
  <c r="J119" i="5"/>
  <c r="I37" i="5"/>
  <c r="J37" i="5" s="1"/>
  <c r="I110" i="5"/>
  <c r="J110" i="5" s="1"/>
  <c r="I100" i="5"/>
  <c r="J100" i="5" s="1"/>
  <c r="I182" i="5"/>
  <c r="J182" i="5" s="1"/>
  <c r="I122" i="5"/>
  <c r="J122" i="5"/>
  <c r="I142" i="5"/>
  <c r="J142" i="5"/>
  <c r="I83" i="5"/>
  <c r="J83" i="5" s="1"/>
  <c r="I3" i="5"/>
  <c r="J3" i="5" s="1"/>
  <c r="I61" i="5"/>
  <c r="J61" i="5" s="1"/>
  <c r="I173" i="5"/>
  <c r="J173" i="5" s="1"/>
  <c r="I144" i="5"/>
  <c r="J144" i="5"/>
  <c r="I162" i="5"/>
  <c r="J162" i="5"/>
  <c r="J25" i="1"/>
  <c r="K25" i="1"/>
  <c r="J134" i="1"/>
  <c r="K134" i="1" s="1"/>
  <c r="J236" i="1"/>
  <c r="K236" i="1" s="1"/>
  <c r="J47" i="1"/>
  <c r="K47" i="1" s="1"/>
  <c r="J127" i="1"/>
  <c r="K127" i="1" s="1"/>
  <c r="J164" i="1"/>
  <c r="H127" i="6" s="1"/>
  <c r="K164" i="1"/>
  <c r="J4" i="1"/>
  <c r="K4" i="1" s="1"/>
  <c r="J156" i="1"/>
  <c r="K156" i="1" s="1"/>
  <c r="J86" i="1"/>
  <c r="K86" i="1"/>
  <c r="G86" i="1"/>
  <c r="G47" i="1"/>
  <c r="G25" i="1"/>
  <c r="G51" i="1"/>
  <c r="G127" i="1"/>
  <c r="G164" i="1"/>
  <c r="G58" i="1"/>
  <c r="G254" i="1"/>
  <c r="G134" i="1"/>
  <c r="G156" i="1"/>
  <c r="G236" i="1"/>
  <c r="G24" i="1"/>
  <c r="J24" i="1"/>
  <c r="H129" i="6" s="1"/>
  <c r="E147" i="5"/>
  <c r="H72" i="5"/>
  <c r="F15" i="6" s="1"/>
  <c r="G15" i="6" s="1"/>
  <c r="I11" i="5"/>
  <c r="J11" i="5" s="1"/>
  <c r="I147" i="5"/>
  <c r="J147" i="5" s="1"/>
  <c r="J155" i="1"/>
  <c r="H30" i="6" s="1"/>
  <c r="J186" i="1"/>
  <c r="K186" i="1" s="1"/>
  <c r="J34" i="1"/>
  <c r="K34" i="1" s="1"/>
  <c r="J115" i="1"/>
  <c r="K115" i="1" s="1"/>
  <c r="J9" i="1"/>
  <c r="K9" i="1" s="1"/>
  <c r="J120" i="1"/>
  <c r="K120" i="1" s="1"/>
  <c r="J122" i="1"/>
  <c r="K122" i="1"/>
  <c r="H91" i="5"/>
  <c r="F172" i="6" s="1"/>
  <c r="G172" i="6" s="1"/>
  <c r="H95" i="5"/>
  <c r="J258" i="1"/>
  <c r="K258" i="1" s="1"/>
  <c r="E69" i="5"/>
  <c r="E42" i="5"/>
  <c r="E157" i="5"/>
  <c r="H69" i="5"/>
  <c r="I69" i="5"/>
  <c r="J69" i="5" s="1"/>
  <c r="I42" i="5"/>
  <c r="J42" i="5" s="1"/>
  <c r="I157" i="5"/>
  <c r="J157" i="5" s="1"/>
  <c r="J179" i="1"/>
  <c r="K179" i="1" s="1"/>
  <c r="J205" i="1"/>
  <c r="K205" i="1"/>
  <c r="J88" i="1"/>
  <c r="K88" i="1" s="1"/>
  <c r="E56" i="5"/>
  <c r="H56" i="5"/>
  <c r="I56" i="5"/>
  <c r="J56" i="5" s="1"/>
  <c r="G179" i="1"/>
  <c r="G69" i="1"/>
  <c r="G81" i="1"/>
  <c r="J81" i="1"/>
  <c r="K81" i="1" s="1"/>
  <c r="G227" i="1"/>
  <c r="J227" i="1"/>
  <c r="K227" i="1" s="1"/>
  <c r="G205" i="1"/>
  <c r="G88" i="1"/>
  <c r="G206" i="1"/>
  <c r="G17" i="1"/>
  <c r="G196" i="1"/>
  <c r="G211" i="1"/>
  <c r="J69" i="1"/>
  <c r="K69" i="1" s="1"/>
  <c r="J17" i="1"/>
  <c r="H126" i="6" s="1"/>
  <c r="J211" i="1"/>
  <c r="K211" i="1" s="1"/>
  <c r="E159" i="5"/>
  <c r="E141" i="5"/>
  <c r="E10" i="5"/>
  <c r="E161" i="5"/>
  <c r="E25" i="5"/>
  <c r="H10" i="5"/>
  <c r="I159" i="5"/>
  <c r="J159" i="5" s="1"/>
  <c r="I141" i="5"/>
  <c r="J141" i="5"/>
  <c r="I10" i="5"/>
  <c r="J10" i="5"/>
  <c r="I161" i="5"/>
  <c r="J161" i="5" s="1"/>
  <c r="I25" i="5"/>
  <c r="J25" i="5" s="1"/>
  <c r="G59" i="1"/>
  <c r="G60" i="1"/>
  <c r="G49" i="1"/>
  <c r="G50" i="1"/>
  <c r="G210" i="1"/>
  <c r="G187" i="1"/>
  <c r="G132" i="1"/>
  <c r="G15" i="1"/>
  <c r="G214" i="1"/>
  <c r="G33" i="1"/>
  <c r="G74" i="1"/>
  <c r="G13" i="1"/>
  <c r="K49" i="1"/>
  <c r="J50" i="1"/>
  <c r="H35" i="6" s="1"/>
  <c r="K50" i="1"/>
  <c r="J210" i="1"/>
  <c r="K210" i="1"/>
  <c r="J187" i="1"/>
  <c r="K33" i="1"/>
  <c r="J74" i="1"/>
  <c r="K74" i="1" s="1"/>
  <c r="J12" i="1"/>
  <c r="H192" i="6" s="1"/>
  <c r="J214" i="1"/>
  <c r="H22" i="6" s="1"/>
  <c r="E8" i="5"/>
  <c r="E50" i="5"/>
  <c r="E51" i="5"/>
  <c r="H50" i="5"/>
  <c r="H51" i="5"/>
  <c r="F169" i="6" s="1"/>
  <c r="G169" i="6" s="1"/>
  <c r="I8" i="5"/>
  <c r="J8" i="5" s="1"/>
  <c r="I50" i="5"/>
  <c r="J50" i="5" s="1"/>
  <c r="I51" i="5"/>
  <c r="J51" i="5" s="1"/>
  <c r="E41" i="5"/>
  <c r="I41" i="5"/>
  <c r="J41" i="5" s="1"/>
  <c r="G12" i="1"/>
  <c r="K13" i="1"/>
  <c r="J60" i="1"/>
  <c r="J15" i="1"/>
  <c r="K15" i="1" s="1"/>
  <c r="J59" i="1"/>
  <c r="K59" i="1" s="1"/>
  <c r="J132" i="1"/>
  <c r="K132" i="1" s="1"/>
  <c r="J196" i="1"/>
  <c r="H180" i="6" s="1"/>
  <c r="H147" i="5"/>
  <c r="H141" i="5"/>
  <c r="E74" i="5"/>
  <c r="H74" i="5"/>
  <c r="I74" i="5"/>
  <c r="J74" i="5" s="1"/>
  <c r="K244" i="1"/>
  <c r="G244" i="1"/>
  <c r="G94" i="1"/>
  <c r="J94" i="1"/>
  <c r="G195" i="1"/>
  <c r="E181" i="5"/>
  <c r="E32" i="5"/>
  <c r="F230" i="6"/>
  <c r="G230" i="6" s="1"/>
  <c r="H32" i="5"/>
  <c r="I181" i="5"/>
  <c r="J181" i="5"/>
  <c r="I32" i="5"/>
  <c r="J32" i="5" s="1"/>
  <c r="E45" i="5"/>
  <c r="H45" i="5"/>
  <c r="I45" i="5"/>
  <c r="J45" i="5" s="1"/>
  <c r="E128" i="5"/>
  <c r="H128" i="5"/>
  <c r="I128" i="5"/>
  <c r="J128" i="5" s="1"/>
  <c r="E158" i="5"/>
  <c r="E172" i="5"/>
  <c r="E167" i="5"/>
  <c r="E111" i="5"/>
  <c r="H158" i="5"/>
  <c r="H172" i="5"/>
  <c r="F221" i="6"/>
  <c r="G221" i="6" s="1"/>
  <c r="H167" i="5"/>
  <c r="H111" i="5"/>
  <c r="I158" i="5"/>
  <c r="J158" i="5"/>
  <c r="I172" i="5"/>
  <c r="J172" i="5" s="1"/>
  <c r="I167" i="5"/>
  <c r="J167" i="5" s="1"/>
  <c r="I111" i="5"/>
  <c r="J111" i="5"/>
  <c r="E187" i="5"/>
  <c r="E107" i="5"/>
  <c r="E133" i="5"/>
  <c r="H187" i="5"/>
  <c r="F242" i="6"/>
  <c r="G242" i="6" s="1"/>
  <c r="H107" i="5"/>
  <c r="I187" i="5"/>
  <c r="J187" i="5" s="1"/>
  <c r="I107" i="5"/>
  <c r="J107" i="5" s="1"/>
  <c r="Z85" i="10" s="1"/>
  <c r="I133" i="5"/>
  <c r="J133" i="5" s="1"/>
  <c r="Z95" i="10" s="1"/>
  <c r="E114" i="5"/>
  <c r="E154" i="5"/>
  <c r="I114" i="5"/>
  <c r="J114" i="5" s="1"/>
  <c r="Z41" i="10" s="1"/>
  <c r="Z52" i="10"/>
  <c r="I154" i="5"/>
  <c r="J154" i="5" s="1"/>
  <c r="Z63" i="10" s="1"/>
  <c r="E93" i="5"/>
  <c r="E94" i="5"/>
  <c r="E131" i="5"/>
  <c r="E22" i="5"/>
  <c r="E23" i="5"/>
  <c r="H93" i="5"/>
  <c r="H22" i="5"/>
  <c r="H134" i="5"/>
  <c r="F28" i="6" s="1"/>
  <c r="G28" i="6" s="1"/>
  <c r="H23" i="5"/>
  <c r="I93" i="5"/>
  <c r="J93" i="5" s="1"/>
  <c r="T95" i="10" s="1"/>
  <c r="I94" i="5"/>
  <c r="J94" i="5" s="1"/>
  <c r="T106" i="10" s="1"/>
  <c r="T117" i="10"/>
  <c r="I131" i="5"/>
  <c r="J131" i="5" s="1"/>
  <c r="T128" i="10" s="1"/>
  <c r="I22" i="5"/>
  <c r="J22" i="5" s="1"/>
  <c r="Z7" i="10" s="1"/>
  <c r="Z18" i="10"/>
  <c r="I23" i="5"/>
  <c r="J23" i="5"/>
  <c r="Z30" i="10" s="1"/>
  <c r="J233" i="1"/>
  <c r="K233" i="1" s="1"/>
  <c r="J30" i="1"/>
  <c r="K30" i="1" s="1"/>
  <c r="J31" i="1"/>
  <c r="K31" i="1"/>
  <c r="J208" i="1"/>
  <c r="K208" i="1" s="1"/>
  <c r="J231" i="1"/>
  <c r="K231" i="1" s="1"/>
  <c r="J147" i="1"/>
  <c r="K147" i="1"/>
  <c r="J53" i="1"/>
  <c r="K53" i="1" s="1"/>
  <c r="J247" i="1"/>
  <c r="K247" i="1" s="1"/>
  <c r="J73" i="1"/>
  <c r="K73" i="1" s="1"/>
  <c r="J126" i="1"/>
  <c r="K126" i="1" s="1"/>
  <c r="J167" i="1"/>
  <c r="K167" i="1" s="1"/>
  <c r="J29" i="1"/>
  <c r="K29" i="1" s="1"/>
  <c r="J256" i="1"/>
  <c r="K256" i="1" s="1"/>
  <c r="J141" i="1"/>
  <c r="K141" i="1" s="1"/>
  <c r="J235" i="1"/>
  <c r="K235" i="1" s="1"/>
  <c r="J168" i="1"/>
  <c r="K168" i="1" s="1"/>
  <c r="G233" i="1"/>
  <c r="G73" i="1"/>
  <c r="G126" i="1"/>
  <c r="G128" i="1"/>
  <c r="G167" i="1"/>
  <c r="G171" i="1"/>
  <c r="G29" i="1"/>
  <c r="G30" i="1"/>
  <c r="G31" i="1"/>
  <c r="G151" i="1"/>
  <c r="G204" i="1"/>
  <c r="G256" i="1"/>
  <c r="G141" i="1"/>
  <c r="G174" i="1"/>
  <c r="G208" i="1"/>
  <c r="G235" i="1"/>
  <c r="G231" i="1"/>
  <c r="G147" i="1"/>
  <c r="G168" i="1"/>
  <c r="G53" i="1"/>
  <c r="G247" i="1"/>
  <c r="E27" i="5"/>
  <c r="E73" i="5"/>
  <c r="E71" i="5"/>
  <c r="E126" i="5"/>
  <c r="E143" i="5"/>
  <c r="E82" i="5"/>
  <c r="E136" i="5"/>
  <c r="E170" i="5"/>
  <c r="E60" i="5"/>
  <c r="H27" i="5"/>
  <c r="H73" i="5"/>
  <c r="H71" i="5"/>
  <c r="H126" i="5"/>
  <c r="H143" i="5"/>
  <c r="F219" i="6"/>
  <c r="G219" i="6" s="1"/>
  <c r="H60" i="5"/>
  <c r="N117" i="10"/>
  <c r="I27" i="5"/>
  <c r="J27" i="5"/>
  <c r="B128" i="10" s="1"/>
  <c r="I73" i="5"/>
  <c r="J73" i="5" s="1"/>
  <c r="H128" i="10" s="1"/>
  <c r="I71" i="5"/>
  <c r="J71" i="5" s="1"/>
  <c r="I126" i="5"/>
  <c r="J126" i="5" s="1"/>
  <c r="T18" i="10" s="1"/>
  <c r="I143" i="5"/>
  <c r="J143" i="5" s="1"/>
  <c r="T30" i="10" s="1"/>
  <c r="T41" i="10"/>
  <c r="I82" i="5"/>
  <c r="J82" i="5" s="1"/>
  <c r="T52" i="10" s="1"/>
  <c r="I136" i="5"/>
  <c r="J136" i="5"/>
  <c r="T63" i="10" s="1"/>
  <c r="I170" i="5"/>
  <c r="J170" i="5" s="1"/>
  <c r="T74" i="10" s="1"/>
  <c r="I60" i="5"/>
  <c r="J60" i="5" s="1"/>
  <c r="T85" i="10" s="1"/>
  <c r="E191" i="5"/>
  <c r="E78" i="5"/>
  <c r="E77" i="5"/>
  <c r="E149" i="5"/>
  <c r="E58" i="5"/>
  <c r="E62" i="5"/>
  <c r="H191" i="5"/>
  <c r="F245" i="6"/>
  <c r="G245" i="6" s="1"/>
  <c r="H78" i="5"/>
  <c r="F94" i="6"/>
  <c r="G94" i="6" s="1"/>
  <c r="H77" i="5"/>
  <c r="I191" i="5"/>
  <c r="J191" i="5" s="1"/>
  <c r="N95" i="10" s="1"/>
  <c r="I78" i="5"/>
  <c r="J78" i="5"/>
  <c r="B106" i="10" s="1"/>
  <c r="I77" i="5"/>
  <c r="J77" i="5" s="1"/>
  <c r="H106" i="10" s="1"/>
  <c r="I149" i="5"/>
  <c r="J149" i="5" s="1"/>
  <c r="N106" i="10" s="1"/>
  <c r="I58" i="5"/>
  <c r="J58" i="5" s="1"/>
  <c r="H117" i="10" s="1"/>
  <c r="I62" i="5"/>
  <c r="J62" i="5"/>
  <c r="B117" i="10" s="1"/>
  <c r="E64" i="5"/>
  <c r="E29" i="5"/>
  <c r="E31" i="5"/>
  <c r="E117" i="5"/>
  <c r="E150" i="5"/>
  <c r="E151" i="5"/>
  <c r="E12" i="5"/>
  <c r="E148" i="5"/>
  <c r="E20" i="5"/>
  <c r="E98" i="5"/>
  <c r="E146" i="5"/>
  <c r="E115" i="5"/>
  <c r="H31" i="5"/>
  <c r="F76" i="6" s="1"/>
  <c r="G76" i="6" s="1"/>
  <c r="H117" i="5"/>
  <c r="H151" i="5"/>
  <c r="H148" i="5"/>
  <c r="G186" i="6"/>
  <c r="H98" i="5"/>
  <c r="H115" i="5"/>
  <c r="G183" i="6"/>
  <c r="G184" i="6"/>
  <c r="I64" i="5"/>
  <c r="J64" i="5" s="1"/>
  <c r="I29" i="5"/>
  <c r="J29" i="5" s="1"/>
  <c r="I31" i="5"/>
  <c r="J31" i="5" s="1"/>
  <c r="H52" i="10" s="1"/>
  <c r="N52" i="10"/>
  <c r="I117" i="5"/>
  <c r="J117" i="5" s="1"/>
  <c r="B63" i="10" s="1"/>
  <c r="I150" i="5"/>
  <c r="J150" i="5" s="1"/>
  <c r="H63" i="10" s="1"/>
  <c r="I151" i="5"/>
  <c r="J151" i="5" s="1"/>
  <c r="N63" i="10" s="1"/>
  <c r="I12" i="5"/>
  <c r="J12" i="5" s="1"/>
  <c r="B74" i="10" s="1"/>
  <c r="I148" i="5"/>
  <c r="J148" i="5" s="1"/>
  <c r="H74" i="10" s="1"/>
  <c r="I20" i="5"/>
  <c r="J20" i="5" s="1"/>
  <c r="N74" i="10"/>
  <c r="B85" i="10"/>
  <c r="I98" i="5"/>
  <c r="J98" i="5" s="1"/>
  <c r="H85" i="10" s="1"/>
  <c r="I146" i="5"/>
  <c r="J146" i="5" s="1"/>
  <c r="N85" i="10" s="1"/>
  <c r="I115" i="5"/>
  <c r="J115" i="5"/>
  <c r="B95" i="10"/>
  <c r="H95" i="10"/>
  <c r="I26" i="5"/>
  <c r="J26" i="5" s="1"/>
  <c r="N18" i="10" s="1"/>
  <c r="I179" i="5"/>
  <c r="J179" i="5" s="1"/>
  <c r="N30" i="10" s="1"/>
  <c r="I109" i="5"/>
  <c r="J109" i="5" s="1"/>
  <c r="B41" i="10" s="1"/>
  <c r="I145" i="5"/>
  <c r="J145" i="5" s="1"/>
  <c r="H41" i="10" s="1"/>
  <c r="I28" i="5"/>
  <c r="J28" i="5" s="1"/>
  <c r="I30" i="5"/>
  <c r="J30" i="5" s="1"/>
  <c r="H179" i="5"/>
  <c r="F148" i="6" s="1"/>
  <c r="G148" i="6" s="1"/>
  <c r="F228" i="6"/>
  <c r="G228" i="6" s="1"/>
  <c r="H28" i="5"/>
  <c r="H30" i="5"/>
  <c r="E26" i="5"/>
  <c r="E179" i="5"/>
  <c r="E109" i="5"/>
  <c r="E145" i="5"/>
  <c r="E28" i="5"/>
  <c r="E30" i="5"/>
  <c r="E112" i="5"/>
  <c r="H112" i="5"/>
  <c r="I112" i="5"/>
  <c r="J112" i="5" s="1"/>
  <c r="H18" i="10" s="1"/>
  <c r="E15" i="5"/>
  <c r="I15" i="5"/>
  <c r="J15" i="5"/>
  <c r="N7" i="10"/>
  <c r="E24" i="5"/>
  <c r="H24" i="5"/>
  <c r="I24" i="5"/>
  <c r="J24" i="5" s="1"/>
  <c r="H7" i="10" s="1"/>
  <c r="E194" i="5"/>
  <c r="H194" i="5"/>
  <c r="I194" i="5"/>
  <c r="J194" i="5" s="1"/>
  <c r="E81" i="5"/>
  <c r="H81" i="5"/>
  <c r="F204" i="6" s="1"/>
  <c r="G204" i="6" s="1"/>
  <c r="I81" i="5"/>
  <c r="J81" i="5" s="1"/>
  <c r="B30" i="10"/>
  <c r="E75" i="5"/>
  <c r="H75" i="5"/>
  <c r="I75" i="5"/>
  <c r="J75" i="5" s="1"/>
  <c r="H30" i="10"/>
  <c r="E153" i="5"/>
  <c r="H153" i="5"/>
  <c r="I153" i="5"/>
  <c r="J153" i="5"/>
  <c r="G203" i="1"/>
  <c r="E68" i="5"/>
  <c r="H68" i="5"/>
  <c r="I68" i="5"/>
  <c r="J68" i="5" s="1"/>
  <c r="E21" i="5"/>
  <c r="H21" i="5"/>
  <c r="F92" i="6" s="1"/>
  <c r="G92" i="6" s="1"/>
  <c r="I21" i="5"/>
  <c r="J21" i="5" s="1"/>
  <c r="E186" i="5"/>
  <c r="H186" i="5"/>
  <c r="I186" i="5"/>
  <c r="J186" i="5" s="1"/>
  <c r="G178" i="1"/>
  <c r="E65" i="5"/>
  <c r="H65" i="5"/>
  <c r="I65" i="5"/>
  <c r="J65" i="5" s="1"/>
  <c r="E190" i="5"/>
  <c r="H190" i="5"/>
  <c r="I190" i="5"/>
  <c r="J190" i="5" s="1"/>
  <c r="E39" i="5"/>
  <c r="H39" i="5"/>
  <c r="I39" i="5"/>
  <c r="J39" i="5"/>
  <c r="E105" i="5"/>
  <c r="H105" i="5"/>
  <c r="I105" i="5"/>
  <c r="J105" i="5"/>
  <c r="E103" i="5"/>
  <c r="H103" i="5"/>
  <c r="I103" i="5"/>
  <c r="J103" i="5" s="1"/>
  <c r="E183" i="5"/>
  <c r="I183" i="5"/>
  <c r="J183" i="5" s="1"/>
  <c r="E13" i="5"/>
  <c r="H13" i="5"/>
  <c r="F68" i="6" s="1"/>
  <c r="G68" i="6" s="1"/>
  <c r="I13" i="5"/>
  <c r="J13" i="5" s="1"/>
  <c r="G40" i="1"/>
  <c r="E14" i="5"/>
  <c r="H14" i="5"/>
  <c r="I14" i="5"/>
  <c r="J14" i="5" s="1"/>
  <c r="E135" i="5"/>
  <c r="H135" i="5"/>
  <c r="I135" i="5"/>
  <c r="J135" i="5" s="1"/>
  <c r="G118" i="1"/>
  <c r="G65" i="1"/>
  <c r="G63" i="1"/>
  <c r="G64" i="1"/>
  <c r="G45" i="1"/>
  <c r="G105" i="1"/>
  <c r="G176" i="1"/>
  <c r="G19" i="1"/>
  <c r="G253" i="1"/>
  <c r="G83" i="1"/>
  <c r="G137" i="1"/>
  <c r="G139" i="1"/>
  <c r="G46" i="1"/>
  <c r="G260" i="1"/>
  <c r="G183" i="1"/>
  <c r="G80" i="1"/>
  <c r="G148" i="1"/>
  <c r="G255" i="1"/>
  <c r="G27" i="1"/>
  <c r="G87" i="1"/>
  <c r="G199" i="1"/>
  <c r="G95" i="1"/>
  <c r="G97" i="1"/>
  <c r="G106" i="1"/>
  <c r="G142" i="1"/>
  <c r="G173" i="1"/>
  <c r="G259" i="1"/>
  <c r="G264" i="1"/>
  <c r="G257" i="1"/>
  <c r="G32" i="1"/>
  <c r="G16" i="1"/>
  <c r="G21" i="1"/>
  <c r="G149" i="1"/>
  <c r="G35" i="1"/>
  <c r="G242" i="1"/>
  <c r="G145" i="1"/>
  <c r="G191" i="1"/>
  <c r="G37" i="1"/>
  <c r="G39" i="1"/>
  <c r="G38" i="1"/>
  <c r="G78" i="1"/>
  <c r="G41" i="1"/>
  <c r="G159" i="1"/>
  <c r="G154" i="1"/>
  <c r="G200" i="1"/>
  <c r="G201" i="1"/>
  <c r="G18" i="1"/>
  <c r="G197" i="1"/>
  <c r="G26" i="1"/>
  <c r="G265" i="1"/>
  <c r="G215" i="1"/>
  <c r="G133" i="1"/>
  <c r="G192" i="1"/>
  <c r="G152" i="1"/>
  <c r="G193" i="1"/>
  <c r="G194" i="1"/>
  <c r="G261" i="1"/>
  <c r="G100" i="1"/>
  <c r="G99" i="1"/>
  <c r="G198" i="1"/>
  <c r="G71" i="1"/>
  <c r="G76" i="1"/>
  <c r="G28" i="1"/>
  <c r="G36" i="1"/>
  <c r="G93" i="1"/>
  <c r="G90" i="1"/>
  <c r="G91" i="1"/>
  <c r="G165" i="1"/>
  <c r="G189" i="1"/>
  <c r="G184" i="1"/>
  <c r="G108" i="1"/>
  <c r="G177" i="1"/>
  <c r="G262" i="1"/>
  <c r="G232" i="1"/>
  <c r="G228" i="1"/>
  <c r="G252" i="1"/>
  <c r="G84" i="1"/>
  <c r="G72" i="1"/>
  <c r="J232" i="1"/>
  <c r="J228" i="1"/>
  <c r="K228" i="1" s="1"/>
  <c r="J252" i="1"/>
  <c r="K252" i="1" s="1"/>
  <c r="J84" i="1"/>
  <c r="K84" i="1" s="1"/>
  <c r="J118" i="1"/>
  <c r="J65" i="1"/>
  <c r="K65" i="1"/>
  <c r="J63" i="1"/>
  <c r="K63" i="1" s="1"/>
  <c r="J64" i="1"/>
  <c r="K64" i="1" s="1"/>
  <c r="J45" i="1"/>
  <c r="K45" i="1"/>
  <c r="J105" i="1"/>
  <c r="K105" i="1" s="1"/>
  <c r="J176" i="1"/>
  <c r="K176" i="1" s="1"/>
  <c r="J40" i="1"/>
  <c r="K40" i="1" s="1"/>
  <c r="J19" i="1"/>
  <c r="H68" i="6" s="1"/>
  <c r="J253" i="1"/>
  <c r="K253" i="1" s="1"/>
  <c r="J83" i="1"/>
  <c r="K83" i="1" s="1"/>
  <c r="J137" i="1"/>
  <c r="K137" i="1" s="1"/>
  <c r="J139" i="1"/>
  <c r="K139" i="1" s="1"/>
  <c r="J46" i="1"/>
  <c r="K46" i="1" s="1"/>
  <c r="J260" i="1"/>
  <c r="K260" i="1" s="1"/>
  <c r="J183" i="1"/>
  <c r="K183" i="1" s="1"/>
  <c r="J80" i="1"/>
  <c r="K80" i="1" s="1"/>
  <c r="J178" i="1"/>
  <c r="K178" i="1" s="1"/>
  <c r="J148" i="1"/>
  <c r="K148" i="1" s="1"/>
  <c r="J255" i="1"/>
  <c r="K255" i="1" s="1"/>
  <c r="J27" i="1"/>
  <c r="J87" i="1"/>
  <c r="K87" i="1" s="1"/>
  <c r="J203" i="1"/>
  <c r="K203" i="1" s="1"/>
  <c r="J199" i="1"/>
  <c r="K199" i="1" s="1"/>
  <c r="J95" i="1"/>
  <c r="K95" i="1" s="1"/>
  <c r="J97" i="1"/>
  <c r="K97" i="1" s="1"/>
  <c r="J106" i="1"/>
  <c r="K106" i="1" s="1"/>
  <c r="J142" i="1"/>
  <c r="K142" i="1" s="1"/>
  <c r="J173" i="1"/>
  <c r="K173" i="1" s="1"/>
  <c r="J264" i="1"/>
  <c r="K264" i="1" s="1"/>
  <c r="J257" i="1"/>
  <c r="K257" i="1" s="1"/>
  <c r="J32" i="1"/>
  <c r="K32" i="1" s="1"/>
  <c r="J149" i="1"/>
  <c r="K149" i="1" s="1"/>
  <c r="J242" i="1"/>
  <c r="J145" i="1"/>
  <c r="K145" i="1" s="1"/>
  <c r="J37" i="1"/>
  <c r="K37" i="1" s="1"/>
  <c r="J39" i="1"/>
  <c r="K39" i="1" s="1"/>
  <c r="J38" i="1"/>
  <c r="H42" i="6" s="1"/>
  <c r="J41" i="1"/>
  <c r="J159" i="1"/>
  <c r="K159" i="1" s="1"/>
  <c r="J154" i="1"/>
  <c r="K154" i="1" s="1"/>
  <c r="J201" i="1"/>
  <c r="K201" i="1" s="1"/>
  <c r="J197" i="1"/>
  <c r="K197" i="1" s="1"/>
  <c r="J265" i="1"/>
  <c r="K265" i="1" s="1"/>
  <c r="J215" i="1"/>
  <c r="K215" i="1" s="1"/>
  <c r="J133" i="1"/>
  <c r="K133" i="1" s="1"/>
  <c r="J192" i="1"/>
  <c r="K192" i="1" s="1"/>
  <c r="J152" i="1"/>
  <c r="K152" i="1" s="1"/>
  <c r="J193" i="1"/>
  <c r="K193" i="1" s="1"/>
  <c r="J194" i="1"/>
  <c r="K194" i="1" s="1"/>
  <c r="J261" i="1"/>
  <c r="K261" i="1" s="1"/>
  <c r="J100" i="1"/>
  <c r="K100" i="1" s="1"/>
  <c r="J99" i="1"/>
  <c r="K99" i="1" s="1"/>
  <c r="J28" i="1"/>
  <c r="K28" i="1" s="1"/>
  <c r="J36" i="1"/>
  <c r="K36" i="1" s="1"/>
  <c r="J93" i="1"/>
  <c r="K93" i="1"/>
  <c r="J90" i="1"/>
  <c r="K90" i="1" s="1"/>
  <c r="J91" i="1"/>
  <c r="K91" i="1" s="1"/>
  <c r="J165" i="1"/>
  <c r="K165" i="1" s="1"/>
  <c r="J189" i="1"/>
  <c r="K189" i="1" s="1"/>
  <c r="J184" i="1"/>
  <c r="K184" i="1" s="1"/>
  <c r="J177" i="1"/>
  <c r="H38" i="6" s="1"/>
  <c r="E44" i="5"/>
  <c r="E55" i="5"/>
  <c r="E36" i="5"/>
  <c r="E192" i="5"/>
  <c r="E169" i="5"/>
  <c r="E168" i="5"/>
  <c r="H44" i="5"/>
  <c r="H55" i="5"/>
  <c r="F74" i="6" s="1"/>
  <c r="G74" i="6" s="1"/>
  <c r="H36" i="5"/>
  <c r="H192" i="5"/>
  <c r="F75" i="6" s="1"/>
  <c r="G75" i="6" s="1"/>
  <c r="H169" i="5"/>
  <c r="F72" i="6" s="1"/>
  <c r="G72" i="6" s="1"/>
  <c r="H168" i="5"/>
  <c r="I44" i="5"/>
  <c r="J44" i="5"/>
  <c r="I55" i="5"/>
  <c r="J55" i="5" s="1"/>
  <c r="I36" i="5"/>
  <c r="J36" i="5" s="1"/>
  <c r="I192" i="5"/>
  <c r="J192" i="5" s="1"/>
  <c r="I169" i="5"/>
  <c r="J169" i="5" s="1"/>
  <c r="I168" i="5"/>
  <c r="J168" i="5"/>
  <c r="E67" i="5"/>
  <c r="E87" i="5"/>
  <c r="E59" i="5"/>
  <c r="E52" i="5"/>
  <c r="E53" i="5"/>
  <c r="E38" i="5"/>
  <c r="E80" i="5"/>
  <c r="H67" i="5"/>
  <c r="H87" i="5"/>
  <c r="F107" i="6" s="1"/>
  <c r="G107" i="6" s="1"/>
  <c r="H52" i="5"/>
  <c r="H53" i="5"/>
  <c r="H38" i="5"/>
  <c r="H80" i="5"/>
  <c r="I67" i="5"/>
  <c r="J67" i="5" s="1"/>
  <c r="I87" i="5"/>
  <c r="J87" i="5"/>
  <c r="I59" i="5"/>
  <c r="J59" i="5" s="1"/>
  <c r="I52" i="5"/>
  <c r="J52" i="5" s="1"/>
  <c r="I53" i="5"/>
  <c r="J53" i="5"/>
  <c r="I38" i="5"/>
  <c r="J38" i="5" s="1"/>
  <c r="I80" i="5"/>
  <c r="J80" i="5" s="1"/>
  <c r="J78" i="1"/>
  <c r="H56" i="6" s="1"/>
  <c r="K78" i="1"/>
  <c r="H64" i="5"/>
  <c r="J76" i="1"/>
  <c r="K76" i="1" s="1"/>
  <c r="H62" i="5"/>
  <c r="J71" i="1"/>
  <c r="K71" i="1" s="1"/>
  <c r="H58" i="5"/>
  <c r="J198" i="1"/>
  <c r="K198" i="1"/>
  <c r="H149" i="5"/>
  <c r="J18" i="1"/>
  <c r="K18" i="1" s="1"/>
  <c r="H12" i="5"/>
  <c r="J200" i="1"/>
  <c r="K200" i="1" s="1"/>
  <c r="H150" i="5"/>
  <c r="J35" i="1"/>
  <c r="K35" i="1" s="1"/>
  <c r="H26" i="5"/>
  <c r="K21" i="1"/>
  <c r="J16" i="1"/>
  <c r="K16" i="1" s="1"/>
  <c r="G185" i="1"/>
  <c r="E72" i="5"/>
  <c r="E4" i="5"/>
  <c r="E88" i="5"/>
  <c r="E140" i="5"/>
  <c r="E66" i="5"/>
  <c r="E134" i="5"/>
  <c r="E160" i="5"/>
  <c r="E92" i="5"/>
  <c r="F84" i="6"/>
  <c r="G84" i="6" s="1"/>
  <c r="H4" i="5"/>
  <c r="H166" i="5"/>
  <c r="H140" i="5"/>
  <c r="H66" i="5"/>
  <c r="H92" i="5"/>
  <c r="I72" i="5"/>
  <c r="J72" i="5" s="1"/>
  <c r="I4" i="5"/>
  <c r="J4" i="5"/>
  <c r="B7" i="10" s="1"/>
  <c r="I88" i="5"/>
  <c r="J88" i="5" s="1"/>
  <c r="I166" i="5"/>
  <c r="J166" i="5" s="1"/>
  <c r="I140" i="5"/>
  <c r="J140" i="5" s="1"/>
  <c r="I66" i="5"/>
  <c r="J66" i="5" s="1"/>
  <c r="I134" i="5"/>
  <c r="J134" i="5" s="1"/>
  <c r="I160" i="5"/>
  <c r="J160" i="5" s="1"/>
  <c r="I92" i="5"/>
  <c r="J92" i="5" s="1"/>
  <c r="H163" i="5"/>
  <c r="H113" i="5"/>
  <c r="F203" i="6" s="1"/>
  <c r="G203" i="6" s="1"/>
  <c r="J225" i="1"/>
  <c r="K225" i="1" s="1"/>
  <c r="J221" i="1"/>
  <c r="K221" i="1" s="1"/>
  <c r="J219" i="1"/>
  <c r="K219" i="1" s="1"/>
  <c r="J101" i="1"/>
  <c r="K101" i="1"/>
  <c r="J166" i="1"/>
  <c r="K166" i="1"/>
  <c r="J226" i="1"/>
  <c r="K226" i="1" s="1"/>
  <c r="J66" i="1"/>
  <c r="H74" i="6" s="1"/>
  <c r="J213" i="1"/>
  <c r="K213" i="1" s="1"/>
  <c r="J124" i="1"/>
  <c r="K124" i="1" s="1"/>
  <c r="J144" i="1"/>
  <c r="K144" i="1"/>
  <c r="J98" i="1"/>
  <c r="K98" i="1"/>
  <c r="J20" i="1"/>
  <c r="K20" i="1" s="1"/>
  <c r="J52" i="1"/>
  <c r="K52" i="1" s="1"/>
  <c r="J68" i="1"/>
  <c r="K68" i="1" s="1"/>
  <c r="J43" i="1"/>
  <c r="K43" i="1" s="1"/>
  <c r="G221" i="1"/>
  <c r="G219" i="1"/>
  <c r="G207" i="1"/>
  <c r="G101" i="1"/>
  <c r="G166" i="1"/>
  <c r="G102" i="1"/>
  <c r="G67" i="1"/>
  <c r="G217" i="1"/>
  <c r="G79" i="1"/>
  <c r="G222" i="1"/>
  <c r="G209" i="1"/>
  <c r="G150" i="1"/>
  <c r="G251" i="1"/>
  <c r="G250" i="1"/>
  <c r="G42" i="1"/>
  <c r="G89" i="1"/>
  <c r="G92" i="1"/>
  <c r="G5" i="1"/>
  <c r="G10" i="1"/>
  <c r="G119" i="1"/>
  <c r="G82" i="1"/>
  <c r="G85" i="1"/>
  <c r="G223" i="1"/>
  <c r="G226" i="1"/>
  <c r="G66" i="1"/>
  <c r="G220" i="1"/>
  <c r="G224" i="1"/>
  <c r="G248" i="1"/>
  <c r="G249" i="1"/>
  <c r="G175" i="1"/>
  <c r="G213" i="1"/>
  <c r="G212" i="1"/>
  <c r="G157" i="1"/>
  <c r="G124" i="1"/>
  <c r="G144" i="1"/>
  <c r="G98" i="1"/>
  <c r="G54" i="1"/>
  <c r="G20" i="1"/>
  <c r="G52" i="1"/>
  <c r="G68" i="1"/>
  <c r="G43" i="1"/>
  <c r="G11" i="1"/>
  <c r="J207" i="1"/>
  <c r="K207" i="1"/>
  <c r="J102" i="1"/>
  <c r="K102" i="1"/>
  <c r="H54" i="5"/>
  <c r="J217" i="1"/>
  <c r="K217" i="1" s="1"/>
  <c r="H165" i="5"/>
  <c r="H156" i="5"/>
  <c r="J150" i="1"/>
  <c r="K150" i="1" s="1"/>
  <c r="H184" i="5"/>
  <c r="J42" i="1"/>
  <c r="J89" i="1"/>
  <c r="K89" i="1" s="1"/>
  <c r="K92" i="1"/>
  <c r="J5" i="1"/>
  <c r="K5" i="1" s="1"/>
  <c r="J10" i="1"/>
  <c r="K10" i="1" s="1"/>
  <c r="J230" i="1"/>
  <c r="K230" i="1" s="1"/>
  <c r="J185" i="1"/>
  <c r="K185" i="1" s="1"/>
  <c r="J82" i="1"/>
  <c r="K82" i="1"/>
  <c r="J223" i="1"/>
  <c r="K223" i="1" s="1"/>
  <c r="J220" i="1"/>
  <c r="K220" i="1" s="1"/>
  <c r="J224" i="1"/>
  <c r="K224" i="1"/>
  <c r="J248" i="1"/>
  <c r="K248" i="1" s="1"/>
  <c r="J175" i="1"/>
  <c r="H28" i="6" s="1"/>
  <c r="J212" i="1"/>
  <c r="K212" i="1" s="1"/>
  <c r="J157" i="1"/>
  <c r="K157" i="1" s="1"/>
  <c r="J54" i="1"/>
  <c r="K54" i="1" s="1"/>
  <c r="J11" i="1"/>
  <c r="K11" i="1" s="1"/>
  <c r="J262" i="1"/>
  <c r="G225" i="1"/>
  <c r="E137" i="5"/>
  <c r="E139" i="5"/>
  <c r="E121" i="5"/>
  <c r="E164" i="5"/>
  <c r="E155" i="5"/>
  <c r="E54" i="5"/>
  <c r="E163" i="5"/>
  <c r="E165" i="5"/>
  <c r="E156" i="5"/>
  <c r="E113" i="5"/>
  <c r="E184" i="5"/>
  <c r="H164" i="5"/>
  <c r="H155" i="5"/>
  <c r="I137" i="5"/>
  <c r="J137" i="5"/>
  <c r="I139" i="5"/>
  <c r="J139" i="5"/>
  <c r="I121" i="5"/>
  <c r="J121" i="5" s="1"/>
  <c r="I164" i="5"/>
  <c r="J164" i="5" s="1"/>
  <c r="I155" i="5"/>
  <c r="J155" i="5" s="1"/>
  <c r="I54" i="5"/>
  <c r="J54" i="5" s="1"/>
  <c r="I163" i="5"/>
  <c r="J163" i="5"/>
  <c r="I165" i="5"/>
  <c r="J165" i="5"/>
  <c r="I156" i="5"/>
  <c r="J156" i="5" s="1"/>
  <c r="I113" i="5"/>
  <c r="J113" i="5" s="1"/>
  <c r="I184" i="5"/>
  <c r="J184" i="5" s="1"/>
  <c r="E175" i="5"/>
  <c r="E138" i="5"/>
  <c r="H138" i="5"/>
  <c r="F66" i="6" s="1"/>
  <c r="G66" i="6" s="1"/>
  <c r="I175" i="5"/>
  <c r="J175" i="5"/>
  <c r="I138" i="5"/>
  <c r="J138" i="5"/>
  <c r="G237" i="1"/>
  <c r="G162" i="1"/>
  <c r="G110" i="1"/>
  <c r="G61" i="1"/>
  <c r="G181" i="1"/>
  <c r="G180" i="1"/>
  <c r="G182" i="1"/>
  <c r="G229" i="1"/>
  <c r="G216" i="1"/>
  <c r="J181" i="1"/>
  <c r="H66" i="6" s="1"/>
  <c r="J162" i="1"/>
  <c r="K162" i="1" s="1"/>
  <c r="J110" i="1"/>
  <c r="K110" i="1" s="1"/>
  <c r="J61" i="1"/>
  <c r="K61" i="1" s="1"/>
  <c r="H137" i="5"/>
  <c r="J182" i="1"/>
  <c r="K182" i="1" s="1"/>
  <c r="J229" i="1"/>
  <c r="K229" i="1" s="1"/>
  <c r="J216" i="1"/>
  <c r="K216" i="1"/>
  <c r="H160" i="5"/>
  <c r="J250" i="1"/>
  <c r="K250" i="1" s="1"/>
  <c r="J251" i="1"/>
  <c r="K251" i="1" s="1"/>
  <c r="J209" i="1"/>
  <c r="K209" i="1" s="1"/>
  <c r="J222" i="1"/>
  <c r="K222" i="1"/>
  <c r="J67" i="1"/>
  <c r="K67" i="1" s="1"/>
  <c r="H121" i="5"/>
  <c r="H139" i="5"/>
  <c r="J180" i="1"/>
  <c r="K180" i="1" s="1"/>
  <c r="K237" i="1"/>
  <c r="G117" i="1"/>
  <c r="G96" i="1"/>
  <c r="J96" i="1"/>
  <c r="H27" i="6" s="1"/>
  <c r="K96" i="1"/>
  <c r="E76" i="5"/>
  <c r="I76" i="5"/>
  <c r="J76" i="5" s="1"/>
  <c r="G116" i="1"/>
  <c r="J116" i="1"/>
  <c r="K116" i="1" s="1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B14" i="9"/>
  <c r="B6" i="9"/>
  <c r="B10" i="9"/>
  <c r="F212" i="5"/>
  <c r="F85" i="5"/>
  <c r="F113" i="5"/>
  <c r="F128" i="5"/>
  <c r="G128" i="5" s="1"/>
  <c r="F135" i="5"/>
  <c r="F103" i="5"/>
  <c r="F143" i="5"/>
  <c r="F148" i="5"/>
  <c r="F79" i="5"/>
  <c r="F284" i="5"/>
  <c r="G284" i="5" s="1"/>
  <c r="F182" i="5"/>
  <c r="G182" i="5" s="1"/>
  <c r="F272" i="5"/>
  <c r="G272" i="5" s="1"/>
  <c r="F125" i="5"/>
  <c r="F198" i="5"/>
  <c r="F260" i="5"/>
  <c r="G260" i="5" s="1"/>
  <c r="F55" i="5"/>
  <c r="F64" i="5"/>
  <c r="F22" i="5"/>
  <c r="F53" i="5"/>
  <c r="F30" i="5"/>
  <c r="F9" i="5"/>
  <c r="G9" i="5" s="1"/>
  <c r="F248" i="5"/>
  <c r="G248" i="5" s="1"/>
  <c r="F175" i="5"/>
  <c r="F166" i="5"/>
  <c r="G166" i="5" s="1"/>
  <c r="F190" i="5"/>
  <c r="G190" i="5" s="1"/>
  <c r="F153" i="5"/>
  <c r="F15" i="5"/>
  <c r="F157" i="5"/>
  <c r="F7" i="5"/>
  <c r="G7" i="5" s="1"/>
  <c r="F236" i="5"/>
  <c r="G236" i="5" s="1"/>
  <c r="F180" i="5"/>
  <c r="G180" i="5" s="1"/>
  <c r="F224" i="5"/>
  <c r="F76" i="5"/>
  <c r="F92" i="5"/>
  <c r="F88" i="5"/>
  <c r="F168" i="5"/>
  <c r="F44" i="5"/>
  <c r="F13" i="5"/>
  <c r="F68" i="5"/>
  <c r="F28" i="5"/>
  <c r="G28" i="5" s="1"/>
  <c r="F12" i="5"/>
  <c r="F126" i="5"/>
  <c r="F131" i="5"/>
  <c r="F114" i="5"/>
  <c r="F45" i="5"/>
  <c r="F69" i="5"/>
  <c r="G69" i="5" s="1"/>
  <c r="F144" i="5"/>
  <c r="F110" i="5"/>
  <c r="F196" i="5"/>
  <c r="F127" i="5"/>
  <c r="F46" i="5"/>
  <c r="F106" i="5"/>
  <c r="G106" i="5" s="1"/>
  <c r="F282" i="5"/>
  <c r="G282" i="5" s="1"/>
  <c r="F270" i="5"/>
  <c r="G270" i="5" s="1"/>
  <c r="F258" i="5"/>
  <c r="G258" i="5" s="1"/>
  <c r="F246" i="5"/>
  <c r="G246" i="5" s="1"/>
  <c r="F234" i="5"/>
  <c r="G234" i="5" s="1"/>
  <c r="F222" i="5"/>
  <c r="G222" i="5" s="1"/>
  <c r="F210" i="5"/>
  <c r="G210" i="5" s="1"/>
  <c r="F156" i="5"/>
  <c r="F121" i="5"/>
  <c r="F138" i="5"/>
  <c r="F165" i="5"/>
  <c r="F52" i="5"/>
  <c r="F169" i="5"/>
  <c r="F39" i="5"/>
  <c r="F75" i="5"/>
  <c r="F24" i="5"/>
  <c r="G24" i="5" s="1"/>
  <c r="F145" i="5"/>
  <c r="G145" i="5" s="1"/>
  <c r="F151" i="5"/>
  <c r="F149" i="5"/>
  <c r="G149" i="5" s="1"/>
  <c r="F71" i="5"/>
  <c r="F93" i="5"/>
  <c r="G93" i="5" s="1"/>
  <c r="F25" i="5"/>
  <c r="G25" i="5" s="1"/>
  <c r="F61" i="5"/>
  <c r="G61" i="5" s="1"/>
  <c r="F19" i="5"/>
  <c r="F195" i="5"/>
  <c r="G195" i="5" s="1"/>
  <c r="F189" i="5"/>
  <c r="G189" i="5" s="1"/>
  <c r="F16" i="5"/>
  <c r="G16" i="5" s="1"/>
  <c r="F171" i="5"/>
  <c r="F91" i="5"/>
  <c r="F63" i="5"/>
  <c r="G63" i="5" s="1"/>
  <c r="F281" i="5"/>
  <c r="F269" i="5"/>
  <c r="G269" i="5" s="1"/>
  <c r="F257" i="5"/>
  <c r="G257" i="5" s="1"/>
  <c r="F245" i="5"/>
  <c r="G245" i="5" s="1"/>
  <c r="F233" i="5"/>
  <c r="G233" i="5" s="1"/>
  <c r="F221" i="5"/>
  <c r="G221" i="5" s="1"/>
  <c r="F209" i="5"/>
  <c r="F155" i="5"/>
  <c r="G155" i="5" s="1"/>
  <c r="F150" i="5"/>
  <c r="F60" i="5"/>
  <c r="F133" i="5"/>
  <c r="G133" i="5" s="1"/>
  <c r="F141" i="5"/>
  <c r="G141" i="5" s="1"/>
  <c r="F3" i="5"/>
  <c r="F17" i="5"/>
  <c r="F84" i="5"/>
  <c r="G84" i="5" s="1"/>
  <c r="F89" i="5"/>
  <c r="F40" i="5"/>
  <c r="F278" i="5"/>
  <c r="G278" i="5" s="1"/>
  <c r="F266" i="5"/>
  <c r="G266" i="5" s="1"/>
  <c r="F254" i="5"/>
  <c r="G254" i="5" s="1"/>
  <c r="F242" i="5"/>
  <c r="G242" i="5" s="1"/>
  <c r="F218" i="5"/>
  <c r="F206" i="5"/>
  <c r="F59" i="5"/>
  <c r="F21" i="5"/>
  <c r="G21" i="5" s="1"/>
  <c r="F51" i="5"/>
  <c r="F87" i="5"/>
  <c r="F14" i="5"/>
  <c r="F183" i="5"/>
  <c r="F105" i="5"/>
  <c r="F194" i="5"/>
  <c r="F112" i="5"/>
  <c r="F179" i="5"/>
  <c r="F146" i="5"/>
  <c r="F31" i="5"/>
  <c r="G31" i="5" s="1"/>
  <c r="F78" i="5"/>
  <c r="F170" i="5"/>
  <c r="F23" i="5"/>
  <c r="F107" i="5"/>
  <c r="F172" i="5"/>
  <c r="G172" i="5" s="1"/>
  <c r="F50" i="5"/>
  <c r="F11" i="5"/>
  <c r="F120" i="5"/>
  <c r="F97" i="5"/>
  <c r="G97" i="5" s="1"/>
  <c r="F129" i="5"/>
  <c r="G129" i="5" s="1"/>
  <c r="F288" i="5"/>
  <c r="G288" i="5" s="1"/>
  <c r="F276" i="5"/>
  <c r="G276" i="5" s="1"/>
  <c r="F264" i="5"/>
  <c r="G264" i="5" s="1"/>
  <c r="F252" i="5"/>
  <c r="G252" i="5" s="1"/>
  <c r="F240" i="5"/>
  <c r="G240" i="5" s="1"/>
  <c r="F216" i="5"/>
  <c r="G216" i="5" s="1"/>
  <c r="F204" i="5"/>
  <c r="G204" i="5" s="1"/>
  <c r="F139" i="5"/>
  <c r="F160" i="5"/>
  <c r="F4" i="5"/>
  <c r="F192" i="5"/>
  <c r="G192" i="5" s="1"/>
  <c r="F109" i="5"/>
  <c r="G109" i="5" s="1"/>
  <c r="F115" i="5"/>
  <c r="F77" i="5"/>
  <c r="F73" i="5"/>
  <c r="F163" i="5"/>
  <c r="F137" i="5"/>
  <c r="G137" i="5" s="1"/>
  <c r="F66" i="5"/>
  <c r="G66" i="5" s="1"/>
  <c r="F72" i="5"/>
  <c r="F80" i="5"/>
  <c r="G80" i="5" s="1"/>
  <c r="F65" i="5"/>
  <c r="F81" i="5"/>
  <c r="F184" i="5"/>
  <c r="F54" i="5"/>
  <c r="F164" i="5"/>
  <c r="F134" i="5"/>
  <c r="F140" i="5"/>
  <c r="F38" i="5"/>
  <c r="F67" i="5"/>
  <c r="F36" i="5"/>
  <c r="F186" i="5"/>
  <c r="F26" i="5"/>
  <c r="F98" i="5"/>
  <c r="F29" i="5"/>
  <c r="F191" i="5"/>
  <c r="F136" i="5"/>
  <c r="F158" i="5"/>
  <c r="F74" i="5"/>
  <c r="F122" i="5"/>
  <c r="F49" i="5"/>
  <c r="F130" i="5"/>
  <c r="G130" i="5" s="1"/>
  <c r="F123" i="5"/>
  <c r="F108" i="5"/>
  <c r="G108" i="5" s="1"/>
  <c r="F152" i="5"/>
  <c r="F287" i="5"/>
  <c r="G287" i="5" s="1"/>
  <c r="F275" i="5"/>
  <c r="G275" i="5" s="1"/>
  <c r="F263" i="5"/>
  <c r="G263" i="5" s="1"/>
  <c r="F251" i="5"/>
  <c r="G251" i="5" s="1"/>
  <c r="F239" i="5"/>
  <c r="G239" i="5" s="1"/>
  <c r="G227" i="5"/>
  <c r="F215" i="5"/>
  <c r="G215" i="5" s="1"/>
  <c r="F200" i="5"/>
  <c r="F293" i="5"/>
  <c r="F203" i="5"/>
  <c r="G203" i="5" s="1"/>
  <c r="F117" i="5"/>
  <c r="F62" i="5"/>
  <c r="F82" i="5"/>
  <c r="F27" i="5"/>
  <c r="F187" i="5"/>
  <c r="F111" i="5"/>
  <c r="F32" i="5"/>
  <c r="F41" i="5"/>
  <c r="G41" i="5" s="1"/>
  <c r="F8" i="5"/>
  <c r="F161" i="5"/>
  <c r="G161" i="5" s="1"/>
  <c r="F83" i="5"/>
  <c r="F119" i="5"/>
  <c r="F188" i="5"/>
  <c r="F193" i="5"/>
  <c r="F118" i="5"/>
  <c r="F124" i="5"/>
  <c r="F48" i="5"/>
  <c r="G48" i="5" s="1"/>
  <c r="F96" i="5"/>
  <c r="G96" i="5" s="1"/>
  <c r="F104" i="5"/>
  <c r="G104" i="5" s="1"/>
  <c r="F177" i="5"/>
  <c r="F6" i="5"/>
  <c r="F286" i="5"/>
  <c r="F280" i="5"/>
  <c r="F274" i="5"/>
  <c r="F268" i="5"/>
  <c r="G268" i="5" s="1"/>
  <c r="F262" i="5"/>
  <c r="F256" i="5"/>
  <c r="F250" i="5"/>
  <c r="F244" i="5"/>
  <c r="F238" i="5"/>
  <c r="F232" i="5"/>
  <c r="G232" i="5" s="1"/>
  <c r="G226" i="5"/>
  <c r="F220" i="5"/>
  <c r="F214" i="5"/>
  <c r="F208" i="5"/>
  <c r="F202" i="5"/>
  <c r="G202" i="5" s="1"/>
  <c r="F20" i="5"/>
  <c r="G20" i="5" s="1"/>
  <c r="F58" i="5"/>
  <c r="F94" i="5"/>
  <c r="F154" i="5"/>
  <c r="F167" i="5"/>
  <c r="F181" i="5"/>
  <c r="F10" i="5"/>
  <c r="G10" i="5" s="1"/>
  <c r="F162" i="5"/>
  <c r="F142" i="5"/>
  <c r="F100" i="5"/>
  <c r="G100" i="5" s="1"/>
  <c r="F99" i="5"/>
  <c r="G99" i="5" s="1"/>
  <c r="F43" i="5"/>
  <c r="G43" i="5" s="1"/>
  <c r="F18" i="5"/>
  <c r="G18" i="5" s="1"/>
  <c r="F132" i="5"/>
  <c r="G132" i="5" s="1"/>
  <c r="F178" i="5"/>
  <c r="F176" i="5"/>
  <c r="G176" i="5" s="1"/>
  <c r="F90" i="5"/>
  <c r="G90" i="5" s="1"/>
  <c r="F199" i="5"/>
  <c r="G199" i="5" s="1"/>
  <c r="F285" i="5"/>
  <c r="F279" i="5"/>
  <c r="F273" i="5"/>
  <c r="F267" i="5"/>
  <c r="F261" i="5"/>
  <c r="F255" i="5"/>
  <c r="G255" i="5" s="1"/>
  <c r="F249" i="5"/>
  <c r="F243" i="5"/>
  <c r="F237" i="5"/>
  <c r="F231" i="5"/>
  <c r="F225" i="5"/>
  <c r="G225" i="5" s="1"/>
  <c r="F219" i="5"/>
  <c r="G219" i="5" s="1"/>
  <c r="F213" i="5"/>
  <c r="G213" i="5" s="1"/>
  <c r="F207" i="5"/>
  <c r="G207" i="5" s="1"/>
  <c r="F201" i="5"/>
  <c r="G201" i="5" s="1"/>
  <c r="F159" i="5"/>
  <c r="F56" i="5"/>
  <c r="G56" i="5" s="1"/>
  <c r="F42" i="5"/>
  <c r="F147" i="5"/>
  <c r="G147" i="5" s="1"/>
  <c r="F173" i="5"/>
  <c r="G173" i="5" s="1"/>
  <c r="F37" i="5"/>
  <c r="F185" i="5"/>
  <c r="G185" i="5" s="1"/>
  <c r="F197" i="5"/>
  <c r="F116" i="5"/>
  <c r="F57" i="5"/>
  <c r="G57" i="5" s="1"/>
  <c r="F86" i="5"/>
  <c r="G86" i="5" s="1"/>
  <c r="F101" i="5"/>
  <c r="F5" i="5"/>
  <c r="F47" i="5"/>
  <c r="G47" i="5" s="1"/>
  <c r="F95" i="5"/>
  <c r="G95" i="5" s="1"/>
  <c r="F283" i="5"/>
  <c r="G283" i="5" s="1"/>
  <c r="F277" i="5"/>
  <c r="F271" i="5"/>
  <c r="F265" i="5"/>
  <c r="G265" i="5" s="1"/>
  <c r="F259" i="5"/>
  <c r="F253" i="5"/>
  <c r="F247" i="5"/>
  <c r="G247" i="5" s="1"/>
  <c r="F241" i="5"/>
  <c r="F235" i="5"/>
  <c r="G229" i="5"/>
  <c r="F223" i="5"/>
  <c r="G223" i="5" s="1"/>
  <c r="F217" i="5"/>
  <c r="G217" i="5" s="1"/>
  <c r="F211" i="5"/>
  <c r="G211" i="5" s="1"/>
  <c r="F205" i="5"/>
  <c r="G205" i="5" s="1"/>
  <c r="F292" i="5"/>
  <c r="G292" i="5" s="1"/>
  <c r="F291" i="5"/>
  <c r="G291" i="5" s="1"/>
  <c r="F290" i="5"/>
  <c r="G290" i="5" s="1"/>
  <c r="F289" i="5"/>
  <c r="G289" i="5" s="1"/>
  <c r="F174" i="5"/>
  <c r="G174" i="5" s="1"/>
  <c r="F70" i="5"/>
  <c r="G70" i="5" s="1"/>
  <c r="F35" i="5"/>
  <c r="F33" i="5"/>
  <c r="G33" i="5" s="1"/>
  <c r="F34" i="5"/>
  <c r="G34" i="5" s="1"/>
  <c r="H130" i="5"/>
  <c r="H9" i="5"/>
  <c r="G102" i="5"/>
  <c r="B16" i="9"/>
  <c r="Z128" i="10"/>
  <c r="B18" i="10"/>
  <c r="H88" i="5"/>
  <c r="H94" i="5"/>
  <c r="F120" i="6"/>
  <c r="G120" i="6" s="1"/>
  <c r="J14" i="1"/>
  <c r="K14" i="1" s="1"/>
  <c r="J171" i="1"/>
  <c r="K171" i="1" s="1"/>
  <c r="J55" i="1"/>
  <c r="K55" i="1" s="1"/>
  <c r="J243" i="1"/>
  <c r="K243" i="1"/>
  <c r="J26" i="1"/>
  <c r="K26" i="1" s="1"/>
  <c r="J259" i="1"/>
  <c r="K259" i="1" s="1"/>
  <c r="J174" i="1"/>
  <c r="K174" i="1" s="1"/>
  <c r="J241" i="1"/>
  <c r="H24" i="6" s="1"/>
  <c r="J323" i="1"/>
  <c r="H139" i="6" s="1"/>
  <c r="J276" i="1"/>
  <c r="K276" i="1" s="1"/>
  <c r="K3" i="1"/>
  <c r="J112" i="1"/>
  <c r="K112" i="1" s="1"/>
  <c r="J329" i="1"/>
  <c r="K329" i="1" s="1"/>
  <c r="H176" i="5"/>
  <c r="F225" i="6"/>
  <c r="G225" i="6" s="1"/>
  <c r="H59" i="5"/>
  <c r="F59" i="6" s="1"/>
  <c r="G59" i="6" s="1"/>
  <c r="H154" i="5"/>
  <c r="J109" i="1"/>
  <c r="K109" i="1" s="1"/>
  <c r="H83" i="5"/>
  <c r="F256" i="6"/>
  <c r="G256" i="6" s="1"/>
  <c r="F262" i="6"/>
  <c r="G262" i="6" s="1"/>
  <c r="F268" i="6"/>
  <c r="G268" i="6" s="1"/>
  <c r="F274" i="6"/>
  <c r="G274" i="6" s="1"/>
  <c r="F280" i="6"/>
  <c r="G280" i="6" s="1"/>
  <c r="F286" i="6"/>
  <c r="G286" i="6" s="1"/>
  <c r="F292" i="6"/>
  <c r="G292" i="6" s="1"/>
  <c r="F298" i="6"/>
  <c r="G298" i="6" s="1"/>
  <c r="F304" i="6"/>
  <c r="G304" i="6" s="1"/>
  <c r="F310" i="6"/>
  <c r="G310" i="6" s="1"/>
  <c r="F316" i="6"/>
  <c r="G316" i="6" s="1"/>
  <c r="F322" i="6"/>
  <c r="G322" i="6" s="1"/>
  <c r="F328" i="6"/>
  <c r="G328" i="6" s="1"/>
  <c r="F334" i="6"/>
  <c r="G334" i="6" s="1"/>
  <c r="F340" i="6"/>
  <c r="G340" i="6" s="1"/>
  <c r="F346" i="6"/>
  <c r="G346" i="6" s="1"/>
  <c r="F352" i="6"/>
  <c r="G352" i="6" s="1"/>
  <c r="F358" i="6"/>
  <c r="G358" i="6" s="1"/>
  <c r="F251" i="6"/>
  <c r="G251" i="6" s="1"/>
  <c r="F252" i="6"/>
  <c r="G252" i="6" s="1"/>
  <c r="F253" i="6"/>
  <c r="G253" i="6" s="1"/>
  <c r="F254" i="6"/>
  <c r="G254" i="6" s="1"/>
  <c r="F255" i="6"/>
  <c r="G255" i="6" s="1"/>
  <c r="F257" i="6"/>
  <c r="G257" i="6" s="1"/>
  <c r="F258" i="6"/>
  <c r="G258" i="6" s="1"/>
  <c r="F259" i="6"/>
  <c r="G259" i="6" s="1"/>
  <c r="F260" i="6"/>
  <c r="G260" i="6" s="1"/>
  <c r="F261" i="6"/>
  <c r="G261" i="6" s="1"/>
  <c r="F263" i="6"/>
  <c r="G263" i="6" s="1"/>
  <c r="F264" i="6"/>
  <c r="G264" i="6" s="1"/>
  <c r="F266" i="6"/>
  <c r="G266" i="6" s="1"/>
  <c r="F267" i="6"/>
  <c r="G267" i="6" s="1"/>
  <c r="F269" i="6"/>
  <c r="G269" i="6" s="1"/>
  <c r="F270" i="6"/>
  <c r="G270" i="6" s="1"/>
  <c r="F271" i="6"/>
  <c r="G271" i="6" s="1"/>
  <c r="F272" i="6"/>
  <c r="G272" i="6" s="1"/>
  <c r="F273" i="6"/>
  <c r="G273" i="6" s="1"/>
  <c r="F275" i="6"/>
  <c r="G275" i="6" s="1"/>
  <c r="F276" i="6"/>
  <c r="G276" i="6" s="1"/>
  <c r="F277" i="6"/>
  <c r="G277" i="6" s="1"/>
  <c r="F278" i="6"/>
  <c r="G278" i="6" s="1"/>
  <c r="F279" i="6"/>
  <c r="G279" i="6" s="1"/>
  <c r="F281" i="6"/>
  <c r="G281" i="6" s="1"/>
  <c r="F282" i="6"/>
  <c r="G282" i="6" s="1"/>
  <c r="F283" i="6"/>
  <c r="G283" i="6" s="1"/>
  <c r="F284" i="6"/>
  <c r="G284" i="6" s="1"/>
  <c r="F285" i="6"/>
  <c r="G285" i="6" s="1"/>
  <c r="F287" i="6"/>
  <c r="G287" i="6" s="1"/>
  <c r="F288" i="6"/>
  <c r="G288" i="6" s="1"/>
  <c r="F289" i="6"/>
  <c r="G289" i="6" s="1"/>
  <c r="F290" i="6"/>
  <c r="G290" i="6" s="1"/>
  <c r="F291" i="6"/>
  <c r="G291" i="6" s="1"/>
  <c r="F293" i="6"/>
  <c r="G293" i="6" s="1"/>
  <c r="F294" i="6"/>
  <c r="G294" i="6" s="1"/>
  <c r="F295" i="6"/>
  <c r="G295" i="6" s="1"/>
  <c r="F296" i="6"/>
  <c r="G296" i="6" s="1"/>
  <c r="F297" i="6"/>
  <c r="G297" i="6" s="1"/>
  <c r="F299" i="6"/>
  <c r="G299" i="6" s="1"/>
  <c r="F300" i="6"/>
  <c r="G300" i="6" s="1"/>
  <c r="F301" i="6"/>
  <c r="G301" i="6" s="1"/>
  <c r="F302" i="6"/>
  <c r="G302" i="6" s="1"/>
  <c r="F303" i="6"/>
  <c r="G303" i="6" s="1"/>
  <c r="F305" i="6"/>
  <c r="G305" i="6" s="1"/>
  <c r="F306" i="6"/>
  <c r="G306" i="6" s="1"/>
  <c r="F307" i="6"/>
  <c r="G307" i="6" s="1"/>
  <c r="F308" i="6"/>
  <c r="G308" i="6" s="1"/>
  <c r="F309" i="6"/>
  <c r="G309" i="6" s="1"/>
  <c r="F311" i="6"/>
  <c r="G311" i="6" s="1"/>
  <c r="F312" i="6"/>
  <c r="G312" i="6" s="1"/>
  <c r="F313" i="6"/>
  <c r="G313" i="6" s="1"/>
  <c r="F314" i="6"/>
  <c r="G314" i="6" s="1"/>
  <c r="F315" i="6"/>
  <c r="G315" i="6" s="1"/>
  <c r="F317" i="6"/>
  <c r="G317" i="6" s="1"/>
  <c r="F318" i="6"/>
  <c r="G318" i="6" s="1"/>
  <c r="F319" i="6"/>
  <c r="G319" i="6" s="1"/>
  <c r="F320" i="6"/>
  <c r="G320" i="6" s="1"/>
  <c r="F321" i="6"/>
  <c r="G321" i="6" s="1"/>
  <c r="F323" i="6"/>
  <c r="G323" i="6" s="1"/>
  <c r="F324" i="6"/>
  <c r="G324" i="6" s="1"/>
  <c r="F325" i="6"/>
  <c r="G325" i="6" s="1"/>
  <c r="F326" i="6"/>
  <c r="G326" i="6" s="1"/>
  <c r="F327" i="6"/>
  <c r="G327" i="6" s="1"/>
  <c r="F329" i="6"/>
  <c r="G329" i="6" s="1"/>
  <c r="F330" i="6"/>
  <c r="G330" i="6" s="1"/>
  <c r="F331" i="6"/>
  <c r="G331" i="6" s="1"/>
  <c r="F332" i="6"/>
  <c r="G332" i="6" s="1"/>
  <c r="F333" i="6"/>
  <c r="G333" i="6" s="1"/>
  <c r="F335" i="6"/>
  <c r="G335" i="6" s="1"/>
  <c r="F336" i="6"/>
  <c r="G336" i="6" s="1"/>
  <c r="F337" i="6"/>
  <c r="G337" i="6" s="1"/>
  <c r="F338" i="6"/>
  <c r="G338" i="6" s="1"/>
  <c r="F339" i="6"/>
  <c r="G339" i="6" s="1"/>
  <c r="F341" i="6"/>
  <c r="G341" i="6" s="1"/>
  <c r="F342" i="6"/>
  <c r="G342" i="6" s="1"/>
  <c r="F343" i="6"/>
  <c r="G343" i="6" s="1"/>
  <c r="F344" i="6"/>
  <c r="G344" i="6" s="1"/>
  <c r="F345" i="6"/>
  <c r="G345" i="6" s="1"/>
  <c r="F347" i="6"/>
  <c r="G347" i="6" s="1"/>
  <c r="F348" i="6"/>
  <c r="G348" i="6" s="1"/>
  <c r="F349" i="6"/>
  <c r="G349" i="6" s="1"/>
  <c r="F350" i="6"/>
  <c r="G350" i="6" s="1"/>
  <c r="F351" i="6"/>
  <c r="G351" i="6" s="1"/>
  <c r="F353" i="6"/>
  <c r="G353" i="6" s="1"/>
  <c r="F354" i="6"/>
  <c r="G354" i="6" s="1"/>
  <c r="F355" i="6"/>
  <c r="G355" i="6" s="1"/>
  <c r="F357" i="6"/>
  <c r="G357" i="6" s="1"/>
  <c r="F359" i="6"/>
  <c r="G359" i="6" s="1"/>
  <c r="F360" i="6"/>
  <c r="G360" i="6" s="1"/>
  <c r="F361" i="6"/>
  <c r="G361" i="6" s="1"/>
  <c r="F48" i="6"/>
  <c r="G48" i="6" s="1"/>
  <c r="B52" i="10" l="1"/>
  <c r="N41" i="10"/>
  <c r="G200" i="5"/>
  <c r="G135" i="5"/>
  <c r="K38" i="1"/>
  <c r="H45" i="6"/>
  <c r="H19" i="6"/>
  <c r="H196" i="6"/>
  <c r="H190" i="6"/>
  <c r="H181" i="6"/>
  <c r="H201" i="6"/>
  <c r="H195" i="6"/>
  <c r="H189" i="6"/>
  <c r="G26" i="5"/>
  <c r="G206" i="5"/>
  <c r="G45" i="5"/>
  <c r="K66" i="1"/>
  <c r="K12" i="1"/>
  <c r="H58" i="6"/>
  <c r="H34" i="6"/>
  <c r="H200" i="6"/>
  <c r="H179" i="6"/>
  <c r="G186" i="5"/>
  <c r="G13" i="5"/>
  <c r="H187" i="6"/>
  <c r="G136" i="5"/>
  <c r="G107" i="5"/>
  <c r="K155" i="1"/>
  <c r="K161" i="1"/>
  <c r="H114" i="5"/>
  <c r="H204" i="6"/>
  <c r="H198" i="6"/>
  <c r="H185" i="6"/>
  <c r="H177" i="6"/>
  <c r="H203" i="6"/>
  <c r="H182" i="6"/>
  <c r="H174" i="6"/>
  <c r="T7" i="10"/>
  <c r="N128" i="10"/>
  <c r="Z74" i="10"/>
  <c r="Z106" i="10"/>
  <c r="Z117" i="10"/>
  <c r="G228" i="5"/>
  <c r="F205" i="6"/>
  <c r="G205" i="6" s="1"/>
  <c r="G53" i="5"/>
  <c r="G212" i="5"/>
  <c r="B12" i="9"/>
  <c r="G281" i="5"/>
  <c r="G5" i="5"/>
  <c r="G159" i="5"/>
  <c r="G250" i="5"/>
  <c r="G286" i="5"/>
  <c r="G49" i="5"/>
  <c r="G146" i="5"/>
  <c r="G27" i="5"/>
  <c r="G150" i="5"/>
  <c r="G142" i="5"/>
  <c r="G50" i="5"/>
  <c r="G19" i="5"/>
  <c r="G157" i="5"/>
  <c r="G94" i="5"/>
  <c r="G158" i="5"/>
  <c r="G111" i="5"/>
  <c r="G191" i="5"/>
  <c r="G198" i="5"/>
  <c r="G32" i="5"/>
  <c r="G29" i="5"/>
  <c r="G81" i="5"/>
  <c r="G75" i="5"/>
  <c r="G154" i="5"/>
  <c r="G23" i="5"/>
  <c r="G17" i="5"/>
  <c r="G126" i="5"/>
  <c r="G79" i="5"/>
  <c r="G188" i="5"/>
  <c r="G117" i="5"/>
  <c r="G253" i="5"/>
  <c r="G116" i="5"/>
  <c r="G42" i="5"/>
  <c r="G181" i="5"/>
  <c r="G238" i="5"/>
  <c r="G274" i="5"/>
  <c r="G119" i="5"/>
  <c r="G123" i="5"/>
  <c r="G36" i="5"/>
  <c r="G54" i="5"/>
  <c r="G14" i="5"/>
  <c r="G218" i="5"/>
  <c r="G40" i="5"/>
  <c r="G91" i="5"/>
  <c r="G46" i="5"/>
  <c r="G259" i="5"/>
  <c r="G197" i="5"/>
  <c r="G167" i="5"/>
  <c r="G244" i="5"/>
  <c r="G280" i="5"/>
  <c r="G187" i="5"/>
  <c r="G179" i="5"/>
  <c r="G89" i="5"/>
  <c r="G60" i="5"/>
  <c r="G224" i="5"/>
  <c r="G85" i="5"/>
  <c r="G110" i="5"/>
  <c r="G235" i="5"/>
  <c r="G271" i="5"/>
  <c r="G178" i="5"/>
  <c r="G256" i="5"/>
  <c r="G118" i="5"/>
  <c r="G8" i="5"/>
  <c r="G82" i="5"/>
  <c r="G122" i="5"/>
  <c r="G98" i="5"/>
  <c r="G194" i="5"/>
  <c r="G71" i="5"/>
  <c r="G241" i="5"/>
  <c r="G277" i="5"/>
  <c r="G262" i="5"/>
  <c r="G193" i="5"/>
  <c r="G62" i="5"/>
  <c r="G152" i="5"/>
  <c r="G74" i="5"/>
  <c r="G134" i="5"/>
  <c r="G77" i="5"/>
  <c r="G59" i="5"/>
  <c r="G3" i="5"/>
  <c r="G209" i="5"/>
  <c r="G144" i="5"/>
  <c r="G12" i="5"/>
  <c r="G88" i="5"/>
  <c r="G175" i="5"/>
  <c r="G183" i="5"/>
  <c r="G114" i="5"/>
  <c r="G22" i="5"/>
  <c r="G261" i="5"/>
  <c r="G208" i="5"/>
  <c r="G293" i="5"/>
  <c r="G231" i="5"/>
  <c r="G267" i="5"/>
  <c r="G214" i="5"/>
  <c r="G124" i="5"/>
  <c r="G196" i="5"/>
  <c r="G125" i="5"/>
  <c r="G237" i="5"/>
  <c r="G273" i="5"/>
  <c r="G220" i="5"/>
  <c r="G6" i="5"/>
  <c r="G243" i="5"/>
  <c r="G279" i="5"/>
  <c r="G58" i="5"/>
  <c r="G177" i="5"/>
  <c r="G11" i="5"/>
  <c r="G105" i="5"/>
  <c r="G169" i="5"/>
  <c r="G35" i="5"/>
  <c r="G249" i="5"/>
  <c r="G285" i="5"/>
  <c r="G115" i="5"/>
  <c r="G51" i="5"/>
  <c r="G131" i="5"/>
  <c r="G139" i="5"/>
  <c r="G151" i="5"/>
  <c r="G83" i="5"/>
  <c r="G67" i="5"/>
  <c r="G171" i="5"/>
  <c r="G127" i="5"/>
  <c r="G30" i="5"/>
  <c r="G148" i="5"/>
  <c r="G165" i="5"/>
  <c r="G38" i="5"/>
  <c r="G101" i="5"/>
  <c r="G37" i="5"/>
  <c r="G65" i="5"/>
  <c r="G73" i="5"/>
  <c r="G120" i="5"/>
  <c r="G170" i="5"/>
  <c r="G39" i="5"/>
  <c r="G168" i="5"/>
  <c r="G44" i="5"/>
  <c r="G160" i="5"/>
  <c r="G52" i="5"/>
  <c r="G68" i="5"/>
  <c r="G164" i="5"/>
  <c r="G72" i="5"/>
  <c r="G163" i="5"/>
  <c r="G156" i="5"/>
  <c r="G103" i="5"/>
  <c r="G15" i="5"/>
  <c r="G113" i="5"/>
  <c r="G184" i="5"/>
  <c r="G87" i="5"/>
  <c r="G4" i="5"/>
  <c r="G112" i="5"/>
  <c r="G121" i="5"/>
  <c r="G78" i="5"/>
  <c r="G55" i="5"/>
  <c r="G76" i="5"/>
  <c r="G153" i="5"/>
  <c r="G143" i="5"/>
  <c r="F163" i="6"/>
  <c r="G163" i="6" s="1"/>
  <c r="F150" i="6"/>
  <c r="G150" i="6" s="1"/>
  <c r="F108" i="6"/>
  <c r="G108" i="6" s="1"/>
  <c r="F102" i="6"/>
  <c r="G102" i="6" s="1"/>
  <c r="F187" i="6"/>
  <c r="G187" i="6" s="1"/>
  <c r="F115" i="6"/>
  <c r="G115" i="6" s="1"/>
  <c r="F83" i="6"/>
  <c r="G83" i="6" s="1"/>
  <c r="F160" i="6"/>
  <c r="G160" i="6" s="1"/>
  <c r="F177" i="6"/>
  <c r="G177" i="6" s="1"/>
  <c r="F164" i="6"/>
  <c r="G164" i="6" s="1"/>
  <c r="F140" i="6"/>
  <c r="G140" i="6" s="1"/>
  <c r="F178" i="6"/>
  <c r="G178" i="6" s="1"/>
  <c r="F123" i="6"/>
  <c r="G123" i="6" s="1"/>
  <c r="F145" i="6"/>
  <c r="G145" i="6" s="1"/>
  <c r="F143" i="6"/>
  <c r="G143" i="6" s="1"/>
  <c r="F200" i="6"/>
  <c r="G200" i="6" s="1"/>
  <c r="F189" i="6"/>
  <c r="G189" i="6" s="1"/>
  <c r="F185" i="6"/>
  <c r="G185" i="6" s="1"/>
  <c r="F103" i="6"/>
  <c r="G103" i="6" s="1"/>
  <c r="F174" i="6"/>
  <c r="G174" i="6" s="1"/>
  <c r="F193" i="6"/>
  <c r="G193" i="6" s="1"/>
  <c r="F199" i="6"/>
  <c r="G199" i="6" s="1"/>
  <c r="F121" i="6"/>
  <c r="G121" i="6" s="1"/>
  <c r="F101" i="6"/>
  <c r="G101" i="6" s="1"/>
  <c r="F152" i="6"/>
  <c r="G152" i="6" s="1"/>
  <c r="F105" i="6"/>
  <c r="G105" i="6" s="1"/>
  <c r="F73" i="6"/>
  <c r="G73" i="6" s="1"/>
  <c r="F201" i="6"/>
  <c r="G201" i="6" s="1"/>
  <c r="F104" i="6"/>
  <c r="G104" i="6" s="1"/>
  <c r="F175" i="6"/>
  <c r="G175" i="6" s="1"/>
  <c r="F112" i="6"/>
  <c r="G112" i="6" s="1"/>
  <c r="F87" i="6"/>
  <c r="G87" i="6" s="1"/>
  <c r="F130" i="6"/>
  <c r="G130" i="6" s="1"/>
  <c r="F100" i="6"/>
  <c r="G100" i="6" s="1"/>
  <c r="F98" i="6"/>
  <c r="G98" i="6" s="1"/>
  <c r="F93" i="6"/>
  <c r="G93" i="6" s="1"/>
  <c r="F136" i="6"/>
  <c r="G136" i="6" s="1"/>
  <c r="F142" i="6"/>
  <c r="G142" i="6" s="1"/>
  <c r="F88" i="6"/>
  <c r="G88" i="6" s="1"/>
  <c r="F106" i="6"/>
  <c r="G106" i="6" s="1"/>
  <c r="F118" i="6"/>
  <c r="G118" i="6" s="1"/>
  <c r="F95" i="6"/>
  <c r="G95" i="6" s="1"/>
  <c r="F139" i="6"/>
  <c r="G139" i="6" s="1"/>
  <c r="F127" i="6"/>
  <c r="G127" i="6" s="1"/>
  <c r="F125" i="6"/>
  <c r="G125" i="6" s="1"/>
  <c r="F194" i="6"/>
  <c r="G194" i="6" s="1"/>
  <c r="F171" i="6"/>
  <c r="G171" i="6" s="1"/>
  <c r="F168" i="6"/>
  <c r="G168" i="6" s="1"/>
  <c r="F135" i="6"/>
  <c r="G135" i="6" s="1"/>
  <c r="F181" i="6"/>
  <c r="G181" i="6" s="1"/>
  <c r="F188" i="6"/>
  <c r="G188" i="6" s="1"/>
  <c r="F131" i="6"/>
  <c r="G131" i="6" s="1"/>
  <c r="F81" i="6"/>
  <c r="G81" i="6" s="1"/>
  <c r="F126" i="6"/>
  <c r="G126" i="6" s="1"/>
  <c r="F161" i="6"/>
  <c r="G161" i="6" s="1"/>
  <c r="F114" i="6"/>
  <c r="G114" i="6" s="1"/>
  <c r="F158" i="6"/>
  <c r="G158" i="6" s="1"/>
  <c r="F86" i="6"/>
  <c r="G86" i="6" s="1"/>
  <c r="F197" i="6"/>
  <c r="G197" i="6" s="1"/>
  <c r="F99" i="6"/>
  <c r="G99" i="6" s="1"/>
  <c r="F138" i="6"/>
  <c r="G138" i="6" s="1"/>
  <c r="F90" i="6"/>
  <c r="G90" i="6" s="1"/>
  <c r="F56" i="6"/>
  <c r="G56" i="6" s="1"/>
  <c r="F195" i="6"/>
  <c r="G195" i="6" s="1"/>
  <c r="F119" i="6"/>
  <c r="G119" i="6" s="1"/>
  <c r="F180" i="6"/>
  <c r="G180" i="6" s="1"/>
  <c r="K300" i="1"/>
  <c r="H176" i="6"/>
  <c r="H131" i="6"/>
  <c r="H135" i="6"/>
  <c r="K242" i="1"/>
  <c r="H148" i="6"/>
  <c r="K60" i="1"/>
  <c r="H169" i="6"/>
  <c r="H113" i="6"/>
  <c r="H166" i="6"/>
  <c r="H170" i="6"/>
  <c r="H36" i="6"/>
  <c r="H138" i="6"/>
  <c r="K138" i="1"/>
  <c r="H157" i="6"/>
  <c r="K56" i="1"/>
  <c r="H133" i="6"/>
  <c r="H140" i="6"/>
  <c r="H143" i="6"/>
  <c r="H145" i="6"/>
  <c r="H163" i="6"/>
  <c r="H164" i="6"/>
  <c r="K315" i="1"/>
  <c r="H141" i="6"/>
  <c r="H146" i="6"/>
  <c r="K314" i="1"/>
  <c r="H136" i="6"/>
  <c r="H147" i="6"/>
  <c r="K309" i="1"/>
  <c r="H144" i="6"/>
  <c r="K287" i="1"/>
  <c r="H149" i="6"/>
  <c r="H160" i="6"/>
  <c r="K285" i="1"/>
  <c r="H159" i="6"/>
  <c r="K158" i="1"/>
  <c r="H156" i="6"/>
  <c r="K123" i="1"/>
  <c r="H172" i="6"/>
  <c r="H114" i="6"/>
  <c r="H142" i="6"/>
  <c r="H158" i="6"/>
  <c r="H161" i="6"/>
  <c r="H168" i="6"/>
  <c r="H171" i="6"/>
  <c r="H105" i="6"/>
  <c r="H152" i="6"/>
  <c r="H6" i="6"/>
  <c r="H134" i="6"/>
  <c r="H167" i="6"/>
  <c r="K319" i="1"/>
  <c r="H137" i="6"/>
  <c r="H108" i="6"/>
  <c r="H154" i="6"/>
  <c r="F166" i="6"/>
  <c r="G166" i="6" s="1"/>
  <c r="F170" i="6"/>
  <c r="G170" i="6" s="1"/>
  <c r="F141" i="6"/>
  <c r="G141" i="6" s="1"/>
  <c r="F165" i="6"/>
  <c r="G165" i="6" s="1"/>
  <c r="F6" i="6"/>
  <c r="G6" i="6" s="1"/>
  <c r="F134" i="6"/>
  <c r="G134" i="6" s="1"/>
  <c r="K323" i="1"/>
  <c r="H118" i="6"/>
  <c r="H130" i="6"/>
  <c r="H132" i="6"/>
  <c r="K196" i="1"/>
  <c r="H119" i="6"/>
  <c r="H50" i="6"/>
  <c r="H125" i="6"/>
  <c r="K321" i="1"/>
  <c r="H123" i="6"/>
  <c r="K317" i="1"/>
  <c r="H128" i="6"/>
  <c r="K304" i="1"/>
  <c r="H122" i="6"/>
  <c r="F91" i="6"/>
  <c r="G91" i="6" s="1"/>
  <c r="F129" i="6"/>
  <c r="G129" i="6" s="1"/>
  <c r="K118" i="1"/>
  <c r="H107" i="6"/>
  <c r="K322" i="1"/>
  <c r="H104" i="6"/>
  <c r="H112" i="6"/>
  <c r="K290" i="1"/>
  <c r="H117" i="6"/>
  <c r="K288" i="1"/>
  <c r="H111" i="6"/>
  <c r="H115" i="6"/>
  <c r="K280" i="1"/>
  <c r="H109" i="6"/>
  <c r="K114" i="1"/>
  <c r="H110" i="6"/>
  <c r="F78" i="6"/>
  <c r="G78" i="6" s="1"/>
  <c r="F113" i="6"/>
  <c r="G113" i="6" s="1"/>
  <c r="H60" i="6"/>
  <c r="H95" i="6"/>
  <c r="K27" i="1"/>
  <c r="H92" i="6"/>
  <c r="H44" i="6"/>
  <c r="H99" i="6"/>
  <c r="H90" i="6"/>
  <c r="K24" i="1"/>
  <c r="H91" i="6"/>
  <c r="K8" i="1"/>
  <c r="H82" i="6"/>
  <c r="K238" i="1"/>
  <c r="H85" i="6"/>
  <c r="H87" i="6"/>
  <c r="H32" i="6"/>
  <c r="H96" i="6"/>
  <c r="H17" i="6"/>
  <c r="H93" i="6"/>
  <c r="H98" i="6"/>
  <c r="H81" i="6"/>
  <c r="H88" i="6"/>
  <c r="H101" i="6"/>
  <c r="H103" i="6"/>
  <c r="H7" i="6"/>
  <c r="H100" i="6"/>
  <c r="H47" i="6"/>
  <c r="H86" i="6"/>
  <c r="K271" i="1"/>
  <c r="H102" i="6"/>
  <c r="F32" i="6"/>
  <c r="G32" i="6" s="1"/>
  <c r="F96" i="6"/>
  <c r="G96" i="6" s="1"/>
  <c r="H54" i="6"/>
  <c r="H79" i="6"/>
  <c r="K187" i="1"/>
  <c r="H78" i="6"/>
  <c r="F54" i="6"/>
  <c r="G54" i="6" s="1"/>
  <c r="F79" i="6"/>
  <c r="G79" i="6" s="1"/>
  <c r="K262" i="1"/>
  <c r="H75" i="6"/>
  <c r="K41" i="1"/>
  <c r="H76" i="6"/>
  <c r="K232" i="1"/>
  <c r="H72" i="6"/>
  <c r="K135" i="1"/>
  <c r="H73" i="6"/>
  <c r="F67" i="6"/>
  <c r="G67" i="6" s="1"/>
  <c r="H5" i="6"/>
  <c r="F5" i="6"/>
  <c r="G5" i="6" s="1"/>
  <c r="F4" i="6"/>
  <c r="G4" i="6" s="1"/>
  <c r="F47" i="6"/>
  <c r="G47" i="6" s="1"/>
  <c r="J266" i="1"/>
  <c r="H53" i="6" s="1"/>
  <c r="J206" i="1"/>
  <c r="K58" i="1"/>
  <c r="K42" i="1"/>
  <c r="J191" i="1"/>
  <c r="K191" i="1" s="1"/>
  <c r="J108" i="1"/>
  <c r="K108" i="1" s="1"/>
  <c r="H183" i="5"/>
  <c r="H57" i="5"/>
  <c r="K177" i="1"/>
  <c r="K17" i="1"/>
  <c r="K175" i="1"/>
  <c r="K72" i="1"/>
  <c r="H61" i="6"/>
  <c r="H26" i="6"/>
  <c r="K241" i="1"/>
  <c r="H43" i="5"/>
  <c r="J140" i="1"/>
  <c r="K140" i="1" s="1"/>
  <c r="K181" i="1"/>
  <c r="K19" i="1"/>
  <c r="K214" i="1"/>
  <c r="H25" i="6"/>
  <c r="H51" i="6"/>
  <c r="K94" i="1"/>
  <c r="H21" i="6"/>
  <c r="H62" i="6"/>
  <c r="H69" i="6"/>
  <c r="H37" i="6"/>
  <c r="H39" i="6"/>
  <c r="H20" i="6"/>
  <c r="K136" i="1"/>
  <c r="H65" i="6"/>
  <c r="H63" i="6"/>
  <c r="H41" i="6"/>
  <c r="J268" i="1"/>
  <c r="K268" i="1" s="1"/>
  <c r="F39" i="6"/>
  <c r="G39" i="6" s="1"/>
  <c r="H52" i="6"/>
  <c r="K267" i="1"/>
  <c r="H196" i="5"/>
  <c r="F52" i="6" s="1"/>
  <c r="G52" i="6" s="1"/>
  <c r="H198" i="5"/>
  <c r="F14" i="6"/>
  <c r="G14" i="6" s="1"/>
  <c r="F21" i="6"/>
  <c r="G21" i="6" s="1"/>
  <c r="F19" i="6"/>
  <c r="G19" i="6" s="1"/>
  <c r="F34" i="6"/>
  <c r="G34" i="6" s="1"/>
  <c r="F33" i="6"/>
  <c r="G33" i="6" s="1"/>
  <c r="F49" i="6"/>
  <c r="G49" i="6" s="1"/>
  <c r="F45" i="6"/>
  <c r="G45" i="6" s="1"/>
  <c r="F46" i="6"/>
  <c r="G46" i="6" s="1"/>
  <c r="F16" i="6"/>
  <c r="G16" i="6" s="1"/>
  <c r="F58" i="6"/>
  <c r="G58" i="6" s="1"/>
  <c r="F64" i="6"/>
  <c r="G64" i="6" s="1"/>
  <c r="F61" i="6"/>
  <c r="G61" i="6" s="1"/>
  <c r="F51" i="6"/>
  <c r="G51" i="6" s="1"/>
  <c r="F69" i="6"/>
  <c r="G69" i="6" s="1"/>
  <c r="F37" i="6"/>
  <c r="G37" i="6" s="1"/>
  <c r="F29" i="6"/>
  <c r="G29" i="6" s="1"/>
  <c r="B8" i="9" l="1"/>
  <c r="K206" i="1"/>
  <c r="H71" i="6"/>
  <c r="K2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felipe bravo rodrigues</author>
  </authors>
  <commentList>
    <comment ref="B27" authorId="0" shapeId="0" xr:uid="{7C240EAE-AEA2-4C30-B7D8-8F2B0EE96378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CODIGO DE BARRA VA ESTAR EN LA BOLSA TERMICA CONEJO</t>
        </r>
      </text>
    </comment>
    <comment ref="A150" authorId="0" shapeId="0" xr:uid="{52EDF8B8-33DD-4E1D-94BA-6A91E41B7FB0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HACER CODIGO DE BARRAS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felipe bravo rodrigues</author>
  </authors>
  <commentList>
    <comment ref="B21" authorId="0" shapeId="0" xr:uid="{C08E737A-0313-4F89-898B-7081A867B038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CODIGO DE BARRA VA ESTAR EN LA BOLSA TERMICA CONEJO</t>
        </r>
      </text>
    </comment>
    <comment ref="B186" authorId="0" shapeId="0" xr:uid="{1F16534B-45AD-4278-8249-2C8E8A29023E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VA TENER EL CODIGO DE BARRAS EL QUE ES DE CAFESITO YOU ALREADY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felipe bravo rodrigues</author>
  </authors>
  <commentList>
    <comment ref="D6" authorId="0" shapeId="0" xr:uid="{A612FE12-82B0-47A8-99F0-DF9EF98C5685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DEBE COMPAÑERA DE XIOMARA
</t>
        </r>
      </text>
    </comment>
    <comment ref="C441" authorId="0" shapeId="0" xr:uid="{D586C4D6-5DC6-4DD4-B44E-EC03B8021200}">
      <text>
        <r>
          <rPr>
            <b/>
            <sz val="9"/>
            <color indexed="81"/>
            <rFont val="Tahoma"/>
            <family val="2"/>
          </rPr>
          <t>cristian felipe bravo rodrigues:</t>
        </r>
        <r>
          <rPr>
            <sz val="9"/>
            <color indexed="81"/>
            <rFont val="Tahoma"/>
            <family val="2"/>
          </rPr>
          <t xml:space="preserve">
ROBO POR 132,000
</t>
        </r>
      </text>
    </comment>
  </commentList>
</comments>
</file>

<file path=xl/sharedStrings.xml><?xml version="1.0" encoding="utf-8"?>
<sst xmlns="http://schemas.openxmlformats.org/spreadsheetml/2006/main" count="2338" uniqueCount="969">
  <si>
    <t>CODIGO</t>
  </si>
  <si>
    <t>NOMBRE</t>
  </si>
  <si>
    <t>PROVEEDOR</t>
  </si>
  <si>
    <t>DESCRIPCION</t>
  </si>
  <si>
    <t xml:space="preserve">COSTO UNITARIO MAYORISTA </t>
  </si>
  <si>
    <t>CANTIDAD</t>
  </si>
  <si>
    <t>TOTAL</t>
  </si>
  <si>
    <t>MARGEN DE UTILIDAD</t>
  </si>
  <si>
    <t>PRECIO DE VENTA</t>
  </si>
  <si>
    <t>PRECIO UTILIDAD</t>
  </si>
  <si>
    <t>GANACIA COMPROBADA</t>
  </si>
  <si>
    <t>AGENDA 5 MATERIA KUROMI</t>
  </si>
  <si>
    <t>BULLTOYS</t>
  </si>
  <si>
    <t>AGENDA KUROMI 5 MATERIAS MEDIANA</t>
  </si>
  <si>
    <t>VARI-5544101</t>
  </si>
  <si>
    <t>AGENDA 50 HOJAS HARRY POTTER</t>
  </si>
  <si>
    <t>ZHOTICO</t>
  </si>
  <si>
    <t>AGENDA GRIS DE HARRY POTTER RAYADA</t>
  </si>
  <si>
    <t xml:space="preserve">AGENDA CONEJO </t>
  </si>
  <si>
    <t>AGENDA 100 HOJAS</t>
  </si>
  <si>
    <t>ESCP-88714154</t>
  </si>
  <si>
    <t>AGENDA HARRY POTTER ANIME</t>
  </si>
  <si>
    <t>AGENDA ESTILO ANIME HARRY POTTER</t>
  </si>
  <si>
    <t>ESCP-881211</t>
  </si>
  <si>
    <t>AGENDA HOLOGRAMA KUROMI</t>
  </si>
  <si>
    <t>LA TIENDA DEL ESFERO</t>
  </si>
  <si>
    <t>AGENDA 5 MATERIAS HOLOGRAFICA KUROMI</t>
  </si>
  <si>
    <t>ESCP-55784</t>
  </si>
  <si>
    <t>AGENDA IMANTADA HARRY POTTER</t>
  </si>
  <si>
    <t>AGENDA HARRY POTTER</t>
  </si>
  <si>
    <t xml:space="preserve">AGENDA PASTA DURA </t>
  </si>
  <si>
    <t xml:space="preserve">AGENDA CONTRA MARCADA PASTA DURA </t>
  </si>
  <si>
    <t>AGENDA SPIDER</t>
  </si>
  <si>
    <t xml:space="preserve">AGENDAS MINI BTS </t>
  </si>
  <si>
    <t>MINI AGENDAS BTS</t>
  </si>
  <si>
    <t>VARI-005445656</t>
  </si>
  <si>
    <t>ARETE PEQUEÑO</t>
  </si>
  <si>
    <t>MUNDO ANIME</t>
  </si>
  <si>
    <t>ARETE DE FIGURAS LARGO</t>
  </si>
  <si>
    <t>VARI-005445657</t>
  </si>
  <si>
    <t>ARETE GRANDE</t>
  </si>
  <si>
    <t>ARETE PEQUEÑO LARGO</t>
  </si>
  <si>
    <t>BALS-001</t>
  </si>
  <si>
    <t xml:space="preserve">BALCA BLANCA </t>
  </si>
  <si>
    <t>XIOMARA</t>
  </si>
  <si>
    <t>BALACA BLANCA DE MAQUILLAJE</t>
  </si>
  <si>
    <t>BARCO LUFFY</t>
  </si>
  <si>
    <t>BARGO MEDIANO LUFFY EN BOTELLA</t>
  </si>
  <si>
    <t>BILLETERA ANIME RELIEVE</t>
  </si>
  <si>
    <t>BILLETERA ANIME EN RELIEVE</t>
  </si>
  <si>
    <t>VARI-011-1</t>
  </si>
  <si>
    <t xml:space="preserve">BILLETERA ANIME RELIEVE </t>
  </si>
  <si>
    <t>MUNDO COMICS</t>
  </si>
  <si>
    <t>BILLETERA RELIEVE ANIME</t>
  </si>
  <si>
    <t>VARI-004</t>
  </si>
  <si>
    <t xml:space="preserve">BILLETERA RIVERA </t>
  </si>
  <si>
    <t>THE WOLVES</t>
  </si>
  <si>
    <t>BILLETERA RIVERA NEGRA</t>
  </si>
  <si>
    <t>BISTURI HUELLA</t>
  </si>
  <si>
    <t>BISTURI HUELLA NEGRA</t>
  </si>
  <si>
    <t>BISTURI POLLITO</t>
  </si>
  <si>
    <t>BISTURI EN FORMA DE POLLO</t>
  </si>
  <si>
    <t>ESCP'015</t>
  </si>
  <si>
    <t>BOLIGRAFO GEL</t>
  </si>
  <si>
    <t>BOLIGRAFOS DE GEL DIFERENTES MOTIVOS</t>
  </si>
  <si>
    <t>JUGUE-22004</t>
  </si>
  <si>
    <t>BOLSA DE HIDRO GEL</t>
  </si>
  <si>
    <t>BULL TOYS</t>
  </si>
  <si>
    <t xml:space="preserve">BOLSA DE HIDRO GEL *300 </t>
  </si>
  <si>
    <t>ESCP-55874</t>
  </si>
  <si>
    <t xml:space="preserve">BOLSA MARCADORES *24 </t>
  </si>
  <si>
    <t>MARCADORES DOBLE PUNTA * 24</t>
  </si>
  <si>
    <t>BOLSA RESALTADORES *6</t>
  </si>
  <si>
    <t>BOLSA RESALTADORES STICHT</t>
  </si>
  <si>
    <t>JUGUE-225411</t>
  </si>
  <si>
    <t>BOLSA SORPRESA POKEMON</t>
  </si>
  <si>
    <t>BOLSA PEQUEÑA DE SORPRESA POKEMON</t>
  </si>
  <si>
    <t>BOLT-001</t>
  </si>
  <si>
    <t>BOLSA TERMICA</t>
  </si>
  <si>
    <t>BOLSA TERMICA GRANDE CON PROTECTOR</t>
  </si>
  <si>
    <t>BOLSAS TERMICAS PEQUEÑA</t>
  </si>
  <si>
    <t>BOLSAS TERMICAS</t>
  </si>
  <si>
    <t>BOLS-00114455</t>
  </si>
  <si>
    <t>BOLSO CINNAMON</t>
  </si>
  <si>
    <t>BOLSO PEQUEÑO CINNAMO BLACO</t>
  </si>
  <si>
    <t>BOLSO COMBINADO</t>
  </si>
  <si>
    <t>BOLSO COMBINADO CAFÉ BLANCO</t>
  </si>
  <si>
    <t>BOLS-007</t>
  </si>
  <si>
    <t>BOLSO DOS HEBILLAS</t>
  </si>
  <si>
    <t>BOLSO DOS EVILLAS AZUL</t>
  </si>
  <si>
    <t>BOLSO DUST</t>
  </si>
  <si>
    <t>BOLSO DOUT TAPA TRIANGULAR</t>
  </si>
  <si>
    <t>BOLSO GATO</t>
  </si>
  <si>
    <t>BOLSO BLACO DE HUELLA</t>
  </si>
  <si>
    <t xml:space="preserve">BOLSO KUROMI </t>
  </si>
  <si>
    <t>BOLSO KUROMI PELUCHE</t>
  </si>
  <si>
    <t>BOLSO MALETA KUROMI GRANDE</t>
  </si>
  <si>
    <t>BOLSO PELUCHE KUROMI GRANDE</t>
  </si>
  <si>
    <t>BOLSO MIAT MAIT AZUL NEFGR</t>
  </si>
  <si>
    <t>BOLOSO PEQUEÑO CON CADENA PLASTICO</t>
  </si>
  <si>
    <t>BOLSO MONEDERO OSO</t>
  </si>
  <si>
    <t>BOLSO OSITOS PLASTICO</t>
  </si>
  <si>
    <t>BORRADOR + TAJALAPIZ</t>
  </si>
  <si>
    <t>NECOG</t>
  </si>
  <si>
    <t>BORRADOR BARRA HUELLA</t>
  </si>
  <si>
    <t>BORRADOR BARRRLA HUELLAS AMARILLO</t>
  </si>
  <si>
    <t xml:space="preserve">BORRADOR CERDO </t>
  </si>
  <si>
    <t>BORRADOR PEQUEÑO MARRANO</t>
  </si>
  <si>
    <t>BORRADOR DONA GRANDE</t>
  </si>
  <si>
    <t>BORRADOR DONA GRANDE ROSADA</t>
  </si>
  <si>
    <t>BORR-00112200</t>
  </si>
  <si>
    <t>BORRADOR FIGURAS COLECCIÓN</t>
  </si>
  <si>
    <t>BORRADORES COLECCIONABLES</t>
  </si>
  <si>
    <t>BORRADOR INFINITO</t>
  </si>
  <si>
    <t>BORRADOR INFINITO PRINCESA</t>
  </si>
  <si>
    <t>BORRADOR RETRACTIL</t>
  </si>
  <si>
    <t>BORRADOR RECTRACTIL CON REPUESTO</t>
  </si>
  <si>
    <t>BORRADOR TIPO LABIAL</t>
  </si>
  <si>
    <t>BORRADOR TIPO LABIAL KUROMI</t>
  </si>
  <si>
    <t>BORRADORES DE VERDURAS</t>
  </si>
  <si>
    <t>BORRADORES POP CORN</t>
  </si>
  <si>
    <t>BORRADORES POP CORN * 12</t>
  </si>
  <si>
    <t xml:space="preserve">BUFANDA HARRRY POTTER </t>
  </si>
  <si>
    <t>BUFANDA DE ESCUELAS DE HARRY POTTER</t>
  </si>
  <si>
    <t>JUGUE-554787</t>
  </si>
  <si>
    <t>BURBUJERO KUROMI</t>
  </si>
  <si>
    <t>VARI-0005889663</t>
  </si>
  <si>
    <t>CAJA DE CARTAS *10</t>
  </si>
  <si>
    <t>SOBRE DE CARTAS *10</t>
  </si>
  <si>
    <t>CAJA-455525</t>
  </si>
  <si>
    <t>CAJA MUSICAL SERIES</t>
  </si>
  <si>
    <t>CAJA DWE MADERA MUSICAL</t>
  </si>
  <si>
    <t>VARI-554788</t>
  </si>
  <si>
    <t>CAJA SORPRESA POKEMON</t>
  </si>
  <si>
    <t>CAJA MEDIAN DE SORPRESA POKEMON CON POKEBOLA</t>
  </si>
  <si>
    <t>CALCULADORA SANRIO</t>
  </si>
  <si>
    <t>CALCULADORA CINAMORROL</t>
  </si>
  <si>
    <t>CAPERTAS KUROMI</t>
  </si>
  <si>
    <t>CARPETAS FLEXIBLES KUROMI</t>
  </si>
  <si>
    <t>CARGADOR UNIVERSAL MULTIFUNCIONAL</t>
  </si>
  <si>
    <t>CARGADOR INALAMBRICO - ALARMA - RELOJ - LAMPARA</t>
  </si>
  <si>
    <t>JUEGUE-84452</t>
  </si>
  <si>
    <t>CARRO LOCO CON LUCES</t>
  </si>
  <si>
    <t>CARRO LOCO CON LUCESY CONTROL REMOTO</t>
  </si>
  <si>
    <t>JUGUE-85547</t>
  </si>
  <si>
    <t>CARTAS DE KUROMI</t>
  </si>
  <si>
    <t xml:space="preserve">CARTAS *10 DE KUROMI </t>
  </si>
  <si>
    <t>JUGUE-88522</t>
  </si>
  <si>
    <t>CARTAS DRAGON BALL</t>
  </si>
  <si>
    <t>TIRA DE CARTAS DE CARTON DE *10 DBZ</t>
  </si>
  <si>
    <t>VARI-554777</t>
  </si>
  <si>
    <t>CARTAS SENCILLAS TORNASOL *25</t>
  </si>
  <si>
    <t xml:space="preserve">CARTAS * 25 DE ANIME </t>
  </si>
  <si>
    <t>VARI-00055448898</t>
  </si>
  <si>
    <t>CARTAS*55</t>
  </si>
  <si>
    <t>CARTAS *55 DORADAS DBZ</t>
  </si>
  <si>
    <t>VARI-00065569222</t>
  </si>
  <si>
    <t xml:space="preserve">CARTAS *55 ANIME </t>
  </si>
  <si>
    <t>CARTUCHERA</t>
  </si>
  <si>
    <t>CARTUCHERA CINNAMOROLL</t>
  </si>
  <si>
    <t>CARTU-5587447</t>
  </si>
  <si>
    <t xml:space="preserve">CARTUCHERA 3D GRANDE </t>
  </si>
  <si>
    <t xml:space="preserve">CARUTCHERA GRANDE PASTA DURA </t>
  </si>
  <si>
    <t>CARTUCHERA CON SQUISH GRANDE GATO AZUL</t>
  </si>
  <si>
    <t>CARTUCHERA CON SQUISH GRANDE GATO ROSADO</t>
  </si>
  <si>
    <t>CARTUCHERA CON SQUISH MULTIFUNCIONAL</t>
  </si>
  <si>
    <t>CARTUCHERA CON SQUISH MULTIFUNCIONAL  DINOSAURIO NEGRO</t>
  </si>
  <si>
    <t>CARTUCHERA ECONOMICA</t>
  </si>
  <si>
    <t>CARTUCHERA HELLO KITTY</t>
  </si>
  <si>
    <t>CARTUCHERA HELLO KITTY ROSA</t>
  </si>
  <si>
    <t>CARTUCHERA KIT DISNEY</t>
  </si>
  <si>
    <t>CARTUCHERA DE KIT 1 DIFERENTES MOTIVOS</t>
  </si>
  <si>
    <t>ESCP-00555188</t>
  </si>
  <si>
    <t>CARTUCHERA KUROMI</t>
  </si>
  <si>
    <t>CARTUCHERA PLATICA KUROMI</t>
  </si>
  <si>
    <t>CARTUCHERA LUKY</t>
  </si>
  <si>
    <t>CARTUCHERA AZUL DE GATO GRNADE LUKY</t>
  </si>
  <si>
    <t>CAR'004</t>
  </si>
  <si>
    <t>CARTUCHERA MEOW</t>
  </si>
  <si>
    <t>CATUCHERA MEOW</t>
  </si>
  <si>
    <t>CARTUCHERA MULTIFUNSIONAL</t>
  </si>
  <si>
    <t>PAPEARTE</t>
  </si>
  <si>
    <t xml:space="preserve">CARTUCHERA MULTIFUNSIONAL </t>
  </si>
  <si>
    <t>CEPP-00111222</t>
  </si>
  <si>
    <t xml:space="preserve">CEPILLO </t>
  </si>
  <si>
    <t>AD IMPORTADORA</t>
  </si>
  <si>
    <t>CEPILLO PARA PELO NEGRO</t>
  </si>
  <si>
    <t>CEPILLO DE DIENTES</t>
  </si>
  <si>
    <t>CEPILLO DE DIENTE KUROMI</t>
  </si>
  <si>
    <t>CINTA KUROMI</t>
  </si>
  <si>
    <t>CINTA KUROMI *4</t>
  </si>
  <si>
    <t>CINB'011</t>
  </si>
  <si>
    <t>CINTA LEVANTA B</t>
  </si>
  <si>
    <t>CINTA LEVANTA BUSTO</t>
  </si>
  <si>
    <t>COLECCIÓN ONE PICE*3</t>
  </si>
  <si>
    <t xml:space="preserve">COLECCIÓN DE FIUGURAS GRANDES ONE PICE *3 GRANDE </t>
  </si>
  <si>
    <t>VAR1-001100</t>
  </si>
  <si>
    <t>COLLARES ANIME</t>
  </si>
  <si>
    <t>COLLARES ANIMER Y FUGURAS</t>
  </si>
  <si>
    <t>COLORES ASTRONAUTA</t>
  </si>
  <si>
    <t>CAJA DE COLORES *12 ASTRONAUTA</t>
  </si>
  <si>
    <t xml:space="preserve">CONSOLA DE JUEGOS </t>
  </si>
  <si>
    <t>TM MAYORISTA</t>
  </si>
  <si>
    <t>CONSOLA DE JUEGOS DE MUÑECOS</t>
  </si>
  <si>
    <t>CORRECTOR CINTA SANRIO</t>
  </si>
  <si>
    <t>CORRECTOR SANRIO PEQUEÑO</t>
  </si>
  <si>
    <t>CORRECTOR HELLO KITTY</t>
  </si>
  <si>
    <t>CORRECTOR LIQUIDO HELLO KITTY</t>
  </si>
  <si>
    <t>CORRECTOR HUEVO</t>
  </si>
  <si>
    <t>CORRECTOR HUEVO PANDA EN CINTA</t>
  </si>
  <si>
    <t>CORRECTOR SQUISH GARRA</t>
  </si>
  <si>
    <t>CORRECTOR UNICORNIO</t>
  </si>
  <si>
    <t>CORECTOR UNICORNIO LIQUIDO</t>
  </si>
  <si>
    <t>VARI-0025448</t>
  </si>
  <si>
    <t xml:space="preserve">CORTA TIEMPO HARRY POTTER </t>
  </si>
  <si>
    <t>COSEDORA BTS</t>
  </si>
  <si>
    <t>COSEDORA BTS AMARILLA</t>
  </si>
  <si>
    <t>COSMETIQUERA</t>
  </si>
  <si>
    <t>COSMETIQUERA SANRIO</t>
  </si>
  <si>
    <t>CRAYOLA-001</t>
  </si>
  <si>
    <t>CRAYOLA GIRATORIA</t>
  </si>
  <si>
    <t>COLORES CRAYOLA CINNAMOROLL</t>
  </si>
  <si>
    <t>CREMA DE MANOS SIRENA</t>
  </si>
  <si>
    <t>CRMA DE MANOS SIRENA AMARILLA</t>
  </si>
  <si>
    <t>CREMA DE MANOS SIRENA AZUL</t>
  </si>
  <si>
    <t>CUADERNO CONTRA MARCADO DE DISEÑOS</t>
  </si>
  <si>
    <t>CUADERNO 100 HOJAS CONTRA MARCADO</t>
  </si>
  <si>
    <t>DIA-001</t>
  </si>
  <si>
    <t>DIADEMA BLUETOOTH</t>
  </si>
  <si>
    <t>DIADEMA GATO ROSA</t>
  </si>
  <si>
    <t>VARI-00055520</t>
  </si>
  <si>
    <t>DOCENA DE TOPOS</t>
  </si>
  <si>
    <t xml:space="preserve">DOCENA DE TOPOS PEQUEÑOS </t>
  </si>
  <si>
    <t xml:space="preserve">ESFERO CEBOLLA </t>
  </si>
  <si>
    <t>ESFERO CEBOLLA LARGA VERDE</t>
  </si>
  <si>
    <t>ESFERO MULTIMAS *10</t>
  </si>
  <si>
    <t>ESFERO DIFERENTES COLORES *10</t>
  </si>
  <si>
    <t>ESFEROS MULTICOLOR *6</t>
  </si>
  <si>
    <t>ESFEROS MULTICOLOR *6 MINAS</t>
  </si>
  <si>
    <t>ESTUCHE AIRPODS</t>
  </si>
  <si>
    <t>ESTUCHE DE AIRPODS CERDITO</t>
  </si>
  <si>
    <t>LAMP-007</t>
  </si>
  <si>
    <t>EXTENCIONES LUCES</t>
  </si>
  <si>
    <t>EXTENSION LUCES ESTRELLAS</t>
  </si>
  <si>
    <t>LAMP-006</t>
  </si>
  <si>
    <t>EXTENCIONES LUCES MARIPOSAS</t>
  </si>
  <si>
    <t>EXTENSION LUCES MARIPOSAS</t>
  </si>
  <si>
    <t>FOAM PATO</t>
  </si>
  <si>
    <t>FOMY PLASTILINA PATO</t>
  </si>
  <si>
    <t>FOMY DE ANIMALES</t>
  </si>
  <si>
    <t>FOMY PLASTILINA DINO</t>
  </si>
  <si>
    <t>JUEUE-00124</t>
  </si>
  <si>
    <t>FUSIL DE HIDROGEL</t>
  </si>
  <si>
    <t>FUSIL AK47 DE HIDROGEL GRANDE</t>
  </si>
  <si>
    <t>GIRATIEMPO HARRY POTTER</t>
  </si>
  <si>
    <t>MUUNDO COMICS</t>
  </si>
  <si>
    <t>GIRATIEMPO HARRY</t>
  </si>
  <si>
    <t>GORRO DE BAÑO</t>
  </si>
  <si>
    <t xml:space="preserve">GORRO DE BAÑO DE FLOR </t>
  </si>
  <si>
    <t>GUANTE DE COCINA</t>
  </si>
  <si>
    <t xml:space="preserve">GUANTE DE COCINA SANRIO </t>
  </si>
  <si>
    <t>JUGUE-5547874</t>
  </si>
  <si>
    <t>HUEVO LEGOO</t>
  </si>
  <si>
    <t>HUEVO LEGO</t>
  </si>
  <si>
    <t>VARI-007115524</t>
  </si>
  <si>
    <t>HUMIDIFICADOR PANDA</t>
  </si>
  <si>
    <t>HUMIDIFICADOR PANDA PEQUEÑO</t>
  </si>
  <si>
    <t>IMPRESORA TERMICA</t>
  </si>
  <si>
    <t>IMPRESORA TERMICA DE GATO</t>
  </si>
  <si>
    <t>KIT CINNAMOROLL</t>
  </si>
  <si>
    <t>KIT CUADERNO ESFERO AGENDA CINTA CORRECTOR</t>
  </si>
  <si>
    <t>ECSP-0014778</t>
  </si>
  <si>
    <t>KIT DE ARTE DINOSAURIO</t>
  </si>
  <si>
    <t>KIT DE ARTE PEQUÑI DINOSAURIO</t>
  </si>
  <si>
    <t xml:space="preserve">KIT DE ARTE HEXAGONAL </t>
  </si>
  <si>
    <t>KIT DE ARTE HEXAGONAL AZUL</t>
  </si>
  <si>
    <t>ESCP-55487</t>
  </si>
  <si>
    <t>KIT DE ARTE KUROMI</t>
  </si>
  <si>
    <t>KIT DE ARTE KUROMI PEQUEÑO</t>
  </si>
  <si>
    <t>VARI-0044877</t>
  </si>
  <si>
    <t xml:space="preserve">KIT DE HARRY PLUMA </t>
  </si>
  <si>
    <t xml:space="preserve">KIT PEQUEÑO DE HARRY POTTER </t>
  </si>
  <si>
    <t>VARI-005878</t>
  </si>
  <si>
    <t>KIT DE PINES HARRY POTTER</t>
  </si>
  <si>
    <t>KIT DE PINES METALICOS DE HARRY POTTER</t>
  </si>
  <si>
    <t>KIT ESCOLAR * 208</t>
  </si>
  <si>
    <t>KIT ESCLAR DE 208 PIEZAS GRANDE</t>
  </si>
  <si>
    <t>KIT ESCOLAR *150</t>
  </si>
  <si>
    <t>KIT ESCOLAR MEDIANO NEGRO</t>
  </si>
  <si>
    <t>KIT ESCOLAR 2</t>
  </si>
  <si>
    <t>KIT ESCOLAR 2 LAPICES BORRADOR TAJALIZ Y REGLA</t>
  </si>
  <si>
    <t>KIT ESCOLAR DORAIMON</t>
  </si>
  <si>
    <t>KIT ESCOLAR CON LAPIZ AGENDA</t>
  </si>
  <si>
    <t>ESCP-22118</t>
  </si>
  <si>
    <t>KIT HARRY POTTER</t>
  </si>
  <si>
    <t>KIT DE PLUMAS HARRY POTTER CON LLAVERO</t>
  </si>
  <si>
    <t>JUGUE-44778</t>
  </si>
  <si>
    <t>KIT DE ESCRITURA HARRY POTTER</t>
  </si>
  <si>
    <t>JUGUE-8822244</t>
  </si>
  <si>
    <t>KIT PULSERA</t>
  </si>
  <si>
    <t>KIT PULSERA PEQUEÑO</t>
  </si>
  <si>
    <t>LAMPARA 3D DBZ</t>
  </si>
  <si>
    <t>LAMPARA ARMABLE 3D DBZ</t>
  </si>
  <si>
    <t>LAMPARA BUHO</t>
  </si>
  <si>
    <t>LAMPARA SENSOR DE BUHO AZUL</t>
  </si>
  <si>
    <t>MED-001</t>
  </si>
  <si>
    <t>LAMPARA DE HARRY POTTER</t>
  </si>
  <si>
    <t>LAMPARA DE NAVIDAD DE HARRY POTTER</t>
  </si>
  <si>
    <t>LAMP-001</t>
  </si>
  <si>
    <t>LAMPARA ESTRELLA</t>
  </si>
  <si>
    <t>LAMPARA GRANDE ESTRELLA ROSADA</t>
  </si>
  <si>
    <t>VARI-001122</t>
  </si>
  <si>
    <t xml:space="preserve">LAMPARA KUROMI </t>
  </si>
  <si>
    <t>LAMPARA KUROMI QUE HABLA</t>
  </si>
  <si>
    <t>LAMP-009</t>
  </si>
  <si>
    <t>LAMPARA LUNA</t>
  </si>
  <si>
    <t>LAMPARA AMARILLA LUNA</t>
  </si>
  <si>
    <t>VARI-447882</t>
  </si>
  <si>
    <t>LAMPARA PIKACHU</t>
  </si>
  <si>
    <t>VARI-05578</t>
  </si>
  <si>
    <t>LAMPARA REDONDA ANIME</t>
  </si>
  <si>
    <t>LAPARA REDONDA TRANSPARENTE DE ANIME</t>
  </si>
  <si>
    <t>VARI-22787</t>
  </si>
  <si>
    <t xml:space="preserve">LAMPARA REDONDA GRANDE </t>
  </si>
  <si>
    <t>LAMPARA REDONDA GRANDE ACETATO</t>
  </si>
  <si>
    <t>ANIME-55633584</t>
  </si>
  <si>
    <t>LAMPARA TOTORO</t>
  </si>
  <si>
    <t>LAMPARA GRANDE TOTORO</t>
  </si>
  <si>
    <t>LAMP-002</t>
  </si>
  <si>
    <t>LAMPARA UNICORNO</t>
  </si>
  <si>
    <t>LAMPARA UNICORNIO PEQUEÑA</t>
  </si>
  <si>
    <t>ESCP-522241</t>
  </si>
  <si>
    <t xml:space="preserve">LAPIZ INFINITO CON BORRADOR </t>
  </si>
  <si>
    <t>LAPIZ INFINITO CON BORRADOR LARGO</t>
  </si>
  <si>
    <t>LAPIZ INFINITO NUEVO</t>
  </si>
  <si>
    <t>LAPIZ INFINITO MAS CARO</t>
  </si>
  <si>
    <t>LEGO COLECCIÓN *12</t>
  </si>
  <si>
    <t>COLECCIÓN DE FIGURAS DE LEGO EN CAJA * 12</t>
  </si>
  <si>
    <t>LEGO DE ADVENGERS</t>
  </si>
  <si>
    <t>LEGOS</t>
  </si>
  <si>
    <t>CAJA DE LEGOS ADVENGERS *2</t>
  </si>
  <si>
    <t>JUGUE-55411</t>
  </si>
  <si>
    <t>LEGO DE FIGURAS PEQUEÑO</t>
  </si>
  <si>
    <t>LEGO DE FIGURAS DE ANIME</t>
  </si>
  <si>
    <t>LEGO GRANDE DE ADVENGERS</t>
  </si>
  <si>
    <t>CAJA DE 616 PC DE IRO MAN</t>
  </si>
  <si>
    <t>LEGO KATANA DMS</t>
  </si>
  <si>
    <t>JUGUE-013</t>
  </si>
  <si>
    <t>LEGO PEQUEÑO</t>
  </si>
  <si>
    <t>D'PARRANDA</t>
  </si>
  <si>
    <t>LEGO PEQUEÑO POCAS PIEZAS</t>
  </si>
  <si>
    <t>LEGO ROBOT</t>
  </si>
  <si>
    <t>LEGOS COLECCIÓN *6</t>
  </si>
  <si>
    <t xml:space="preserve">COLECCIÓN DE FIGURAS DE LEGO EN CARTON PEQUÑO </t>
  </si>
  <si>
    <t>LIMPIADOR FACIAL BUHO</t>
  </si>
  <si>
    <t>LIMPIADOR FACIAL BUHO MORADO</t>
  </si>
  <si>
    <t>LLAV-004</t>
  </si>
  <si>
    <t xml:space="preserve">LLAVERO GRANDE </t>
  </si>
  <si>
    <t>LLAVEROS GRANDES FIGURAS</t>
  </si>
  <si>
    <t>LLAV-005</t>
  </si>
  <si>
    <t xml:space="preserve">LLAVEROS </t>
  </si>
  <si>
    <t>LLAVEROS DE FIGURAS</t>
  </si>
  <si>
    <t>LONC-005</t>
  </si>
  <si>
    <t>LONCHERA COLORES</t>
  </si>
  <si>
    <t>LONCHERA DE COLORES TERMICA</t>
  </si>
  <si>
    <t>LONCHERA ELECTRICA AZUL</t>
  </si>
  <si>
    <t xml:space="preserve">LONCHERA ELECTRICA AZUL </t>
  </si>
  <si>
    <t>LONC-004</t>
  </si>
  <si>
    <t>LONCHERA TERMICA</t>
  </si>
  <si>
    <t>LONCHERA TERMICA ANIMALES</t>
  </si>
  <si>
    <t>LON'JCC02'32</t>
  </si>
  <si>
    <t>LONCHERA TERMICA UNICORNIO</t>
  </si>
  <si>
    <t xml:space="preserve">LONCHERA TERMICA </t>
  </si>
  <si>
    <t>LOCH-0011887</t>
  </si>
  <si>
    <t>LONCHERA TERMICA GRANDE</t>
  </si>
  <si>
    <t>LONCHERAS GRANDES DE ANIMALES</t>
  </si>
  <si>
    <t xml:space="preserve">MANILLA BOLSA </t>
  </si>
  <si>
    <t>BOLSA DE PULSERAS ARMABLE</t>
  </si>
  <si>
    <t>VARI'003</t>
  </si>
  <si>
    <t>MANTA CON ALMOADA</t>
  </si>
  <si>
    <t>MANTA CAP AMERICA</t>
  </si>
  <si>
    <t>MAPA HARRY POTTER</t>
  </si>
  <si>
    <t>MAPA DE TRAVESURAS HARRY POTTER</t>
  </si>
  <si>
    <t>ESCP-5500770</t>
  </si>
  <si>
    <t>MARCADOR DOBLE PUNTA *40 PIEZAS</t>
  </si>
  <si>
    <t>MARCADORES DOBLE PUNTA *48</t>
  </si>
  <si>
    <t>MARCADOR X 24</t>
  </si>
  <si>
    <t>MARCADORES DOBLE PUNTA CAJA GRANDE POR 24 UN</t>
  </si>
  <si>
    <t>MEDIAS MOTIVOS</t>
  </si>
  <si>
    <t xml:space="preserve">MEDIAS MOTIVOS </t>
  </si>
  <si>
    <t>CUBI-00113300</t>
  </si>
  <si>
    <t>MENAJE CUCHARA TENEDOR</t>
  </si>
  <si>
    <t>MENAJE CUCHARA TENEDOR CAFÉ</t>
  </si>
  <si>
    <t>REP-551000</t>
  </si>
  <si>
    <t>MINAS DE REPUESTO</t>
  </si>
  <si>
    <t>MINAS DE REPUESTO ESFERO DE GEL</t>
  </si>
  <si>
    <t>VAR-000011</t>
  </si>
  <si>
    <t>MINAS RESPUESTO LAPIZ INFNITO</t>
  </si>
  <si>
    <t>MINAS DE RESPUTO LAPIZ INFINITO RETRACTIL</t>
  </si>
  <si>
    <t>MINI AGENDA KUROMI</t>
  </si>
  <si>
    <t>AGENDA MINI</t>
  </si>
  <si>
    <t>ESCP-00883</t>
  </si>
  <si>
    <t>MINI AGENDA SANRIO</t>
  </si>
  <si>
    <t>MINI AGENDA 50 HOJAS SAN RIO</t>
  </si>
  <si>
    <t>MINI LIBRETA SAN RIO</t>
  </si>
  <si>
    <t>MINI LIBRETAS CON EFECTO RELIEVE</t>
  </si>
  <si>
    <t xml:space="preserve">MINI PLANCHA PARA PELO </t>
  </si>
  <si>
    <t>PLANCHA PARA EL PELO BLANCA</t>
  </si>
  <si>
    <t>MINI WAFLERA</t>
  </si>
  <si>
    <t xml:space="preserve">MINI WAFLERA </t>
  </si>
  <si>
    <t>MOCH-001113354558</t>
  </si>
  <si>
    <t>MOCH-001</t>
  </si>
  <si>
    <t>MOCHILA VELEZ</t>
  </si>
  <si>
    <t>VARI-005</t>
  </si>
  <si>
    <t>MONEDERO GOMA</t>
  </si>
  <si>
    <t xml:space="preserve">MONEDERO GOMA CONEJO </t>
  </si>
  <si>
    <t>VARI-88547</t>
  </si>
  <si>
    <t>MONEDEROS PEQUEÑOS ANIME</t>
  </si>
  <si>
    <t>MIUNDO COMICS</t>
  </si>
  <si>
    <t>MONERDEROS PEQUEÑOS DE TELA</t>
  </si>
  <si>
    <t>VARI-0021444</t>
  </si>
  <si>
    <t>MOÑA BLANCA</t>
  </si>
  <si>
    <t>MORRAL CARTUCHERA+LONCHERA TERMICA</t>
  </si>
  <si>
    <t>MORRAL CARTUCHERA LONCHERA BLANCA DE GATOS</t>
  </si>
  <si>
    <t>MOR-0020</t>
  </si>
  <si>
    <t>MORRAL KUROMI MORADA</t>
  </si>
  <si>
    <t xml:space="preserve">MORRAL KUROMI MORADA </t>
  </si>
  <si>
    <t>MOUSE INALAMBRICO</t>
  </si>
  <si>
    <t>MOUSE INALAMBRICO ROSADO</t>
  </si>
  <si>
    <t>POCI-011</t>
  </si>
  <si>
    <t>MUG SUPER HEROES</t>
  </si>
  <si>
    <t>POCILLO DE CERAMICA DE SUPER HEROES</t>
  </si>
  <si>
    <t>NOTAS ADHESIVOS</t>
  </si>
  <si>
    <t>NOTAS ADHESIVAS DIFENTES MOTIVOS</t>
  </si>
  <si>
    <t>NOTAS ADHESIVOS PEQUEÑAS</t>
  </si>
  <si>
    <t>NOTAS ADHESIVOS PEQUEÑAS BTS Y FRUTAS</t>
  </si>
  <si>
    <t>TEC'011</t>
  </si>
  <si>
    <t>PADMOUSE</t>
  </si>
  <si>
    <t>PADMOUS CINNAMORROL</t>
  </si>
  <si>
    <t>PALO SELFIE</t>
  </si>
  <si>
    <t>MINI SOU</t>
  </si>
  <si>
    <t>PALO SELFIE VERDE</t>
  </si>
  <si>
    <t>PAÑITOS HUMEDOS</t>
  </si>
  <si>
    <t>PAÑITOS HUMEDOS HELLO KITTY</t>
  </si>
  <si>
    <t xml:space="preserve">PAÑITOS HUMEDOS </t>
  </si>
  <si>
    <t>PAÑITOS HUMEDOS AGUACATE</t>
  </si>
  <si>
    <t>PAÑITOS HUMEDOS GATO</t>
  </si>
  <si>
    <t>PAÑITOS HUMEDOS HUEVO</t>
  </si>
  <si>
    <t>PAÑITOS HUMEDOS KUROMI</t>
  </si>
  <si>
    <t>TEC-00111556</t>
  </si>
  <si>
    <t>PARLANTE  BLUETOOTH</t>
  </si>
  <si>
    <t>TM TECNOLOGIA</t>
  </si>
  <si>
    <t>PARLANTE ANTI AGUA AZUL0</t>
  </si>
  <si>
    <t>PEGANTE GATO</t>
  </si>
  <si>
    <t>PEGANTE NARANJA GATO</t>
  </si>
  <si>
    <t>VARI-0044825</t>
  </si>
  <si>
    <t>PERFUEME HELLO KITTY</t>
  </si>
  <si>
    <t>PERFUME HELLO KITTY PEQUEÑO</t>
  </si>
  <si>
    <t>VARI-00055889</t>
  </si>
  <si>
    <t>PINES EN RESINA</t>
  </si>
  <si>
    <t>PINES DE PLASTICO MEDIANO</t>
  </si>
  <si>
    <t>JUGUE-00125</t>
  </si>
  <si>
    <t>PISTOLA 1 PILA</t>
  </si>
  <si>
    <t>PISTOLA PEQUEÑA DE HIDRO GEL</t>
  </si>
  <si>
    <t>PLANCHA RISADORA MINI</t>
  </si>
  <si>
    <t>PLANCHA RISADORA ROSA</t>
  </si>
  <si>
    <t>ESCP-01488</t>
  </si>
  <si>
    <t>PLANILLERO LIBRETA KUROMI</t>
  </si>
  <si>
    <t xml:space="preserve">PLANILLERO LIBRETA KUROMI </t>
  </si>
  <si>
    <t>POPS-001</t>
  </si>
  <si>
    <t>POP SOCKET</t>
  </si>
  <si>
    <t>POP SOCKET PARA CELULAR FIGURAS</t>
  </si>
  <si>
    <t>PORC'001</t>
  </si>
  <si>
    <t xml:space="preserve">PORTA CARNET </t>
  </si>
  <si>
    <t>PORTA CARNET ESCANDALOSOS BLACO</t>
  </si>
  <si>
    <t>PORC-0022002</t>
  </si>
  <si>
    <t>PORTA CARNET MONSTER</t>
  </si>
  <si>
    <t>PORTA CARNET SULLIVAN</t>
  </si>
  <si>
    <t>PORC-00111220</t>
  </si>
  <si>
    <t>PORTA CARNTE WINNE PHOO</t>
  </si>
  <si>
    <t>PORTA CARNET AMARILLO WINNIE THE PHOO</t>
  </si>
  <si>
    <t>PORTA CELULARES</t>
  </si>
  <si>
    <t>PORTA CELULAR GRANDE PLATICO</t>
  </si>
  <si>
    <t>VARI-00055523-1</t>
  </si>
  <si>
    <t>PORT-012</t>
  </si>
  <si>
    <t>PORTA COMIDA TERMICO</t>
  </si>
  <si>
    <t>PORTACOMIDA AMARILLA</t>
  </si>
  <si>
    <t>]c18456123456221</t>
  </si>
  <si>
    <t xml:space="preserve">PORTA TOALLAS </t>
  </si>
  <si>
    <t>PORTA TOALLA GATICO</t>
  </si>
  <si>
    <t>PORTAMINAS</t>
  </si>
  <si>
    <t>TEC'008</t>
  </si>
  <si>
    <t>PORTAVASOS DE CALEFACCION</t>
  </si>
  <si>
    <t xml:space="preserve">CALENTADOR BEBIDAS </t>
  </si>
  <si>
    <t>ESCP'00112233</t>
  </si>
  <si>
    <t>POST IT</t>
  </si>
  <si>
    <t>POST IT TRANSPARENTE</t>
  </si>
  <si>
    <t>VARI-77558</t>
  </si>
  <si>
    <t>POSTERS ANIME</t>
  </si>
  <si>
    <t>PROTECTOR DE AIRPODS</t>
  </si>
  <si>
    <t>PROTECTOR DE AIRPODS TIGGER NARANJA</t>
  </si>
  <si>
    <t>PROTC'002</t>
  </si>
  <si>
    <t>PROTECTOR PUNTA CARGADOR DIBUJOS</t>
  </si>
  <si>
    <t>PROTECTOR PUNTA CARGADOR DIBUJOS ANIMADOS</t>
  </si>
  <si>
    <t>REAALTADOR CAJA *12</t>
  </si>
  <si>
    <t>RESALTADOR CAJA*12</t>
  </si>
  <si>
    <t>ESCP-2025</t>
  </si>
  <si>
    <t xml:space="preserve">REGLA ANIME 30 CM </t>
  </si>
  <si>
    <t>REGLA EN ACRILICO DE 30 CM</t>
  </si>
  <si>
    <t>REGLA DANDAN</t>
  </si>
  <si>
    <t>REGLA PEQUEÑA 15 CM</t>
  </si>
  <si>
    <t>ESCP-052</t>
  </si>
  <si>
    <t>REGLA DE FIGURAS</t>
  </si>
  <si>
    <t>REGLA FIGURAS AZUL</t>
  </si>
  <si>
    <t>REGLA MY MELODY Y CINNAMORRL</t>
  </si>
  <si>
    <t>REJ-5500588</t>
  </si>
  <si>
    <t>RELOJ BOLSILLO</t>
  </si>
  <si>
    <t>RELOJ ANALOGICO DE BOLSILLO CON MOTIVOS</t>
  </si>
  <si>
    <t>REJ-5552201</t>
  </si>
  <si>
    <t>RELOJ COLLAR DE HARRY POTTER</t>
  </si>
  <si>
    <t>RELOJ DORADO REDONDO DE HARRY POTTER</t>
  </si>
  <si>
    <t>RELOJ DE MANO HELLO KITTY</t>
  </si>
  <si>
    <t>RELOJ DE MANO MICKEY MOUSE</t>
  </si>
  <si>
    <t>RELOJ DESPERTADOR KUROMI</t>
  </si>
  <si>
    <t>RELOJ DEPERTADOR PEQUEÑO KUROMI</t>
  </si>
  <si>
    <t>VARI-006</t>
  </si>
  <si>
    <t xml:space="preserve">RELOJ OSO </t>
  </si>
  <si>
    <t>RELOJ OSO CAFÉ</t>
  </si>
  <si>
    <t>RESALATADOR MICROPUNTA</t>
  </si>
  <si>
    <t>RESTALDOR MICROPUNTA *6</t>
  </si>
  <si>
    <t>RESALTADOR *3</t>
  </si>
  <si>
    <t>RESALTADOR ESCARCHADO CON ROTULADOR *9</t>
  </si>
  <si>
    <t>ESCP-007878</t>
  </si>
  <si>
    <t>RESALTADOR *4 ARDILLAS</t>
  </si>
  <si>
    <t xml:space="preserve">RESALTADOR *4 ARDILLAS </t>
  </si>
  <si>
    <t>RESALTADOR BORRABLE</t>
  </si>
  <si>
    <t>RESALTADOR BORRABLE*6</t>
  </si>
  <si>
    <t>RESALTADOR ESCARCHA ESTRELLA</t>
  </si>
  <si>
    <t>RESALTADOR *6</t>
  </si>
  <si>
    <t>RESALTADOR HELLO KITTY</t>
  </si>
  <si>
    <t>RESALTADOR HELLO KITTY*6</t>
  </si>
  <si>
    <t>RESALTADOR HUELLA</t>
  </si>
  <si>
    <t>RESALTADOR HUELLA * 6</t>
  </si>
  <si>
    <t>RESALTADOR KUROMI</t>
  </si>
  <si>
    <t>RESALTADOR KUROMI BOLSA</t>
  </si>
  <si>
    <t>RESALTADORES*6</t>
  </si>
  <si>
    <t>RESALTADOR MAGICO</t>
  </si>
  <si>
    <t>RESALTDOR MAGICO*6</t>
  </si>
  <si>
    <t>RESALTADOR MARIO BROSS</t>
  </si>
  <si>
    <t>RESALTDOR MARIO BROOS</t>
  </si>
  <si>
    <t>RESALTADOR* 6 CAJA</t>
  </si>
  <si>
    <t>RESALTDOR * 6 EN CAJA</t>
  </si>
  <si>
    <t>RESALTADORES AGUACATE</t>
  </si>
  <si>
    <t>RESALTADORES *6 AGUACATES</t>
  </si>
  <si>
    <t>RESALTADORES BORRABLES</t>
  </si>
  <si>
    <t>RESALTADORES BORRABLES*6</t>
  </si>
  <si>
    <t>RESALTADORES KUROMI</t>
  </si>
  <si>
    <t>RESALTADORES *4</t>
  </si>
  <si>
    <t>RESALTADORES DELGADOS * 6</t>
  </si>
  <si>
    <t>RESALTADORES PULPO</t>
  </si>
  <si>
    <t>RESALTADORES *6 DE PULPOS</t>
  </si>
  <si>
    <t>TEC-007</t>
  </si>
  <si>
    <t>RIÑONERA</t>
  </si>
  <si>
    <t>RIÑONERA IMPERMEABLE</t>
  </si>
  <si>
    <t>ROLLO QUITA MOTA</t>
  </si>
  <si>
    <t>ROLLO QUITA MOTAS</t>
  </si>
  <si>
    <t>JUGUE-001155</t>
  </si>
  <si>
    <t xml:space="preserve">ROMPECABEZAS </t>
  </si>
  <si>
    <t>ROMPECABEZAS PARA COLOREAR</t>
  </si>
  <si>
    <t>SKETCH CAPIBARA</t>
  </si>
  <si>
    <t>SKETCH CAPIBARA PARA DIBUJAR GRANDE</t>
  </si>
  <si>
    <t>SLIME  GRANDE</t>
  </si>
  <si>
    <t>SELIME CON JUEGETE</t>
  </si>
  <si>
    <t>SLIME BOLSA</t>
  </si>
  <si>
    <t>SLIME BOLSA PEQUEÑA</t>
  </si>
  <si>
    <t>JUGUE-997545</t>
  </si>
  <si>
    <t xml:space="preserve">SOBRE DE CARTAS *10 ANIME </t>
  </si>
  <si>
    <t>SOBRES DE CARTAS *10</t>
  </si>
  <si>
    <t>JUGUE-112245</t>
  </si>
  <si>
    <t>SOBRE DE CARTAS *10 ANIME DBZ</t>
  </si>
  <si>
    <t>JUGUE-881447</t>
  </si>
  <si>
    <t>SOBRE DE CARTAS *50</t>
  </si>
  <si>
    <t>CARTAS * 40 DE CARTON Y *10 DE TORNASOL</t>
  </si>
  <si>
    <t>SOMB-001</t>
  </si>
  <si>
    <t>SOMBRILLA AUTOMATICA</t>
  </si>
  <si>
    <t>SOMBRILLA AUTOMATICA GRIS</t>
  </si>
  <si>
    <t>VARI-002478</t>
  </si>
  <si>
    <t>SORPRESA LLAVEROS SAN RIO</t>
  </si>
  <si>
    <t>SORPRESA SANRIO LLAVEROS PEQUEÑOS</t>
  </si>
  <si>
    <t>VARI-002161</t>
  </si>
  <si>
    <t>STICKERS</t>
  </si>
  <si>
    <t>STIKERS ADESIBLES</t>
  </si>
  <si>
    <t xml:space="preserve">STIKERS SANRIO </t>
  </si>
  <si>
    <t>STIKERS PAQUETE *24</t>
  </si>
  <si>
    <t>TABLET MAGICO</t>
  </si>
  <si>
    <t>TABLET MAGICO PARA DIBUJAR</t>
  </si>
  <si>
    <t>TABLILLERO</t>
  </si>
  <si>
    <t>TABLILLERO CONEJO</t>
  </si>
  <si>
    <t xml:space="preserve">TAJA LAPIZ </t>
  </si>
  <si>
    <t>TAJALAPIZ FORMA DE PAN</t>
  </si>
  <si>
    <t>TAJALAPIZ DE ANIMALES</t>
  </si>
  <si>
    <t>TAJALAPIZ ASTRONAUTA</t>
  </si>
  <si>
    <t>TAJALAPIZ HELLO KITTY</t>
  </si>
  <si>
    <t>TAJALAPIZ LEGO</t>
  </si>
  <si>
    <t>TAJALAPIZ LEGO DE ELEFANTE</t>
  </si>
  <si>
    <t>TAJALAPIZ PANDA</t>
  </si>
  <si>
    <t>TAMAGUCHI</t>
  </si>
  <si>
    <t xml:space="preserve">TAMAGUCHI </t>
  </si>
  <si>
    <t>TAPA OJOS</t>
  </si>
  <si>
    <t>TRAVEL</t>
  </si>
  <si>
    <t>TAPA OJOS DIFERENTES MOTIVOS</t>
  </si>
  <si>
    <t>TAPE'001</t>
  </si>
  <si>
    <t>TAPETE PEQUEÑO</t>
  </si>
  <si>
    <t>TAPETE ESTANPADO 30X40</t>
  </si>
  <si>
    <t>TECLADO GAMER</t>
  </si>
  <si>
    <t>TECLADO GAMER DE MEMBRANA ROSADO CON LUCES</t>
  </si>
  <si>
    <t>TERMO 3 EN 1</t>
  </si>
  <si>
    <t>TERMO * 2  KUROMI AZUL</t>
  </si>
  <si>
    <t>TERMO DE AGUACATE</t>
  </si>
  <si>
    <t>TERMO AGUACATE</t>
  </si>
  <si>
    <t>TERMO DE PANDA</t>
  </si>
  <si>
    <t>TERMO EN FORMA DE PANDA</t>
  </si>
  <si>
    <t>TERM-0044</t>
  </si>
  <si>
    <t xml:space="preserve">TERMO DE VIDRIO </t>
  </si>
  <si>
    <t>TERMO DE VIDRIO UNICORNIO</t>
  </si>
  <si>
    <t>TIJERAS CON ESTUCHE</t>
  </si>
  <si>
    <t>TIJERAS CON ESTUCHE DE DANDAN</t>
  </si>
  <si>
    <t>VARI-00258</t>
  </si>
  <si>
    <t>TOALLA DE MANOS</t>
  </si>
  <si>
    <t>TOALLA DE MANOS CONEJO</t>
  </si>
  <si>
    <t>VASITO BEBE TERMICO</t>
  </si>
  <si>
    <t>VASO DE DINOSAURIO</t>
  </si>
  <si>
    <t>VASO NEGRO ESPACIO</t>
  </si>
  <si>
    <t>VASO PITILLO ASTRONAUTA</t>
  </si>
  <si>
    <t>VARI-0775</t>
  </si>
  <si>
    <t>PROTECTORDE CARGADOR</t>
  </si>
  <si>
    <t>VARI-0332</t>
  </si>
  <si>
    <t>COLLARES DRAGON</t>
  </si>
  <si>
    <t>VARI-4476</t>
  </si>
  <si>
    <t>LAMPARA REDONDA</t>
  </si>
  <si>
    <t>VARI-0311223</t>
  </si>
  <si>
    <t>COLLARES FANTASMA</t>
  </si>
  <si>
    <t>JUGE-88666</t>
  </si>
  <si>
    <t>TETRIS FIGURAS</t>
  </si>
  <si>
    <t xml:space="preserve">TETRIS DE FIGURAS </t>
  </si>
  <si>
    <t>PAÑITOS SECOS</t>
  </si>
  <si>
    <t>PAÑITO SECO DE CAPIBARA</t>
  </si>
  <si>
    <t xml:space="preserve">PAÑITOS SECOS </t>
  </si>
  <si>
    <t>PAÑITOS SECOS DE OSO</t>
  </si>
  <si>
    <t>LIBRO DE DIBUJO CAPIBARA</t>
  </si>
  <si>
    <t xml:space="preserve">LIBRO DE DIBUJO GRANDE DE CAPIBARA </t>
  </si>
  <si>
    <t xml:space="preserve">CARTUCHERA CAPIBARA </t>
  </si>
  <si>
    <t xml:space="preserve">CARTUCHERA GRANDE CAPIBARA </t>
  </si>
  <si>
    <t xml:space="preserve">COLORES </t>
  </si>
  <si>
    <t>COLORES DBLE COLOR MADERA</t>
  </si>
  <si>
    <t>BOLSA DE MARCADORES * 6</t>
  </si>
  <si>
    <t>BOLSA DE MARCADORES * 6 DE FIGURAS</t>
  </si>
  <si>
    <t>BOLSA DE MARCADORES *4</t>
  </si>
  <si>
    <t>BOLSA DE MARCADORES *4 DE FIGURAS</t>
  </si>
  <si>
    <t xml:space="preserve">TAMAGUCHI MORADOS </t>
  </si>
  <si>
    <t>JUGUE-4400</t>
  </si>
  <si>
    <t>SLIME VASO</t>
  </si>
  <si>
    <t>SLIME DE VASO CON JUGUETE</t>
  </si>
  <si>
    <t xml:space="preserve">TAJALAPIZ + BORRADOR </t>
  </si>
  <si>
    <t>TAJALAPOIZ + BORRADOR DE CAPIBARA</t>
  </si>
  <si>
    <t>PAÑITOS SECOS DE PERRO</t>
  </si>
  <si>
    <t>PAÑITOS SECOS DE PEROO</t>
  </si>
  <si>
    <t>RESALTADOR SELLOS</t>
  </si>
  <si>
    <t>RESLTADOR CON SELLOS DE HUELLA</t>
  </si>
  <si>
    <t>CARTUCHERA KIT DE SANRIO</t>
  </si>
  <si>
    <t>CARTUCHERA MEDIANA SANRIO CON LAPIZ</t>
  </si>
  <si>
    <t>ESCP-55220</t>
  </si>
  <si>
    <t xml:space="preserve">BORRADOR ESCARCHADO </t>
  </si>
  <si>
    <t>BORRADOR ESCARCHADO DE CAPIBARA</t>
  </si>
  <si>
    <t xml:space="preserve">CINTA SANRIO </t>
  </si>
  <si>
    <t>CARTUCHERAS DOBLE ANIME</t>
  </si>
  <si>
    <t>CARTUCHERAS ANIME DOBLE</t>
  </si>
  <si>
    <t>VARI-88471</t>
  </si>
  <si>
    <t>LLAVERO CAPIBARA</t>
  </si>
  <si>
    <t>LLAVERO CAPIBARA PARA APRETAR</t>
  </si>
  <si>
    <t>VARI-12255</t>
  </si>
  <si>
    <t>MANILLA CAPIBARA</t>
  </si>
  <si>
    <t>MANILLA CAPIBARA CONB LUZ</t>
  </si>
  <si>
    <t>H24'156 BOLS</t>
  </si>
  <si>
    <t>KIT  DE BOLSA DE HARRY POTTER</t>
  </si>
  <si>
    <t>KIT BOLSA HARRY POTTER</t>
  </si>
  <si>
    <t>VARI-55005</t>
  </si>
  <si>
    <t>BOLSO CAPIBARA</t>
  </si>
  <si>
    <t>BOLSO CAPIBARA PLASTICO</t>
  </si>
  <si>
    <t>VARI-0001</t>
  </si>
  <si>
    <t>VARITA HARRY POTTER</t>
  </si>
  <si>
    <t>VARITA MAGICA DE HARRY POTTER</t>
  </si>
  <si>
    <t>BOLSO HARRY POTTER</t>
  </si>
  <si>
    <t>BOLSO HARRY POTTER DE CUERO</t>
  </si>
  <si>
    <t>PELUCHE GRANDE CAPIBARA</t>
  </si>
  <si>
    <t>ANI-00122</t>
  </si>
  <si>
    <t xml:space="preserve">CAJA DE ESFERAS DEL DRAGON </t>
  </si>
  <si>
    <t>CAJA DE ESFERAS DEL DRAGON</t>
  </si>
  <si>
    <t>VARI-55888</t>
  </si>
  <si>
    <t>CRSTAL HARRY POTTER</t>
  </si>
  <si>
    <t>BUHO EN CRSTAL DE HARRY POTTER</t>
  </si>
  <si>
    <t>VARI-55881</t>
  </si>
  <si>
    <t>CRISTAL HARRY POTTER 2</t>
  </si>
  <si>
    <t>SOBMBRERO EN  CRISTAL HARRY POTTER</t>
  </si>
  <si>
    <t>VARI-88522</t>
  </si>
  <si>
    <t>COLLAR HARRY POTTER</t>
  </si>
  <si>
    <t>COLLAR PEQUEÑO HARRY POTTER</t>
  </si>
  <si>
    <t>LAMP-8877</t>
  </si>
  <si>
    <t>LAMPARA CAPIBARA</t>
  </si>
  <si>
    <t>LAMPARA CON TAJALAPIZ DE CAPIBARA</t>
  </si>
  <si>
    <t>VARI-88966</t>
  </si>
  <si>
    <t>AGENDA DE CUERO HARRY POTTER</t>
  </si>
  <si>
    <t xml:space="preserve">AGENDA DE HOJA LIMPIA CON FORRO DE CUERO </t>
  </si>
  <si>
    <t xml:space="preserve">ALCANCIA DE PELUCHE </t>
  </si>
  <si>
    <t>ALCANCIA CON LUCES Y SONIDO</t>
  </si>
  <si>
    <t xml:space="preserve">ESFERA DEL DRAGON </t>
  </si>
  <si>
    <t>HP-444AF</t>
  </si>
  <si>
    <t>AGENDA CON CODIGO DE HARRY POTTER</t>
  </si>
  <si>
    <t>AGENDA ROJA CON CLAVE HARRY POTTER</t>
  </si>
  <si>
    <t>HP-44004</t>
  </si>
  <si>
    <t>PLUMA HARRY POTTER</t>
  </si>
  <si>
    <t>PLUMA CON PUNTAS HARRY POTTER</t>
  </si>
  <si>
    <t>VARI-002555</t>
  </si>
  <si>
    <t>CAPIBARA BAILARIN</t>
  </si>
  <si>
    <t>CAPIBARA BAILARIN DE PILA</t>
  </si>
  <si>
    <t>LOLO-5544</t>
  </si>
  <si>
    <t>RELOJ DE MANO SANRIO</t>
  </si>
  <si>
    <t>LOLO</t>
  </si>
  <si>
    <t>RELOJ DE MANO DE MANECILLAS</t>
  </si>
  <si>
    <t>KIT DE MARCADORES KUROMI</t>
  </si>
  <si>
    <t>KIT PARA DIBUJAR KUROMI</t>
  </si>
  <si>
    <t>AGENDA SANRIO IMANTADA</t>
  </si>
  <si>
    <t>AGENDA SANRIO ROSA IMANTADA</t>
  </si>
  <si>
    <t>CAJA DE MAQUILLAJE SANRIO</t>
  </si>
  <si>
    <t>CJA DE MAQUILLAJE SANRIO</t>
  </si>
  <si>
    <t>SONY ANGEL</t>
  </si>
  <si>
    <t>SONY ANGEL BEBE</t>
  </si>
  <si>
    <t>SONU ANGEL CAPI</t>
  </si>
  <si>
    <t>PERFUME REDONDO HELLO KITTY</t>
  </si>
  <si>
    <t>PERFUME REDONDO</t>
  </si>
  <si>
    <t>LOLO-8822528</t>
  </si>
  <si>
    <t>PERFUME CAJA HELLO KITTY</t>
  </si>
  <si>
    <t>PERFUME CAJA</t>
  </si>
  <si>
    <t>MINI LIBRETAS KWAII</t>
  </si>
  <si>
    <t>MINI LIBRETA KWAII</t>
  </si>
  <si>
    <t>MINI LIBRETA CAPIBARA</t>
  </si>
  <si>
    <t>RESALTADORES BOLSA</t>
  </si>
  <si>
    <t>RESALTADORES CAPIBARA</t>
  </si>
  <si>
    <t>CORRECTOR DE CINTA</t>
  </si>
  <si>
    <t>CORRECTOR DE CINTA SANRIO</t>
  </si>
  <si>
    <t>KIT CAPIBARA</t>
  </si>
  <si>
    <t>KIT CAPIBARA ESFERO AGENDA RESALTADOR</t>
  </si>
  <si>
    <t>AGENDA CAPIBARA</t>
  </si>
  <si>
    <t>AGENA CINCO MATERIAS CAPIBARA</t>
  </si>
  <si>
    <t>BORRADORES ECONOMICOS</t>
  </si>
  <si>
    <t>BORRADORES KAWAII</t>
  </si>
  <si>
    <t>ESFERO BORRABLE</t>
  </si>
  <si>
    <t>ESFROS BORRABLES SANRIO</t>
  </si>
  <si>
    <t>JUGUE-88111</t>
  </si>
  <si>
    <t>LEGO UNIDAD</t>
  </si>
  <si>
    <t>LRGO</t>
  </si>
  <si>
    <t>LEGO UNIDAD SUPER HEROES</t>
  </si>
  <si>
    <t>BOTON-001</t>
  </si>
  <si>
    <t>BOTONES PERSONALIZADOS</t>
  </si>
  <si>
    <t>BOTONES POR NOSOTROS</t>
  </si>
  <si>
    <t>PORT-002</t>
  </si>
  <si>
    <t>PORTA CARNETS ANIME</t>
  </si>
  <si>
    <t>MUNDO COMIC</t>
  </si>
  <si>
    <t xml:space="preserve">PORTA CARNETS </t>
  </si>
  <si>
    <t>POSI-002</t>
  </si>
  <si>
    <t>VASO EN CERAMICA OSO</t>
  </si>
  <si>
    <t>PROVEDOR</t>
  </si>
  <si>
    <t>STOCK DE LLEGADA</t>
  </si>
  <si>
    <t xml:space="preserve">ENTRADA </t>
  </si>
  <si>
    <t>SALIDA</t>
  </si>
  <si>
    <t>STOCK ACTUAL</t>
  </si>
  <si>
    <t>COSTO UNITARIO</t>
  </si>
  <si>
    <t>COD</t>
  </si>
  <si>
    <t>CODIGO DE BARRAS</t>
  </si>
  <si>
    <t>AGENDA CONEJO</t>
  </si>
  <si>
    <t>3</t>
  </si>
  <si>
    <t>1</t>
  </si>
  <si>
    <t>7</t>
  </si>
  <si>
    <t>4</t>
  </si>
  <si>
    <t>CARPERTAS KUROMI</t>
  </si>
  <si>
    <t>CARTUCHERA CON SQUISH</t>
  </si>
  <si>
    <t xml:space="preserve">CARTUCHERA KIT </t>
  </si>
  <si>
    <t>2</t>
  </si>
  <si>
    <t>CUADERNO CONTRA MARCADO</t>
  </si>
  <si>
    <t>ESFERO MULTIMINAS *10</t>
  </si>
  <si>
    <t xml:space="preserve">KIT DE ARTE ASTRONAUTA </t>
  </si>
  <si>
    <t>11</t>
  </si>
  <si>
    <t>MICROPUNTA RESALTADOR</t>
  </si>
  <si>
    <t>JUGUE-8882</t>
  </si>
  <si>
    <t xml:space="preserve">MNILLA BOLSA </t>
  </si>
  <si>
    <t>PEGANTE GATO NARANJA</t>
  </si>
  <si>
    <t>POSAVASOS DE CALECFACCION</t>
  </si>
  <si>
    <t xml:space="preserve">REGAL DANDAN </t>
  </si>
  <si>
    <t>REGAL MY MELODY</t>
  </si>
  <si>
    <t>RESALTADOR ESCARCHADO *3</t>
  </si>
  <si>
    <t>RESALTADOR KUROMI HELLO KITTY</t>
  </si>
  <si>
    <t>RESALTADOR SANRIO</t>
  </si>
  <si>
    <t>SLIME GRANDE</t>
  </si>
  <si>
    <t>STIKERS</t>
  </si>
  <si>
    <t xml:space="preserve">ALACANCIA DE PELUCHE </t>
  </si>
  <si>
    <t>10</t>
  </si>
  <si>
    <t>5</t>
  </si>
  <si>
    <t>24</t>
  </si>
  <si>
    <t>FACTURA DE VENTA</t>
  </si>
  <si>
    <t>FECHA</t>
  </si>
  <si>
    <t xml:space="preserve">CODIGO </t>
  </si>
  <si>
    <t>PRECIO</t>
  </si>
  <si>
    <t>PRECIO TOTAL</t>
  </si>
  <si>
    <t>GANACIAS</t>
  </si>
  <si>
    <t>ANAPOIMA</t>
  </si>
  <si>
    <t>CARTAS TORNA SOL</t>
  </si>
  <si>
    <t>VARI-785225</t>
  </si>
  <si>
    <t>feria pulgas</t>
  </si>
  <si>
    <t>FERIA MADRID BIBLIOTECA</t>
  </si>
  <si>
    <t>VENTA JUANCHO</t>
  </si>
  <si>
    <t>FERIA MERCADO MOSQUERA</t>
  </si>
  <si>
    <t>VENTAS XIOMI Y CRIS</t>
  </si>
  <si>
    <t>FERIA PULGAS</t>
  </si>
  <si>
    <t>&lt;</t>
  </si>
  <si>
    <t>FERIA NOVA TERRA</t>
  </si>
  <si>
    <t>ENTRADA</t>
  </si>
  <si>
    <t>FACTURA DE COMPRA</t>
  </si>
  <si>
    <t>INFORMACION DEL PRODUCTO</t>
  </si>
  <si>
    <t>STOCK</t>
  </si>
  <si>
    <t>PRECIO MAYORISTA</t>
  </si>
  <si>
    <t>PRECIO DETAL</t>
  </si>
  <si>
    <t>PROTECTOR PUNTA CARGADR</t>
  </si>
  <si>
    <t>i</t>
  </si>
  <si>
    <t>VARI-002233</t>
  </si>
  <si>
    <t xml:space="preserve">LABUBU MANILLA </t>
  </si>
  <si>
    <t>INFORMAL</t>
  </si>
  <si>
    <t>LABUBU MANILLA EN PELUCHE</t>
  </si>
  <si>
    <t>VARI-002244</t>
  </si>
  <si>
    <t xml:space="preserve">STICHT MANILLA </t>
  </si>
  <si>
    <t>STICH MANILLA PELUCHE</t>
  </si>
  <si>
    <t>JUGUE-00888</t>
  </si>
  <si>
    <t>CAPIBARA SALTARIN CON PILAS</t>
  </si>
  <si>
    <t>VARI-85211</t>
  </si>
  <si>
    <t>CAPIBARA MANILLA</t>
  </si>
  <si>
    <t>CAPIBARA DE MANILLA SENCILLO</t>
  </si>
  <si>
    <t>JUGUE-888663</t>
  </si>
  <si>
    <t xml:space="preserve">PELUCHE STICHT GRANDE </t>
  </si>
  <si>
    <t>VARI-85522</t>
  </si>
  <si>
    <t>PELUCHE STICHT</t>
  </si>
  <si>
    <t>MINI BOLSO DE STICHT</t>
  </si>
  <si>
    <t>BOLSO DE PELUCGE STICHT</t>
  </si>
  <si>
    <t>VARI-888000</t>
  </si>
  <si>
    <t>BOLSO GRANDE STICHT</t>
  </si>
  <si>
    <t>BOLSO GRANDE DE STICHT</t>
  </si>
  <si>
    <t xml:space="preserve">LABUBU SORPRESA </t>
  </si>
  <si>
    <t>TIRA DE CARTAS STICHT</t>
  </si>
  <si>
    <t>CARTAS *10 DE STICHT</t>
  </si>
  <si>
    <t>VARI-882000</t>
  </si>
  <si>
    <t>LLAVERO LABUBU</t>
  </si>
  <si>
    <t>LLAVERO EN MADERA LABUBU</t>
  </si>
  <si>
    <t>PLANILLERO DE DIBUJO</t>
  </si>
  <si>
    <t>PLANILLERO DE DIBUJO LABUBU</t>
  </si>
  <si>
    <t xml:space="preserve">AGENDA ARGOLLADA </t>
  </si>
  <si>
    <t>AGENDA ARGOLLADA DBZ</t>
  </si>
  <si>
    <t xml:space="preserve">KIT STICHT </t>
  </si>
  <si>
    <t xml:space="preserve">KIT DE STICHT ESFERO,AGENDA </t>
  </si>
  <si>
    <t>VARI-044</t>
  </si>
  <si>
    <t>ORGANIZADORES</t>
  </si>
  <si>
    <t>ORGANIZADORES PEQUEÑOS</t>
  </si>
  <si>
    <t>ESCP-85822</t>
  </si>
  <si>
    <t>AGENDA STICHT MINI</t>
  </si>
  <si>
    <t xml:space="preserve">AGENDA MINI ESTICHT </t>
  </si>
  <si>
    <t>JUEGO DiAMOND</t>
  </si>
  <si>
    <t xml:space="preserve">JUEGO DE DIAMANTES </t>
  </si>
  <si>
    <t>RESALTADORES * STICHT</t>
  </si>
  <si>
    <t>RESALTADORES STICHT</t>
  </si>
  <si>
    <t>MINI AGENDA ARGOLLADA STICHT</t>
  </si>
  <si>
    <t>MINI AGENDA ARGOLLADA</t>
  </si>
  <si>
    <t>TAJALAPIZ MODELO SURTIDO</t>
  </si>
  <si>
    <t>ESFERO RECTRACTIL STICHT</t>
  </si>
  <si>
    <t>TAJA LAPIZ MODELO</t>
  </si>
  <si>
    <t xml:space="preserve">ESFERO RETRACTIL </t>
  </si>
  <si>
    <t>BOLS'006</t>
  </si>
  <si>
    <t>BOLSO MIAT MAIT AZUL NEGRO</t>
  </si>
  <si>
    <t>ESCP'44882</t>
  </si>
  <si>
    <t>MOR'001</t>
  </si>
  <si>
    <t>BOL'8800</t>
  </si>
  <si>
    <t>REJ'5500588</t>
  </si>
  <si>
    <t>JUGUE'0012</t>
  </si>
  <si>
    <t>BOLS{005</t>
  </si>
  <si>
    <t>BOLS'003</t>
  </si>
  <si>
    <t>BOLS'009</t>
  </si>
  <si>
    <t>LON{JCC02{32</t>
  </si>
  <si>
    <t>ESCP'440055</t>
  </si>
  <si>
    <t>VARI'00055523</t>
  </si>
  <si>
    <t>PORTA CELULAR GRANDE PLASTICO</t>
  </si>
  <si>
    <t>VC</t>
  </si>
  <si>
    <t>VARI'0114488</t>
  </si>
  <si>
    <t>VARI'55005</t>
  </si>
  <si>
    <t>LONC'004</t>
  </si>
  <si>
    <t>VARI'88547</t>
  </si>
  <si>
    <t>BOLS'010</t>
  </si>
  <si>
    <t>MAQU'0022544</t>
  </si>
  <si>
    <t>VARI'02247</t>
  </si>
  <si>
    <t>VARI{003</t>
  </si>
  <si>
    <t>VARI'011</t>
  </si>
  <si>
    <t>CAJA'455525</t>
  </si>
  <si>
    <t>debe xiomara</t>
  </si>
  <si>
    <t>c18542541236576</t>
  </si>
  <si>
    <t>TERM'20055</t>
  </si>
  <si>
    <t>VARI'88471</t>
  </si>
  <si>
    <t>TEC{011</t>
  </si>
  <si>
    <t xml:space="preserve">MINI LIBRETA SANRIO </t>
  </si>
  <si>
    <t>MINI LIBRETA DE AGUA SAN RIO</t>
  </si>
  <si>
    <t>VARI-2588</t>
  </si>
  <si>
    <t>SALO-ME</t>
  </si>
  <si>
    <t>JOLLERO POCHACCO</t>
  </si>
  <si>
    <t>JOLLERO DE CREMAYERA DE POCHACCO</t>
  </si>
  <si>
    <t xml:space="preserve">SACA PUNTAS </t>
  </si>
  <si>
    <t>SACAPUNTAS GENDE DE CASITA</t>
  </si>
  <si>
    <t>LEGOS MINECRAFT</t>
  </si>
  <si>
    <t>CAJA DE LOGO SK MINE CRAFT</t>
  </si>
  <si>
    <t>BILLETERA CAPIBARA</t>
  </si>
  <si>
    <t>BILLETERA CAPIBARA DOBLE</t>
  </si>
  <si>
    <t>SACA PUNTAS KUROMI</t>
  </si>
  <si>
    <t>SACPUNTA PEQUEÑO MORADO KUROMI</t>
  </si>
  <si>
    <t>RELOJ CAPOBARA</t>
  </si>
  <si>
    <t>RELOJ DE MESA CAPIBARA GRANDE</t>
  </si>
  <si>
    <t>VAR'0011</t>
  </si>
  <si>
    <t>VARI'05511</t>
  </si>
  <si>
    <t>TOALLA DE CABELLO</t>
  </si>
  <si>
    <t xml:space="preserve">TOALLA DE CABELLO </t>
  </si>
  <si>
    <t>CAJA DE LAPIZ CAPI</t>
  </si>
  <si>
    <t>CAJA DE LAPIZ CAPIBARA *12</t>
  </si>
  <si>
    <t>TEC-506</t>
  </si>
  <si>
    <t>RELOJ DIGITAL</t>
  </si>
  <si>
    <t>RELOJ DIGITAL PARA NIÑO</t>
  </si>
  <si>
    <t>BOLSO STICH</t>
  </si>
  <si>
    <t>BOLSO PELUCHE DE STICH GRANDE</t>
  </si>
  <si>
    <t>BOLSO LOTSO</t>
  </si>
  <si>
    <t>BOLSO PELUCHE LOTSO</t>
  </si>
  <si>
    <t>BOLS'2255</t>
  </si>
  <si>
    <t>BOLS'4478</t>
  </si>
  <si>
    <t>VARI'82027</t>
  </si>
  <si>
    <t>VARI'8864</t>
  </si>
  <si>
    <t>PINES METALICOS</t>
  </si>
  <si>
    <t>PINENES METALICO PIN O MIEDO</t>
  </si>
  <si>
    <t>CAJA DE LEGO PORTA LAPIZ</t>
  </si>
  <si>
    <t>CAJA DE LEGOS PORTAQ LAPIZ</t>
  </si>
  <si>
    <t>BOLS'6622</t>
  </si>
  <si>
    <t>MALETA OSITOS BLANCA</t>
  </si>
  <si>
    <t>MALETA DE OSITOS BLANCA MORADA</t>
  </si>
  <si>
    <t>BOLS'5888</t>
  </si>
  <si>
    <t>BOLSO PEQUEÑO CON CORREA CAFÉ</t>
  </si>
  <si>
    <t>BOLSO PEQUEÑO CAFÉ</t>
  </si>
  <si>
    <t>LAMPARA PROYECTORA</t>
  </si>
  <si>
    <t>LAPARA PROYECTORA GALAXIAS</t>
  </si>
  <si>
    <t xml:space="preserve">VENTILADOR DE MANO </t>
  </si>
  <si>
    <t>VENTILADOR DE MANO CON SOPORTE</t>
  </si>
  <si>
    <t>MASCARILLA FACIAL</t>
  </si>
  <si>
    <t>MASCARILLA FACIAL VITAMINAC</t>
  </si>
  <si>
    <t>SUNNY ANGEL</t>
  </si>
  <si>
    <t>SUNNY ANGEL BEBE</t>
  </si>
  <si>
    <t>SUNNY ANGEL KUROMI</t>
  </si>
  <si>
    <t>VARI'5522</t>
  </si>
  <si>
    <t xml:space="preserve">MONEDERO SILICONA </t>
  </si>
  <si>
    <t>MONEDERO SILICONA DE FIGURAS</t>
  </si>
  <si>
    <t>BRILLO CON LLAVERO</t>
  </si>
  <si>
    <t>BRILLP CON LLAVERO CEREZA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</si>
</sst>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44" formatCode="_-&quot;$&quot;\ * #,##0.00_-;\-&quot;$&quot;\ * #,##0.00_-;_-&quot;$&quot;\ * &quot;-&quot;??_-;_-@_-"/>
    <numFmt numFmtId="164" formatCode="_-[$$-409]* #,##0.00_ ;_-[$$-409]* \-#,##0.00\ ;_-[$$-409]* &quot;-&quot;??_ ;_-@_ "/>
    <numFmt numFmtId="165" formatCode="&quot;$&quot;#,##0.00"/>
    <numFmt numFmtId="166" formatCode="&quot;$&quot;\ #,##0.00"/>
    <numFmt numFmtId="167" formatCode="\F\C\-000\-000"/>
    <numFmt numFmtId="168" formatCode="dd/mm/yy;@"/>
    <numFmt numFmtId="169" formatCode="dd/mm/yyyy;@"/>
    <numFmt numFmtId="170" formatCode="_-&quot;$&quot;\ * #,##0_-;\-&quot;$&quot;\ * #,##0_-;_-&quot;$&quot;\ * &quot;-&quot;??_-;_-@_-"/>
    <numFmt numFmtId="171" formatCode="&quot;$&quot;\ #,##0"/>
    <numFmt numFmtId="172" formatCode="&quot;$&quot;#,##0"/>
  </numFmts>
  <fonts count="3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rgb="FF006100"/>
      <name val="Arial"/>
      <family val="2"/>
    </font>
    <font>
      <sz val="20"/>
      <color theme="1"/>
      <name val="Arial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Arial"/>
      <family val="2"/>
    </font>
    <font>
      <sz val="24"/>
      <color theme="1"/>
      <name val="Archon Code 39 Barcode"/>
    </font>
    <font>
      <sz val="72"/>
      <color theme="1"/>
      <name val="Archon Code 39 Barcode"/>
    </font>
    <font>
      <sz val="36"/>
      <color theme="1"/>
      <name val="Archon Code 39 Barcode"/>
    </font>
    <font>
      <sz val="11"/>
      <color theme="1"/>
      <name val="Archon Code 39 Barcode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4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28"/>
      <color theme="1" tint="4.9989318521683403E-2"/>
      <name val="Calibri"/>
      <family val="2"/>
      <scheme val="minor"/>
    </font>
    <font>
      <i/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3C25B"/>
        <bgColor indexed="64"/>
      </patternFill>
    </fill>
    <fill>
      <patternFill patternType="solid">
        <fgColor theme="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/>
    <xf numFmtId="0" fontId="12" fillId="0" borderId="0"/>
    <xf numFmtId="0" fontId="8" fillId="4" borderId="0" applyNumberFormat="0" applyBorder="0" applyAlignment="0" applyProtection="0"/>
    <xf numFmtId="0" fontId="14" fillId="6" borderId="0" applyNumberFormat="0" applyBorder="0" applyAlignment="0" applyProtection="0"/>
    <xf numFmtId="44" fontId="18" fillId="0" borderId="0" applyFont="0" applyFill="0" applyBorder="0" applyAlignment="0" applyProtection="0"/>
    <xf numFmtId="0" fontId="34" fillId="21" borderId="0" applyNumberFormat="0" applyBorder="0" applyAlignment="0" applyProtection="0"/>
  </cellStyleXfs>
  <cellXfs count="263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11" fillId="2" borderId="2" xfId="0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9" fontId="11" fillId="2" borderId="2" xfId="0" applyNumberFormat="1" applyFont="1" applyFill="1" applyBorder="1" applyAlignment="1">
      <alignment horizontal="center" vertical="center" wrapText="1"/>
    </xf>
    <xf numFmtId="0" fontId="9" fillId="5" borderId="0" xfId="0" applyFont="1" applyFill="1"/>
    <xf numFmtId="0" fontId="8" fillId="4" borderId="1" xfId="2" applyBorder="1" applyAlignment="1">
      <alignment horizontal="left" vertical="center" wrapText="1" indent="1"/>
    </xf>
    <xf numFmtId="165" fontId="8" fillId="4" borderId="1" xfId="2" applyNumberFormat="1" applyBorder="1" applyAlignment="1">
      <alignment horizontal="right" vertical="center" wrapText="1" indent="1"/>
    </xf>
    <xf numFmtId="9" fontId="8" fillId="4" borderId="1" xfId="2" applyNumberFormat="1" applyBorder="1" applyAlignment="1">
      <alignment horizontal="right" vertical="center" wrapText="1" indent="1"/>
    </xf>
    <xf numFmtId="166" fontId="8" fillId="4" borderId="1" xfId="2" applyNumberFormat="1" applyBorder="1" applyAlignment="1">
      <alignment horizontal="center" vertical="center" wrapText="1"/>
    </xf>
    <xf numFmtId="10" fontId="8" fillId="4" borderId="1" xfId="2" applyNumberFormat="1" applyBorder="1" applyAlignment="1">
      <alignment horizontal="center" vertical="center" wrapText="1"/>
    </xf>
    <xf numFmtId="49" fontId="8" fillId="4" borderId="1" xfId="2" applyNumberFormat="1" applyBorder="1" applyAlignment="1">
      <alignment horizontal="left" vertical="center" wrapText="1" indent="1"/>
    </xf>
    <xf numFmtId="0" fontId="8" fillId="4" borderId="4" xfId="2" applyBorder="1" applyAlignment="1">
      <alignment horizontal="left" vertical="center" wrapText="1" indent="1"/>
    </xf>
    <xf numFmtId="49" fontId="8" fillId="4" borderId="4" xfId="2" applyNumberFormat="1" applyBorder="1" applyAlignment="1">
      <alignment horizontal="left" vertical="center" wrapText="1" inden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8" fillId="4" borderId="1" xfId="2" applyNumberFormat="1" applyBorder="1" applyAlignment="1">
      <alignment horizontal="left" vertical="center" wrapText="1" indent="1"/>
    </xf>
    <xf numFmtId="166" fontId="8" fillId="4" borderId="4" xfId="2" applyNumberFormat="1" applyBorder="1" applyAlignment="1">
      <alignment horizontal="center" vertical="center" wrapText="1"/>
    </xf>
    <xf numFmtId="1" fontId="8" fillId="8" borderId="0" xfId="2" applyNumberFormat="1" applyFill="1" applyAlignment="1">
      <alignment horizontal="center" vertical="center" wrapText="1"/>
    </xf>
    <xf numFmtId="1" fontId="8" fillId="8" borderId="0" xfId="2" applyNumberForma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1" fontId="8" fillId="9" borderId="1" xfId="2" applyNumberForma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/>
    </xf>
    <xf numFmtId="166" fontId="11" fillId="10" borderId="2" xfId="0" applyNumberFormat="1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0" fillId="12" borderId="6" xfId="0" applyFont="1" applyFill="1" applyBorder="1"/>
    <xf numFmtId="166" fontId="21" fillId="4" borderId="1" xfId="2" applyNumberFormat="1" applyFont="1" applyBorder="1" applyAlignment="1">
      <alignment horizontal="center" vertical="center" wrapText="1"/>
    </xf>
    <xf numFmtId="0" fontId="8" fillId="4" borderId="4" xfId="2" applyNumberFormat="1" applyBorder="1" applyAlignment="1">
      <alignment horizontal="left" vertical="center" wrapText="1" indent="1"/>
    </xf>
    <xf numFmtId="165" fontId="8" fillId="4" borderId="4" xfId="2" applyNumberFormat="1" applyBorder="1" applyAlignment="1">
      <alignment horizontal="right" vertical="center" wrapText="1" indent="1"/>
    </xf>
    <xf numFmtId="1" fontId="8" fillId="9" borderId="4" xfId="2" applyNumberFormat="1" applyFill="1" applyBorder="1" applyAlignment="1">
      <alignment horizontal="center" vertical="center" wrapText="1"/>
    </xf>
    <xf numFmtId="166" fontId="21" fillId="4" borderId="4" xfId="2" applyNumberFormat="1" applyFont="1" applyBorder="1" applyAlignment="1">
      <alignment horizontal="center" vertical="center" wrapText="1"/>
    </xf>
    <xf numFmtId="171" fontId="8" fillId="10" borderId="1" xfId="2" applyNumberFormat="1" applyFill="1" applyBorder="1" applyAlignment="1">
      <alignment horizontal="center" vertical="center" wrapText="1"/>
    </xf>
    <xf numFmtId="171" fontId="8" fillId="10" borderId="4" xfId="2" applyNumberFormat="1" applyFill="1" applyBorder="1" applyAlignment="1">
      <alignment horizontal="center" vertical="center" wrapText="1"/>
    </xf>
    <xf numFmtId="172" fontId="8" fillId="4" borderId="1" xfId="2" applyNumberFormat="1" applyBorder="1" applyAlignment="1">
      <alignment horizontal="right" vertical="center" wrapText="1" indent="1"/>
    </xf>
    <xf numFmtId="172" fontId="8" fillId="4" borderId="4" xfId="2" applyNumberFormat="1" applyBorder="1" applyAlignment="1">
      <alignment horizontal="right" vertical="center" wrapText="1" indent="1"/>
    </xf>
    <xf numFmtId="170" fontId="0" fillId="0" borderId="0" xfId="4" applyNumberFormat="1" applyFont="1"/>
    <xf numFmtId="170" fontId="0" fillId="0" borderId="0" xfId="0" applyNumberFormat="1"/>
    <xf numFmtId="171" fontId="8" fillId="4" borderId="1" xfId="2" applyNumberFormat="1" applyBorder="1" applyAlignment="1">
      <alignment horizontal="center" vertical="center" wrapText="1"/>
    </xf>
    <xf numFmtId="171" fontId="8" fillId="4" borderId="4" xfId="2" applyNumberFormat="1" applyBorder="1" applyAlignment="1">
      <alignment horizontal="center" vertical="center" wrapText="1"/>
    </xf>
    <xf numFmtId="0" fontId="0" fillId="5" borderId="0" xfId="0" applyFill="1"/>
    <xf numFmtId="165" fontId="28" fillId="4" borderId="1" xfId="2" applyNumberFormat="1" applyFont="1" applyBorder="1" applyAlignment="1">
      <alignment horizontal="right" vertical="center" wrapText="1" indent="1"/>
    </xf>
    <xf numFmtId="165" fontId="28" fillId="4" borderId="4" xfId="2" applyNumberFormat="1" applyFont="1" applyBorder="1" applyAlignment="1">
      <alignment horizontal="right" vertical="center" wrapText="1" inden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24" fillId="4" borderId="4" xfId="2" applyNumberFormat="1" applyFont="1" applyBorder="1" applyAlignment="1">
      <alignment horizontal="left" vertical="center" wrapText="1" indent="1"/>
    </xf>
    <xf numFmtId="167" fontId="0" fillId="14" borderId="0" xfId="0" applyNumberFormat="1" applyFill="1"/>
    <xf numFmtId="169" fontId="0" fillId="14" borderId="0" xfId="0" applyNumberFormat="1" applyFill="1"/>
    <xf numFmtId="0" fontId="0" fillId="14" borderId="0" xfId="0" applyFill="1"/>
    <xf numFmtId="170" fontId="0" fillId="14" borderId="0" xfId="4" applyNumberFormat="1" applyFont="1" applyFill="1"/>
    <xf numFmtId="49" fontId="8" fillId="4" borderId="0" xfId="2" applyNumberFormat="1" applyAlignment="1">
      <alignment horizontal="center" vertical="center" wrapText="1"/>
    </xf>
    <xf numFmtId="167" fontId="0" fillId="15" borderId="0" xfId="0" applyNumberFormat="1" applyFill="1"/>
    <xf numFmtId="169" fontId="0" fillId="15" borderId="0" xfId="0" applyNumberFormat="1" applyFill="1"/>
    <xf numFmtId="0" fontId="0" fillId="15" borderId="0" xfId="0" applyFill="1"/>
    <xf numFmtId="170" fontId="0" fillId="15" borderId="0" xfId="4" applyNumberFormat="1" applyFont="1" applyFill="1"/>
    <xf numFmtId="0" fontId="24" fillId="4" borderId="1" xfId="2" applyNumberFormat="1" applyFont="1" applyBorder="1" applyAlignment="1">
      <alignment horizontal="left" vertical="center" wrapText="1" indent="1"/>
    </xf>
    <xf numFmtId="167" fontId="30" fillId="14" borderId="0" xfId="0" applyNumberFormat="1" applyFont="1" applyFill="1"/>
    <xf numFmtId="169" fontId="30" fillId="14" borderId="0" xfId="0" applyNumberFormat="1" applyFont="1" applyFill="1"/>
    <xf numFmtId="0" fontId="30" fillId="14" borderId="0" xfId="0" applyFont="1" applyFill="1"/>
    <xf numFmtId="170" fontId="30" fillId="14" borderId="0" xfId="4" applyNumberFormat="1" applyFont="1" applyFill="1"/>
    <xf numFmtId="1" fontId="8" fillId="9" borderId="0" xfId="2" applyNumberFormat="1" applyFill="1" applyBorder="1" applyAlignment="1">
      <alignment horizontal="center" vertical="center" wrapText="1"/>
    </xf>
    <xf numFmtId="170" fontId="0" fillId="16" borderId="0" xfId="4" applyNumberFormat="1" applyFont="1" applyFill="1"/>
    <xf numFmtId="167" fontId="0" fillId="17" borderId="0" xfId="0" applyNumberFormat="1" applyFill="1"/>
    <xf numFmtId="169" fontId="0" fillId="17" borderId="0" xfId="0" applyNumberFormat="1" applyFill="1"/>
    <xf numFmtId="170" fontId="0" fillId="17" borderId="0" xfId="4" applyNumberFormat="1" applyFont="1" applyFill="1"/>
    <xf numFmtId="167" fontId="31" fillId="17" borderId="0" xfId="0" applyNumberFormat="1" applyFont="1" applyFill="1"/>
    <xf numFmtId="0" fontId="32" fillId="7" borderId="0" xfId="0" applyFont="1" applyFill="1" applyAlignment="1">
      <alignment horizontal="center" vertical="center"/>
    </xf>
    <xf numFmtId="0" fontId="8" fillId="9" borderId="4" xfId="2" applyNumberFormat="1" applyFill="1" applyBorder="1" applyAlignment="1">
      <alignment horizontal="left" vertical="center" wrapText="1" indent="1"/>
    </xf>
    <xf numFmtId="0" fontId="8" fillId="9" borderId="1" xfId="2" applyNumberFormat="1" applyFill="1" applyBorder="1" applyAlignment="1">
      <alignment horizontal="left" vertical="center" wrapText="1" indent="1"/>
    </xf>
    <xf numFmtId="0" fontId="8" fillId="9" borderId="1" xfId="2" applyFill="1" applyBorder="1" applyAlignment="1">
      <alignment horizontal="left" vertical="center" wrapText="1" indent="1"/>
    </xf>
    <xf numFmtId="0" fontId="8" fillId="4" borderId="1" xfId="2" applyNumberFormat="1" applyBorder="1" applyAlignment="1">
      <alignment horizontal="center" vertical="center" wrapText="1"/>
    </xf>
    <xf numFmtId="2" fontId="8" fillId="4" borderId="4" xfId="2" applyNumberFormat="1" applyBorder="1" applyAlignment="1">
      <alignment horizontal="center" vertical="center" wrapText="1"/>
    </xf>
    <xf numFmtId="2" fontId="8" fillId="4" borderId="1" xfId="2" applyNumberFormat="1" applyBorder="1" applyAlignment="1">
      <alignment horizontal="center" vertical="center" wrapText="1"/>
    </xf>
    <xf numFmtId="2" fontId="21" fillId="4" borderId="1" xfId="2" applyNumberFormat="1" applyFont="1" applyBorder="1" applyAlignment="1">
      <alignment horizontal="center" vertical="center" wrapText="1"/>
    </xf>
    <xf numFmtId="0" fontId="0" fillId="13" borderId="0" xfId="0" applyFill="1"/>
    <xf numFmtId="171" fontId="0" fillId="0" borderId="0" xfId="0" applyNumberFormat="1"/>
    <xf numFmtId="1" fontId="0" fillId="0" borderId="0" xfId="0" applyNumberFormat="1"/>
    <xf numFmtId="1" fontId="8" fillId="4" borderId="1" xfId="2" applyNumberFormat="1" applyBorder="1" applyAlignment="1">
      <alignment horizontal="center" vertical="center" wrapText="1"/>
    </xf>
    <xf numFmtId="0" fontId="8" fillId="18" borderId="1" xfId="2" applyNumberFormat="1" applyFill="1" applyBorder="1" applyAlignment="1">
      <alignment horizontal="left" vertical="center" wrapText="1" indent="1"/>
    </xf>
    <xf numFmtId="0" fontId="8" fillId="18" borderId="4" xfId="2" applyNumberFormat="1" applyFill="1" applyBorder="1" applyAlignment="1">
      <alignment horizontal="left" vertical="center" wrapText="1" indent="1"/>
    </xf>
    <xf numFmtId="0" fontId="8" fillId="18" borderId="1" xfId="2" applyFill="1" applyBorder="1" applyAlignment="1">
      <alignment horizontal="left" vertical="center" wrapText="1" indent="1"/>
    </xf>
    <xf numFmtId="165" fontId="29" fillId="4" borderId="4" xfId="2" applyNumberFormat="1" applyFont="1" applyBorder="1" applyAlignment="1">
      <alignment horizontal="right" vertical="center" wrapText="1" indent="1"/>
    </xf>
    <xf numFmtId="0" fontId="8" fillId="5" borderId="4" xfId="2" applyNumberFormat="1" applyFill="1" applyBorder="1" applyAlignment="1">
      <alignment horizontal="left" vertical="center" wrapText="1" indent="1"/>
    </xf>
    <xf numFmtId="0" fontId="8" fillId="5" borderId="1" xfId="2" applyNumberFormat="1" applyFill="1" applyBorder="1" applyAlignment="1">
      <alignment horizontal="left" vertical="center" wrapText="1" indent="1"/>
    </xf>
    <xf numFmtId="0" fontId="8" fillId="19" borderId="1" xfId="2" applyFill="1" applyBorder="1" applyAlignment="1">
      <alignment horizontal="left" vertical="center" wrapText="1" indent="1"/>
    </xf>
    <xf numFmtId="0" fontId="8" fillId="19" borderId="1" xfId="2" applyNumberFormat="1" applyFill="1" applyBorder="1" applyAlignment="1">
      <alignment horizontal="left" vertical="center" wrapText="1" indent="1"/>
    </xf>
    <xf numFmtId="1" fontId="8" fillId="19" borderId="0" xfId="2" applyNumberForma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1" fontId="8" fillId="19" borderId="0" xfId="2" applyNumberFormat="1" applyFill="1" applyAlignment="1">
      <alignment horizontal="center" vertical="center" wrapText="1"/>
    </xf>
    <xf numFmtId="166" fontId="8" fillId="19" borderId="1" xfId="2" applyNumberFormat="1" applyFill="1" applyBorder="1" applyAlignment="1">
      <alignment horizontal="center" vertical="center" wrapText="1"/>
    </xf>
    <xf numFmtId="2" fontId="8" fillId="19" borderId="1" xfId="2" applyNumberFormat="1" applyFill="1" applyBorder="1" applyAlignment="1">
      <alignment horizontal="center" vertical="center" wrapText="1"/>
    </xf>
    <xf numFmtId="166" fontId="21" fillId="19" borderId="1" xfId="2" applyNumberFormat="1" applyFont="1" applyFill="1" applyBorder="1" applyAlignment="1">
      <alignment horizontal="center" vertical="center" wrapText="1"/>
    </xf>
    <xf numFmtId="0" fontId="0" fillId="19" borderId="0" xfId="0" applyFill="1"/>
    <xf numFmtId="0" fontId="8" fillId="14" borderId="1" xfId="2" applyNumberFormat="1" applyFill="1" applyBorder="1" applyAlignment="1">
      <alignment horizontal="left" vertical="center" wrapText="1" indent="1"/>
    </xf>
    <xf numFmtId="0" fontId="8" fillId="20" borderId="1" xfId="2" applyNumberFormat="1" applyFill="1" applyBorder="1" applyAlignment="1">
      <alignment horizontal="left" vertical="center" wrapText="1" indent="1"/>
    </xf>
    <xf numFmtId="0" fontId="8" fillId="20" borderId="1" xfId="2" applyFill="1" applyBorder="1" applyAlignment="1">
      <alignment horizontal="left" vertical="center" wrapText="1" indent="1"/>
    </xf>
    <xf numFmtId="0" fontId="8" fillId="5" borderId="1" xfId="2" applyFill="1" applyBorder="1" applyAlignment="1">
      <alignment horizontal="left" vertical="center" wrapText="1" indent="1"/>
    </xf>
    <xf numFmtId="0" fontId="8" fillId="4" borderId="3" xfId="2" applyNumberFormat="1" applyBorder="1" applyAlignment="1">
      <alignment horizontal="left" vertical="center" wrapText="1" indent="1"/>
    </xf>
    <xf numFmtId="167" fontId="34" fillId="21" borderId="0" xfId="5" applyNumberFormat="1"/>
    <xf numFmtId="169" fontId="34" fillId="21" borderId="0" xfId="5" applyNumberFormat="1"/>
    <xf numFmtId="1" fontId="34" fillId="21" borderId="1" xfId="5" applyNumberFormat="1" applyBorder="1" applyAlignment="1">
      <alignment horizontal="center" vertical="center" wrapText="1"/>
    </xf>
    <xf numFmtId="0" fontId="34" fillId="21" borderId="0" xfId="5"/>
    <xf numFmtId="170" fontId="34" fillId="21" borderId="0" xfId="5" applyNumberFormat="1"/>
    <xf numFmtId="171" fontId="34" fillId="21" borderId="0" xfId="5" applyNumberFormat="1"/>
    <xf numFmtId="169" fontId="0" fillId="20" borderId="0" xfId="0" applyNumberFormat="1" applyFill="1"/>
    <xf numFmtId="1" fontId="28" fillId="14" borderId="1" xfId="2" applyNumberFormat="1" applyFont="1" applyFill="1" applyBorder="1" applyAlignment="1">
      <alignment horizontal="center" vertical="center" wrapText="1"/>
    </xf>
    <xf numFmtId="170" fontId="30" fillId="14" borderId="0" xfId="0" applyNumberFormat="1" applyFont="1" applyFill="1"/>
    <xf numFmtId="171" fontId="30" fillId="14" borderId="0" xfId="0" applyNumberFormat="1" applyFont="1" applyFill="1"/>
    <xf numFmtId="0" fontId="35" fillId="22" borderId="11" xfId="0" applyFont="1" applyFill="1" applyBorder="1" applyAlignment="1">
      <alignment vertical="center" wrapText="1"/>
    </xf>
    <xf numFmtId="0" fontId="35" fillId="22" borderId="12" xfId="0" applyFont="1" applyFill="1" applyBorder="1" applyAlignment="1">
      <alignment vertical="center" wrapText="1"/>
    </xf>
    <xf numFmtId="0" fontId="35" fillId="23" borderId="13" xfId="0" applyFont="1" applyFill="1" applyBorder="1" applyAlignment="1">
      <alignment vertical="center" wrapText="1"/>
    </xf>
    <xf numFmtId="0" fontId="35" fillId="23" borderId="14" xfId="0" applyFont="1" applyFill="1" applyBorder="1" applyAlignment="1">
      <alignment vertical="center" wrapText="1"/>
    </xf>
    <xf numFmtId="0" fontId="35" fillId="22" borderId="13" xfId="0" applyFont="1" applyFill="1" applyBorder="1" applyAlignment="1">
      <alignment vertical="center" wrapText="1"/>
    </xf>
    <xf numFmtId="0" fontId="35" fillId="22" borderId="14" xfId="0" applyFont="1" applyFill="1" applyBorder="1" applyAlignment="1">
      <alignment vertical="center" wrapText="1"/>
    </xf>
    <xf numFmtId="49" fontId="7" fillId="4" borderId="1" xfId="2" applyNumberFormat="1" applyFont="1" applyBorder="1" applyAlignment="1">
      <alignment horizontal="left" vertical="center" wrapText="1" indent="1"/>
    </xf>
    <xf numFmtId="49" fontId="7" fillId="4" borderId="4" xfId="2" applyNumberFormat="1" applyFont="1" applyBorder="1" applyAlignment="1">
      <alignment horizontal="left" vertical="center" wrapText="1" indent="1"/>
    </xf>
    <xf numFmtId="49" fontId="7" fillId="4" borderId="0" xfId="2" applyNumberFormat="1" applyFont="1" applyAlignment="1">
      <alignment horizontal="center" vertical="center" wrapText="1"/>
    </xf>
    <xf numFmtId="49" fontId="7" fillId="4" borderId="0" xfId="2" applyNumberFormat="1" applyFont="1" applyBorder="1" applyAlignment="1">
      <alignment horizontal="center" vertical="center" wrapText="1"/>
    </xf>
    <xf numFmtId="0" fontId="35" fillId="23" borderId="13" xfId="0" applyFont="1" applyFill="1" applyBorder="1" applyAlignment="1">
      <alignment horizontal="center" vertical="center" wrapText="1"/>
    </xf>
    <xf numFmtId="0" fontId="35" fillId="22" borderId="13" xfId="0" applyFont="1" applyFill="1" applyBorder="1" applyAlignment="1">
      <alignment horizontal="center" vertical="center" wrapText="1"/>
    </xf>
    <xf numFmtId="0" fontId="35" fillId="22" borderId="13" xfId="0" applyFont="1" applyFill="1" applyBorder="1" applyAlignment="1">
      <alignment wrapText="1"/>
    </xf>
    <xf numFmtId="0" fontId="35" fillId="24" borderId="13" xfId="0" applyFont="1" applyFill="1" applyBorder="1" applyAlignment="1">
      <alignment wrapText="1"/>
    </xf>
    <xf numFmtId="0" fontId="35" fillId="25" borderId="13" xfId="0" applyFont="1" applyFill="1" applyBorder="1" applyAlignment="1">
      <alignment wrapText="1"/>
    </xf>
    <xf numFmtId="167" fontId="0" fillId="25" borderId="0" xfId="0" applyNumberFormat="1" applyFill="1"/>
    <xf numFmtId="169" fontId="0" fillId="25" borderId="0" xfId="0" applyNumberFormat="1" applyFill="1"/>
    <xf numFmtId="170" fontId="0" fillId="25" borderId="0" xfId="4" applyNumberFormat="1" applyFont="1" applyFill="1"/>
    <xf numFmtId="0" fontId="35" fillId="23" borderId="11" xfId="0" applyFont="1" applyFill="1" applyBorder="1" applyAlignment="1">
      <alignment horizontal="right" vertical="center" wrapText="1"/>
    </xf>
    <xf numFmtId="0" fontId="35" fillId="22" borderId="15" xfId="0" applyFont="1" applyFill="1" applyBorder="1" applyAlignment="1">
      <alignment horizontal="right" vertical="center" wrapText="1"/>
    </xf>
    <xf numFmtId="0" fontId="35" fillId="23" borderId="15" xfId="0" applyFont="1" applyFill="1" applyBorder="1" applyAlignment="1">
      <alignment horizontal="right" vertical="center" wrapText="1"/>
    </xf>
    <xf numFmtId="1" fontId="8" fillId="14" borderId="1" xfId="2" applyNumberFormat="1" applyFill="1" applyBorder="1" applyAlignment="1">
      <alignment horizontal="center" vertical="center" wrapText="1"/>
    </xf>
    <xf numFmtId="170" fontId="0" fillId="14" borderId="0" xfId="0" applyNumberFormat="1" applyFill="1"/>
    <xf numFmtId="171" fontId="0" fillId="14" borderId="0" xfId="0" applyNumberFormat="1" applyFill="1"/>
    <xf numFmtId="0" fontId="8" fillId="7" borderId="1" xfId="2" applyNumberFormat="1" applyFill="1" applyBorder="1" applyAlignment="1">
      <alignment horizontal="left" vertical="center" wrapText="1" indent="1"/>
    </xf>
    <xf numFmtId="0" fontId="7" fillId="4" borderId="1" xfId="2" applyNumberFormat="1" applyFont="1" applyBorder="1" applyAlignment="1">
      <alignment horizontal="left" vertical="center" wrapText="1" indent="1"/>
    </xf>
    <xf numFmtId="170" fontId="7" fillId="4" borderId="1" xfId="4" applyNumberFormat="1" applyFont="1" applyFill="1" applyBorder="1" applyAlignment="1">
      <alignment horizontal="center" vertical="center" wrapText="1"/>
    </xf>
    <xf numFmtId="0" fontId="7" fillId="4" borderId="4" xfId="2" applyNumberFormat="1" applyFont="1" applyBorder="1" applyAlignment="1">
      <alignment horizontal="left" vertical="center" wrapText="1" indent="1"/>
    </xf>
    <xf numFmtId="0" fontId="7" fillId="18" borderId="1" xfId="2" applyNumberFormat="1" applyFont="1" applyFill="1" applyBorder="1" applyAlignment="1">
      <alignment horizontal="left" vertical="center" wrapText="1" indent="1"/>
    </xf>
    <xf numFmtId="0" fontId="7" fillId="9" borderId="1" xfId="2" applyNumberFormat="1" applyFont="1" applyFill="1" applyBorder="1" applyAlignment="1">
      <alignment horizontal="left" vertical="center" wrapText="1" indent="1"/>
    </xf>
    <xf numFmtId="0" fontId="7" fillId="9" borderId="1" xfId="2" applyFont="1" applyFill="1" applyBorder="1" applyAlignment="1">
      <alignment horizontal="left" vertical="center" wrapText="1" indent="1"/>
    </xf>
    <xf numFmtId="0" fontId="7" fillId="18" borderId="1" xfId="2" applyFont="1" applyFill="1" applyBorder="1" applyAlignment="1">
      <alignment horizontal="left" vertical="center" wrapText="1" indent="1"/>
    </xf>
    <xf numFmtId="0" fontId="7" fillId="4" borderId="1" xfId="2" applyFont="1" applyBorder="1" applyAlignment="1">
      <alignment horizontal="left" vertical="center" wrapText="1" indent="1"/>
    </xf>
    <xf numFmtId="0" fontId="7" fillId="5" borderId="1" xfId="2" applyFont="1" applyFill="1" applyBorder="1" applyAlignment="1">
      <alignment horizontal="left" vertical="center" wrapText="1" indent="1"/>
    </xf>
    <xf numFmtId="0" fontId="7" fillId="5" borderId="1" xfId="2" applyNumberFormat="1" applyFont="1" applyFill="1" applyBorder="1" applyAlignment="1">
      <alignment horizontal="left" vertical="center" wrapText="1" indent="1"/>
    </xf>
    <xf numFmtId="0" fontId="7" fillId="5" borderId="4" xfId="2" applyNumberFormat="1" applyFont="1" applyFill="1" applyBorder="1" applyAlignment="1">
      <alignment horizontal="left" vertical="center" wrapText="1" indent="1"/>
    </xf>
    <xf numFmtId="0" fontId="7" fillId="9" borderId="4" xfId="2" applyNumberFormat="1" applyFont="1" applyFill="1" applyBorder="1" applyAlignment="1">
      <alignment horizontal="left" vertical="center" wrapText="1" indent="1"/>
    </xf>
    <xf numFmtId="0" fontId="7" fillId="9" borderId="4" xfId="2" applyFont="1" applyFill="1" applyBorder="1" applyAlignment="1">
      <alignment horizontal="left" vertical="center" wrapText="1" indent="1"/>
    </xf>
    <xf numFmtId="0" fontId="7" fillId="4" borderId="4" xfId="2" applyFont="1" applyBorder="1" applyAlignment="1">
      <alignment horizontal="left" vertical="center" wrapText="1" indent="1"/>
    </xf>
    <xf numFmtId="0" fontId="7" fillId="18" borderId="4" xfId="2" applyNumberFormat="1" applyFont="1" applyFill="1" applyBorder="1" applyAlignment="1">
      <alignment horizontal="left" vertical="center" wrapText="1" indent="1"/>
    </xf>
    <xf numFmtId="0" fontId="7" fillId="14" borderId="4" xfId="2" applyNumberFormat="1" applyFont="1" applyFill="1" applyBorder="1" applyAlignment="1">
      <alignment horizontal="left" vertical="center" wrapText="1" indent="1"/>
    </xf>
    <xf numFmtId="49" fontId="7" fillId="4" borderId="4" xfId="2" applyNumberFormat="1" applyFont="1" applyBorder="1" applyAlignment="1">
      <alignment horizontal="center" vertical="center" wrapText="1"/>
    </xf>
    <xf numFmtId="0" fontId="7" fillId="4" borderId="0" xfId="2" applyNumberFormat="1" applyFont="1" applyBorder="1" applyAlignment="1">
      <alignment horizontal="left" vertical="center" wrapText="1" indent="1"/>
    </xf>
    <xf numFmtId="0" fontId="7" fillId="20" borderId="1" xfId="2" applyNumberFormat="1" applyFont="1" applyFill="1" applyBorder="1" applyAlignment="1">
      <alignment horizontal="left" vertical="center" wrapText="1" indent="1"/>
    </xf>
    <xf numFmtId="0" fontId="7" fillId="4" borderId="3" xfId="2" applyNumberFormat="1" applyFont="1" applyBorder="1" applyAlignment="1">
      <alignment horizontal="left" vertical="center" wrapText="1" indent="1"/>
    </xf>
    <xf numFmtId="0" fontId="7" fillId="4" borderId="3" xfId="2" applyFont="1" applyBorder="1" applyAlignment="1">
      <alignment horizontal="left" vertical="center" wrapText="1" indent="1"/>
    </xf>
    <xf numFmtId="0" fontId="7" fillId="19" borderId="1" xfId="2" applyNumberFormat="1" applyFont="1" applyFill="1" applyBorder="1" applyAlignment="1">
      <alignment horizontal="left" vertical="center" wrapText="1" indent="1"/>
    </xf>
    <xf numFmtId="0" fontId="7" fillId="4" borderId="5" xfId="2" applyNumberFormat="1" applyFont="1" applyBorder="1" applyAlignment="1">
      <alignment horizontal="left" vertical="center" wrapText="1" indent="1"/>
    </xf>
    <xf numFmtId="0" fontId="7" fillId="5" borderId="4" xfId="2" applyFont="1" applyFill="1" applyBorder="1" applyAlignment="1">
      <alignment horizontal="left" vertical="center" wrapText="1" indent="1"/>
    </xf>
    <xf numFmtId="0" fontId="7" fillId="14" borderId="1" xfId="2" applyNumberFormat="1" applyFont="1" applyFill="1" applyBorder="1" applyAlignment="1">
      <alignment horizontal="left" vertical="center" wrapText="1" indent="1"/>
    </xf>
    <xf numFmtId="0" fontId="7" fillId="19" borderId="1" xfId="2" applyFont="1" applyFill="1" applyBorder="1" applyAlignment="1">
      <alignment horizontal="left" vertical="center" wrapText="1" indent="1"/>
    </xf>
    <xf numFmtId="0" fontId="7" fillId="4" borderId="1" xfId="2" applyNumberFormat="1" applyFont="1" applyBorder="1" applyAlignment="1">
      <alignment horizontal="center" vertical="center" wrapText="1"/>
    </xf>
    <xf numFmtId="0" fontId="7" fillId="19" borderId="4" xfId="2" applyNumberFormat="1" applyFont="1" applyFill="1" applyBorder="1" applyAlignment="1">
      <alignment horizontal="left" vertical="center" wrapText="1" indent="1"/>
    </xf>
    <xf numFmtId="49" fontId="7" fillId="19" borderId="1" xfId="2" applyNumberFormat="1" applyFont="1" applyFill="1" applyBorder="1" applyAlignment="1">
      <alignment horizontal="left" vertical="center" wrapText="1" indent="1"/>
    </xf>
    <xf numFmtId="0" fontId="33" fillId="0" borderId="0" xfId="0" applyFont="1"/>
    <xf numFmtId="0" fontId="36" fillId="26" borderId="16" xfId="0" applyFont="1" applyFill="1" applyBorder="1" applyAlignment="1">
      <alignment wrapText="1"/>
    </xf>
    <xf numFmtId="167" fontId="0" fillId="27" borderId="0" xfId="0" applyNumberFormat="1" applyFill="1"/>
    <xf numFmtId="0" fontId="36" fillId="28" borderId="16" xfId="0" applyFont="1" applyFill="1" applyBorder="1" applyAlignment="1">
      <alignment wrapText="1"/>
    </xf>
    <xf numFmtId="0" fontId="37" fillId="23" borderId="16" xfId="0" applyFont="1" applyFill="1" applyBorder="1" applyAlignment="1">
      <alignment wrapText="1" readingOrder="1"/>
    </xf>
    <xf numFmtId="0" fontId="37" fillId="23" borderId="17" xfId="0" applyFont="1" applyFill="1" applyBorder="1" applyAlignment="1">
      <alignment wrapText="1" readingOrder="1"/>
    </xf>
    <xf numFmtId="0" fontId="37" fillId="22" borderId="18" xfId="0" applyFont="1" applyFill="1" applyBorder="1" applyAlignment="1">
      <alignment wrapText="1" readingOrder="1"/>
    </xf>
    <xf numFmtId="0" fontId="37" fillId="22" borderId="19" xfId="0" applyFont="1" applyFill="1" applyBorder="1" applyAlignment="1">
      <alignment wrapText="1" readingOrder="1"/>
    </xf>
    <xf numFmtId="0" fontId="37" fillId="23" borderId="18" xfId="0" applyFont="1" applyFill="1" applyBorder="1" applyAlignment="1">
      <alignment wrapText="1" readingOrder="1"/>
    </xf>
    <xf numFmtId="0" fontId="37" fillId="23" borderId="19" xfId="0" applyFont="1" applyFill="1" applyBorder="1" applyAlignment="1">
      <alignment wrapText="1" readingOrder="1"/>
    </xf>
    <xf numFmtId="0" fontId="37" fillId="0" borderId="0" xfId="0" applyFont="1"/>
    <xf numFmtId="0" fontId="37" fillId="22" borderId="16" xfId="0" applyFont="1" applyFill="1" applyBorder="1" applyAlignment="1">
      <alignment wrapText="1" readingOrder="1"/>
    </xf>
    <xf numFmtId="0" fontId="37" fillId="22" borderId="17" xfId="0" applyFont="1" applyFill="1" applyBorder="1" applyAlignment="1">
      <alignment wrapText="1" readingOrder="1"/>
    </xf>
    <xf numFmtId="167" fontId="0" fillId="0" borderId="0" xfId="0" applyNumberFormat="1" applyAlignment="1">
      <alignment wrapText="1"/>
    </xf>
    <xf numFmtId="1" fontId="7" fillId="9" borderId="1" xfId="2" applyNumberFormat="1" applyFont="1" applyFill="1" applyBorder="1" applyAlignment="1">
      <alignment horizontal="center" vertical="center" wrapText="1"/>
    </xf>
    <xf numFmtId="167" fontId="0" fillId="29" borderId="0" xfId="0" applyNumberFormat="1" applyFill="1"/>
    <xf numFmtId="169" fontId="0" fillId="29" borderId="0" xfId="0" applyNumberFormat="1" applyFill="1"/>
    <xf numFmtId="0" fontId="0" fillId="29" borderId="0" xfId="0" applyFill="1"/>
    <xf numFmtId="170" fontId="0" fillId="29" borderId="0" xfId="4" applyNumberFormat="1" applyFont="1" applyFill="1"/>
    <xf numFmtId="170" fontId="0" fillId="29" borderId="0" xfId="0" applyNumberFormat="1" applyFill="1"/>
    <xf numFmtId="171" fontId="0" fillId="29" borderId="0" xfId="0" applyNumberFormat="1" applyFill="1"/>
    <xf numFmtId="167" fontId="0" fillId="30" borderId="0" xfId="0" applyNumberFormat="1" applyFill="1"/>
    <xf numFmtId="169" fontId="0" fillId="30" borderId="0" xfId="0" applyNumberFormat="1" applyFill="1"/>
    <xf numFmtId="0" fontId="0" fillId="30" borderId="0" xfId="0" applyFill="1"/>
    <xf numFmtId="170" fontId="0" fillId="30" borderId="0" xfId="4" applyNumberFormat="1" applyFont="1" applyFill="1"/>
    <xf numFmtId="170" fontId="0" fillId="30" borderId="0" xfId="0" applyNumberFormat="1" applyFill="1"/>
    <xf numFmtId="171" fontId="0" fillId="30" borderId="0" xfId="0" applyNumberFormat="1" applyFill="1"/>
    <xf numFmtId="0" fontId="38" fillId="28" borderId="16" xfId="0" applyFont="1" applyFill="1" applyBorder="1" applyAlignment="1">
      <alignment wrapText="1"/>
    </xf>
    <xf numFmtId="0" fontId="0" fillId="25" borderId="0" xfId="0" applyFill="1"/>
    <xf numFmtId="170" fontId="0" fillId="25" borderId="0" xfId="0" applyNumberFormat="1" applyFill="1"/>
    <xf numFmtId="171" fontId="0" fillId="25" borderId="0" xfId="0" applyNumberFormat="1" applyFill="1"/>
    <xf numFmtId="164" fontId="0" fillId="0" borderId="0" xfId="0" applyNumberFormat="1"/>
    <xf numFmtId="0" fontId="6" fillId="4" borderId="1" xfId="2" applyNumberFormat="1" applyFont="1" applyBorder="1" applyAlignment="1">
      <alignment horizontal="left" vertical="center" wrapText="1" indent="1"/>
    </xf>
    <xf numFmtId="49" fontId="6" fillId="4" borderId="1" xfId="2" applyNumberFormat="1" applyFont="1" applyBorder="1" applyAlignment="1">
      <alignment horizontal="left" vertical="center" wrapText="1" indent="1"/>
    </xf>
    <xf numFmtId="44" fontId="37" fillId="23" borderId="17" xfId="4" applyFont="1" applyFill="1" applyBorder="1" applyAlignment="1">
      <alignment wrapText="1" readingOrder="1"/>
    </xf>
    <xf numFmtId="44" fontId="37" fillId="22" borderId="19" xfId="4" applyFont="1" applyFill="1" applyBorder="1" applyAlignment="1">
      <alignment wrapText="1" readingOrder="1"/>
    </xf>
    <xf numFmtId="44" fontId="37" fillId="23" borderId="19" xfId="4" applyFont="1" applyFill="1" applyBorder="1" applyAlignment="1">
      <alignment wrapText="1" readingOrder="1"/>
    </xf>
    <xf numFmtId="44" fontId="37" fillId="22" borderId="17" xfId="4" applyFont="1" applyFill="1" applyBorder="1" applyAlignment="1">
      <alignment wrapText="1" readingOrder="1"/>
    </xf>
    <xf numFmtId="0" fontId="6" fillId="31" borderId="1" xfId="2" applyNumberFormat="1" applyFont="1" applyFill="1" applyBorder="1" applyAlignment="1">
      <alignment horizontal="left" vertical="center" wrapText="1" indent="1"/>
    </xf>
    <xf numFmtId="0" fontId="6" fillId="9" borderId="4" xfId="2" applyNumberFormat="1" applyFont="1" applyFill="1" applyBorder="1" applyAlignment="1">
      <alignment horizontal="left" vertical="center" wrapText="1" indent="1"/>
    </xf>
    <xf numFmtId="0" fontId="6" fillId="9" borderId="1" xfId="2" applyFont="1" applyFill="1" applyBorder="1" applyAlignment="1">
      <alignment horizontal="left" vertical="center" wrapText="1" indent="1"/>
    </xf>
    <xf numFmtId="44" fontId="36" fillId="26" borderId="16" xfId="4" applyFont="1" applyFill="1" applyBorder="1" applyAlignment="1">
      <alignment wrapText="1"/>
    </xf>
    <xf numFmtId="0" fontId="6" fillId="9" borderId="1" xfId="2" applyNumberFormat="1" applyFont="1" applyFill="1" applyBorder="1" applyAlignment="1">
      <alignment horizontal="left" vertical="center" wrapText="1" indent="1"/>
    </xf>
    <xf numFmtId="0" fontId="6" fillId="4" borderId="4" xfId="2" applyNumberFormat="1" applyFont="1" applyBorder="1" applyAlignment="1">
      <alignment horizontal="left" vertical="center" wrapText="1" indent="1"/>
    </xf>
    <xf numFmtId="49" fontId="6" fillId="4" borderId="4" xfId="2" applyNumberFormat="1" applyFont="1" applyBorder="1" applyAlignment="1">
      <alignment horizontal="left" vertical="center" wrapText="1" indent="1"/>
    </xf>
    <xf numFmtId="0" fontId="5" fillId="4" borderId="1" xfId="2" applyNumberFormat="1" applyFont="1" applyBorder="1" applyAlignment="1">
      <alignment horizontal="left" vertical="center" wrapText="1" indent="1"/>
    </xf>
    <xf numFmtId="0" fontId="5" fillId="18" borderId="4" xfId="2" applyFont="1" applyFill="1" applyBorder="1" applyAlignment="1">
      <alignment horizontal="left" vertical="center" wrapText="1" indent="1"/>
    </xf>
    <xf numFmtId="0" fontId="5" fillId="4" borderId="4" xfId="2" applyFont="1" applyBorder="1" applyAlignment="1">
      <alignment horizontal="left" vertical="center" wrapText="1" indent="1"/>
    </xf>
    <xf numFmtId="0" fontId="5" fillId="4" borderId="1" xfId="2" applyFont="1" applyBorder="1" applyAlignment="1">
      <alignment horizontal="left" vertical="center" wrapText="1" indent="1"/>
    </xf>
    <xf numFmtId="49" fontId="5" fillId="4" borderId="0" xfId="2" applyNumberFormat="1" applyFont="1" applyAlignment="1">
      <alignment horizontal="center" vertical="center" wrapText="1"/>
    </xf>
    <xf numFmtId="0" fontId="5" fillId="5" borderId="1" xfId="2" applyFont="1" applyFill="1" applyBorder="1" applyAlignment="1">
      <alignment horizontal="left" vertical="center" wrapText="1" indent="1"/>
    </xf>
    <xf numFmtId="0" fontId="5" fillId="5" borderId="1" xfId="2" applyNumberFormat="1" applyFont="1" applyFill="1" applyBorder="1" applyAlignment="1">
      <alignment horizontal="left" vertical="center" wrapText="1" indent="1"/>
    </xf>
    <xf numFmtId="0" fontId="5" fillId="18" borderId="1" xfId="2" applyFont="1" applyFill="1" applyBorder="1" applyAlignment="1">
      <alignment horizontal="left" vertical="center" wrapText="1" indent="1"/>
    </xf>
    <xf numFmtId="0" fontId="5" fillId="5" borderId="4" xfId="2" applyNumberFormat="1" applyFont="1" applyFill="1" applyBorder="1" applyAlignment="1">
      <alignment horizontal="left" vertical="center" wrapText="1" indent="1"/>
    </xf>
    <xf numFmtId="0" fontId="5" fillId="9" borderId="1" xfId="2" applyNumberFormat="1" applyFont="1" applyFill="1" applyBorder="1" applyAlignment="1">
      <alignment horizontal="left" vertical="center" wrapText="1" indent="1"/>
    </xf>
    <xf numFmtId="0" fontId="5" fillId="7" borderId="1" xfId="2" applyNumberFormat="1" applyFont="1" applyFill="1" applyBorder="1" applyAlignment="1">
      <alignment horizontal="left" vertical="center" wrapText="1" indent="1"/>
    </xf>
    <xf numFmtId="0" fontId="5" fillId="4" borderId="4" xfId="2" applyNumberFormat="1" applyFont="1" applyBorder="1" applyAlignment="1">
      <alignment horizontal="left" vertical="center" wrapText="1" indent="1"/>
    </xf>
    <xf numFmtId="0" fontId="5" fillId="18" borderId="1" xfId="2" applyNumberFormat="1" applyFont="1" applyFill="1" applyBorder="1" applyAlignment="1">
      <alignment horizontal="left" vertical="center" wrapText="1" indent="1"/>
    </xf>
    <xf numFmtId="0" fontId="5" fillId="5" borderId="4" xfId="2" applyFont="1" applyFill="1" applyBorder="1" applyAlignment="1">
      <alignment horizontal="left" vertical="center" wrapText="1" indent="1"/>
    </xf>
    <xf numFmtId="0" fontId="5" fillId="20" borderId="1" xfId="2" applyNumberFormat="1" applyFont="1" applyFill="1" applyBorder="1" applyAlignment="1">
      <alignment horizontal="left" vertical="center" wrapText="1" indent="1"/>
    </xf>
    <xf numFmtId="0" fontId="4" fillId="4" borderId="1" xfId="2" applyNumberFormat="1" applyFont="1" applyBorder="1" applyAlignment="1">
      <alignment horizontal="left" vertical="center" wrapText="1" indent="1"/>
    </xf>
    <xf numFmtId="1" fontId="4" fillId="4" borderId="1" xfId="2" applyNumberFormat="1" applyFont="1" applyBorder="1" applyAlignment="1">
      <alignment horizontal="center" vertical="center" wrapText="1"/>
    </xf>
    <xf numFmtId="169" fontId="0" fillId="32" borderId="0" xfId="0" applyNumberFormat="1" applyFill="1"/>
    <xf numFmtId="0" fontId="4" fillId="9" borderId="1" xfId="2" applyNumberFormat="1" applyFont="1" applyFill="1" applyBorder="1" applyAlignment="1">
      <alignment horizontal="left" vertical="center" wrapText="1" indent="1"/>
    </xf>
    <xf numFmtId="0" fontId="4" fillId="5" borderId="1" xfId="2" applyNumberFormat="1" applyFont="1" applyFill="1" applyBorder="1" applyAlignment="1">
      <alignment horizontal="left" vertical="center" wrapText="1" indent="1"/>
    </xf>
    <xf numFmtId="0" fontId="4" fillId="5" borderId="4" xfId="2" applyNumberFormat="1" applyFont="1" applyFill="1" applyBorder="1" applyAlignment="1">
      <alignment horizontal="left" vertical="center" wrapText="1" indent="1"/>
    </xf>
    <xf numFmtId="0" fontId="4" fillId="18" borderId="1" xfId="2" applyNumberFormat="1" applyFont="1" applyFill="1" applyBorder="1" applyAlignment="1">
      <alignment horizontal="left" vertical="center" wrapText="1" indent="1"/>
    </xf>
    <xf numFmtId="0" fontId="3" fillId="18" borderId="1" xfId="2" applyNumberFormat="1" applyFont="1" applyFill="1" applyBorder="1" applyAlignment="1">
      <alignment horizontal="left" vertical="center" wrapText="1" indent="1"/>
    </xf>
    <xf numFmtId="0" fontId="3" fillId="5" borderId="1" xfId="2" applyNumberFormat="1" applyFont="1" applyFill="1" applyBorder="1" applyAlignment="1">
      <alignment horizontal="left" vertical="center" wrapText="1" indent="1"/>
    </xf>
    <xf numFmtId="0" fontId="3" fillId="4" borderId="1" xfId="2" applyNumberFormat="1" applyFont="1" applyBorder="1" applyAlignment="1">
      <alignment horizontal="left" vertical="center" wrapText="1" indent="1"/>
    </xf>
    <xf numFmtId="49" fontId="3" fillId="4" borderId="1" xfId="2" applyNumberFormat="1" applyFont="1" applyBorder="1" applyAlignment="1">
      <alignment horizontal="left" vertical="center" wrapText="1" indent="1"/>
    </xf>
    <xf numFmtId="49" fontId="3" fillId="4" borderId="0" xfId="2" applyNumberFormat="1" applyFont="1" applyAlignment="1">
      <alignment horizontal="center" vertical="center" wrapText="1"/>
    </xf>
    <xf numFmtId="0" fontId="2" fillId="4" borderId="1" xfId="2" applyNumberFormat="1" applyFont="1" applyBorder="1" applyAlignment="1">
      <alignment horizontal="left" vertical="center" wrapText="1" indent="1"/>
    </xf>
    <xf numFmtId="49" fontId="2" fillId="4" borderId="1" xfId="2" applyNumberFormat="1" applyFont="1" applyBorder="1" applyAlignment="1">
      <alignment horizontal="left" vertical="center" wrapText="1" indent="1"/>
    </xf>
    <xf numFmtId="0" fontId="2" fillId="10" borderId="1" xfId="2" applyNumberFormat="1" applyFont="1" applyFill="1" applyBorder="1" applyAlignment="1">
      <alignment horizontal="left" vertical="center" wrapText="1" indent="1"/>
    </xf>
    <xf numFmtId="0" fontId="2" fillId="4" borderId="1" xfId="2" applyFont="1" applyBorder="1" applyAlignment="1">
      <alignment horizontal="left" vertical="center" wrapText="1" indent="1"/>
    </xf>
    <xf numFmtId="49" fontId="1" fillId="4" borderId="1" xfId="2" applyNumberFormat="1" applyFont="1" applyBorder="1" applyAlignment="1">
      <alignment horizontal="left" vertical="center" wrapText="1" indent="1"/>
    </xf>
    <xf numFmtId="0" fontId="16" fillId="6" borderId="0" xfId="3" applyFont="1" applyAlignment="1">
      <alignment horizontal="center"/>
    </xf>
    <xf numFmtId="0" fontId="15" fillId="6" borderId="0" xfId="3" applyFont="1" applyAlignment="1">
      <alignment horizontal="center"/>
    </xf>
    <xf numFmtId="0" fontId="15" fillId="6" borderId="0" xfId="3" applyNumberFormat="1" applyFont="1" applyAlignment="1">
      <alignment horizontal="center"/>
    </xf>
    <xf numFmtId="0" fontId="17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6" fontId="27" fillId="0" borderId="0" xfId="4" applyNumberFormat="1" applyFont="1" applyAlignment="1">
      <alignment horizontal="center" vertical="center"/>
    </xf>
    <xf numFmtId="171" fontId="0" fillId="0" borderId="0" xfId="4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3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0" fillId="13" borderId="7" xfId="0" applyFill="1" applyBorder="1" applyAlignment="1">
      <alignment horizontal="center" vertical="center"/>
    </xf>
  </cellXfs>
  <cellStyles count="6">
    <cellStyle name="20% - Énfasis1" xfId="2" builtinId="30"/>
    <cellStyle name="Bueno" xfId="3" builtinId="26"/>
    <cellStyle name="Énfasis1" xfId="5" builtinId="29"/>
    <cellStyle name="Moneda" xfId="4" builtinId="4"/>
    <cellStyle name="Normal" xfId="0" builtinId="0"/>
    <cellStyle name="Normal 2" xfId="1" xr:uid="{8CD6DA98-70AD-8C40-A0D7-3C98E16FB160}"/>
  </cellStyles>
  <dxfs count="48">
    <dxf>
      <numFmt numFmtId="0" formatCode="General"/>
    </dxf>
    <dxf>
      <numFmt numFmtId="0" formatCode="General"/>
    </dxf>
    <dxf>
      <numFmt numFmtId="168" formatCode="dd/mm/yy;@"/>
    </dxf>
    <dxf>
      <numFmt numFmtId="167" formatCode="\F\C\-000\-000"/>
    </dxf>
    <dxf>
      <font>
        <color rgb="FF9C0006"/>
      </font>
      <fill>
        <patternFill>
          <bgColor rgb="FFFFC7CE"/>
        </patternFill>
      </fill>
    </dxf>
    <dxf>
      <numFmt numFmtId="171" formatCode="&quot;$&quot;\ #,##0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0" formatCode="General"/>
      <fill>
        <patternFill patternType="solid">
          <fgColor indexed="64"/>
          <bgColor theme="0"/>
        </patternFill>
      </fill>
    </dxf>
    <dxf>
      <numFmt numFmtId="1" formatCode="0"/>
    </dxf>
    <dxf>
      <numFmt numFmtId="169" formatCode="dd/mm/yyyy;@"/>
    </dxf>
    <dxf>
      <numFmt numFmtId="167" formatCode="\F\C\-000\-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chon Code 39 Barcode"/>
        <scheme val="none"/>
      </font>
      <numFmt numFmtId="166" formatCode="&quot;$&quot;\ #,##0.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Archon Code 39 Barcode"/>
        <scheme val="none"/>
      </font>
      <numFmt numFmtId="166" formatCode="&quot;$&quot;\ #,##0.00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.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6" formatCode="&quot;$&quot;\ #,##0.00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\ #,##0.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6" formatCode="&quot;$&quot;\ #,##0.00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numFmt numFmtId="1" formatCode="0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4" tint="0.79998168889431442"/>
        </patternFill>
      </fill>
      <alignment horizontal="left" vertical="center" textRotation="0" wrapText="1" indent="1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z val="11"/>
      </font>
      <numFmt numFmtId="30" formatCode="@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sz val="11"/>
      </font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71" formatCode="&quot;$&quot;\ #,##0"/>
      <fill>
        <patternFill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5" formatCode="&quot;$&quot;#,##0.00"/>
      <alignment horizontal="right" vertical="center" textRotation="0" wrapText="1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5" formatCode="&quot;$&quot;#,##0.00"/>
      <alignment horizontal="righ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" formatCode="0"/>
      <fill>
        <patternFill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5" formatCode="&quot;$&quot;#,##0.00"/>
      <alignment horizontal="righ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30" formatCode="@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vertical="center" textRotation="0" wrapText="1" indent="0" justifyLastLine="0" shrinkToFit="0" readingOrder="0"/>
    </dxf>
    <dxf>
      <border>
        <bottom style="thin">
          <color theme="0" tint="-0.24994659260841701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9" defaultPivotStyle="PivotStyleMedium7"/>
  <colors>
    <mruColors>
      <color rgb="FF03C25B"/>
      <color rgb="FFFF33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r:id="rId1"/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https://api.qrserver.com/v1/create-qr-code/?size=100x100&amp;data=ESCP-22118" TargetMode="External"/><Relationship Id="rId299" Type="http://schemas.openxmlformats.org/officeDocument/2006/relationships/image" Target="https://api.qrserver.com/v1/create-qr-code/?size=100x100&amp;data=LOLO-5544" TargetMode="External"/><Relationship Id="rId21" Type="http://schemas.openxmlformats.org/officeDocument/2006/relationships/image" Target="https://api.qrserver.com/v1/create-qr-code/?size=100x100&amp;data=ESCP-55874" TargetMode="External"/><Relationship Id="rId63" Type="http://schemas.openxmlformats.org/officeDocument/2006/relationships/image" Target="https://api.qrserver.com/v1/create-qr-code/?size=100x100&amp;data=6970570812492" TargetMode="External"/><Relationship Id="rId159" Type="http://schemas.openxmlformats.org/officeDocument/2006/relationships/image" Target="https://api.qrserver.com/v1/create-qr-code/?size=100x100&amp;data=ESCP-00883" TargetMode="External"/><Relationship Id="rId324" Type="http://schemas.openxmlformats.org/officeDocument/2006/relationships/image" Target="https://api.qrserver.com/v1/create-qr-code/?size=100x100&amp;data=VARI-888000" TargetMode="External"/><Relationship Id="rId170" Type="http://schemas.openxmlformats.org/officeDocument/2006/relationships/image" Target="https://api.qrserver.com/v1/create-qr-code/?size=100x100&amp;data=POCI-011" TargetMode="External"/><Relationship Id="rId226" Type="http://schemas.openxmlformats.org/officeDocument/2006/relationships/image" Target="https://api.qrserver.com/v1/create-qr-code/?size=100x100&amp;data=6965235633130" TargetMode="External"/><Relationship Id="rId268" Type="http://schemas.openxmlformats.org/officeDocument/2006/relationships/image" Target="https://api.qrserver.com/v1/create-qr-code/?size=100x100&amp;data=6922291002621" TargetMode="External"/><Relationship Id="rId32" Type="http://schemas.openxmlformats.org/officeDocument/2006/relationships/image" Target="https://api.qrserver.com/v1/create-qr-code/?size=100x100&amp;data=ESCP-44882" TargetMode="External"/><Relationship Id="rId74" Type="http://schemas.openxmlformats.org/officeDocument/2006/relationships/image" Target="https://api.qrserver.com/v1/create-qr-code/?size=100x100&amp;data=6800220022011" TargetMode="External"/><Relationship Id="rId128" Type="http://schemas.openxmlformats.org/officeDocument/2006/relationships/image" Target="https://api.qrserver.com/v1/create-qr-code/?size=100x100&amp;data=VARI-22787" TargetMode="External"/><Relationship Id="rId335" Type="http://schemas.openxmlformats.org/officeDocument/2006/relationships/image" Target="https://api.qrserver.com/v1/create-qr-code/?size=100x100&amp;data=6965482363910" TargetMode="External"/><Relationship Id="rId5" Type="http://schemas.openxmlformats.org/officeDocument/2006/relationships/image" Target="https://api.qrserver.com/v1/create-qr-code/?size=100x100&amp;data=ESCP-881211" TargetMode="External"/><Relationship Id="rId181" Type="http://schemas.openxmlformats.org/officeDocument/2006/relationships/image" Target="https://api.qrserver.com/v1/create-qr-code/?size=100x100&amp;data=6971010807337" TargetMode="External"/><Relationship Id="rId237" Type="http://schemas.openxmlformats.org/officeDocument/2006/relationships/image" Target="https://api.qrserver.com/v1/create-qr-code/?size=100x100&amp;data=SOMB-001" TargetMode="External"/><Relationship Id="rId279" Type="http://schemas.openxmlformats.org/officeDocument/2006/relationships/image" Target="https://api.qrserver.com/v1/create-qr-code/?size=100x100&amp;data=6920240510111" TargetMode="External"/><Relationship Id="rId43" Type="http://schemas.openxmlformats.org/officeDocument/2006/relationships/image" Target="https://api.qrserver.com/v1/create-qr-code/?size=100x100&amp;data=6971010809430" TargetMode="External"/><Relationship Id="rId139" Type="http://schemas.openxmlformats.org/officeDocument/2006/relationships/image" Target="https://api.qrserver.com/v1/create-qr-code/?size=100x100&amp;data=6935924452717" TargetMode="External"/><Relationship Id="rId290" Type="http://schemas.openxmlformats.org/officeDocument/2006/relationships/image" Target="https://api.qrserver.com/v1/create-qr-code/?size=100x100&amp;data=VARI-55881" TargetMode="External"/><Relationship Id="rId304" Type="http://schemas.openxmlformats.org/officeDocument/2006/relationships/image" Target="https://api.qrserver.com/v1/create-qr-code/?size=100x100&amp;data=6979270810111" TargetMode="External"/><Relationship Id="rId85" Type="http://schemas.openxmlformats.org/officeDocument/2006/relationships/image" Target="https://api.qrserver.com/v1/create-qr-code/?size=100x100&amp;data=MAQU-0022544" TargetMode="External"/><Relationship Id="rId150" Type="http://schemas.openxmlformats.org/officeDocument/2006/relationships/image" Target="https://api.qrserver.com/v1/create-qr-code/?size=100x100&amp;data=VARI%27003" TargetMode="External"/><Relationship Id="rId192" Type="http://schemas.openxmlformats.org/officeDocument/2006/relationships/image" Target="https://api.qrserver.com/v1/create-qr-code/?size=100x100&amp;data=VARI-00055523-1" TargetMode="External"/><Relationship Id="rId206" Type="http://schemas.openxmlformats.org/officeDocument/2006/relationships/image" Target="https://api.qrserver.com/v1/create-qr-code/?size=100x100&amp;data=REJ-5500588" TargetMode="External"/><Relationship Id="rId248" Type="http://schemas.openxmlformats.org/officeDocument/2006/relationships/image" Target="https://api.qrserver.com/v1/create-qr-code/?size=100x100&amp;data=6971010809577" TargetMode="External"/><Relationship Id="rId12" Type="http://schemas.openxmlformats.org/officeDocument/2006/relationships/image" Target="https://api.qrserver.com/v1/create-qr-code/?size=100x100&amp;data=BALS-001" TargetMode="External"/><Relationship Id="rId108" Type="http://schemas.openxmlformats.org/officeDocument/2006/relationships/image" Target="https://api.qrserver.com/v1/create-qr-code/?size=100x100&amp;data=ECSP-0014778" TargetMode="External"/><Relationship Id="rId315" Type="http://schemas.openxmlformats.org/officeDocument/2006/relationships/image" Target="https://api.qrserver.com/v1/create-qr-code/?size=100x100&amp;data=BOTON-001" TargetMode="External"/><Relationship Id="rId54" Type="http://schemas.openxmlformats.org/officeDocument/2006/relationships/image" Target="https://api.qrserver.com/v1/create-qr-code/?size=100x100&amp;data=JUGUE-85547" TargetMode="External"/><Relationship Id="rId96" Type="http://schemas.openxmlformats.org/officeDocument/2006/relationships/image" Target="https://api.qrserver.com/v1/create-qr-code/?size=100x100&amp;data=LAMP-007" TargetMode="External"/><Relationship Id="rId161" Type="http://schemas.openxmlformats.org/officeDocument/2006/relationships/image" Target="https://api.qrserver.com/v1/create-qr-code/?size=100x100&amp;data=6971288310157" TargetMode="External"/><Relationship Id="rId217" Type="http://schemas.openxmlformats.org/officeDocument/2006/relationships/image" Target="https://api.qrserver.com/v1/create-qr-code/?size=100x100&amp;data=6965482362531" TargetMode="External"/><Relationship Id="rId259" Type="http://schemas.openxmlformats.org/officeDocument/2006/relationships/image" Target="https://api.qrserver.com/v1/create-qr-code/?size=100x100&amp;data=1595169005953" TargetMode="External"/><Relationship Id="rId23" Type="http://schemas.openxmlformats.org/officeDocument/2006/relationships/image" Target="https://api.qrserver.com/v1/create-qr-code/?size=100x100&amp;data=JUGUE-225411" TargetMode="External"/><Relationship Id="rId119" Type="http://schemas.openxmlformats.org/officeDocument/2006/relationships/image" Target="https://api.qrserver.com/v1/create-qr-code/?size=100x100&amp;data=JUGUE-8822244" TargetMode="External"/><Relationship Id="rId270" Type="http://schemas.openxmlformats.org/officeDocument/2006/relationships/image" Target="https://api.qrserver.com/v1/create-qr-code/?size=100x100&amp;data=6971879380453" TargetMode="External"/><Relationship Id="rId326" Type="http://schemas.openxmlformats.org/officeDocument/2006/relationships/image" Target="https://api.qrserver.com/v1/create-qr-code/?size=100x100&amp;data=6956578562348" TargetMode="External"/><Relationship Id="rId65" Type="http://schemas.openxmlformats.org/officeDocument/2006/relationships/image" Target="https://api.qrserver.com/v1/create-qr-code/?size=100x100&amp;data=6922008958111" TargetMode="External"/><Relationship Id="rId130" Type="http://schemas.openxmlformats.org/officeDocument/2006/relationships/image" Target="https://api.qrserver.com/v1/create-qr-code/?size=100x100&amp;data=LAMP-002" TargetMode="External"/><Relationship Id="rId172" Type="http://schemas.openxmlformats.org/officeDocument/2006/relationships/image" Target="https://api.qrserver.com/v1/create-qr-code/?size=100x100&amp;data=6972423478022" TargetMode="External"/><Relationship Id="rId228" Type="http://schemas.openxmlformats.org/officeDocument/2006/relationships/image" Target="https://api.qrserver.com/v1/create-qr-code/?size=100x100&amp;data=TEC-007" TargetMode="External"/><Relationship Id="rId281" Type="http://schemas.openxmlformats.org/officeDocument/2006/relationships/image" Target="https://api.qrserver.com/v1/create-qr-code/?size=100x100&amp;data=VARI-88471" TargetMode="External"/><Relationship Id="rId337" Type="http://schemas.openxmlformats.org/officeDocument/2006/relationships/image" Target="https://api.qrserver.com/v1/create-qr-code/?size=100x100&amp;data=6988562966160" TargetMode="External"/><Relationship Id="rId34" Type="http://schemas.openxmlformats.org/officeDocument/2006/relationships/image" Target="https://api.qrserver.com/v1/create-qr-code/?size=100x100&amp;data=BOLS-010" TargetMode="External"/><Relationship Id="rId76" Type="http://schemas.openxmlformats.org/officeDocument/2006/relationships/image" Target="https://api.qrserver.com/v1/create-qr-code/?size=100x100&amp;data=6959920208012" TargetMode="External"/><Relationship Id="rId141" Type="http://schemas.openxmlformats.org/officeDocument/2006/relationships/image" Target="https://api.qrserver.com/v1/create-qr-code/?size=100x100&amp;data=82645847" TargetMode="External"/><Relationship Id="rId7" Type="http://schemas.openxmlformats.org/officeDocument/2006/relationships/image" Target="https://api.qrserver.com/v1/create-qr-code/?size=100x100&amp;data=6923450670910" TargetMode="External"/><Relationship Id="rId183" Type="http://schemas.openxmlformats.org/officeDocument/2006/relationships/image" Target="https://api.qrserver.com/v1/create-qr-code/?size=100x100&amp;data=VARI-00055889" TargetMode="External"/><Relationship Id="rId239" Type="http://schemas.openxmlformats.org/officeDocument/2006/relationships/image" Target="https://api.qrserver.com/v1/create-qr-code/?size=100x100&amp;data=VARI-002161" TargetMode="External"/><Relationship Id="rId250" Type="http://schemas.openxmlformats.org/officeDocument/2006/relationships/image" Target="https://api.qrserver.com/v1/create-qr-code/?size=100x100&amp;data=6957157003092" TargetMode="External"/><Relationship Id="rId292" Type="http://schemas.openxmlformats.org/officeDocument/2006/relationships/image" Target="https://api.qrserver.com/v1/create-qr-code/?size=100x100&amp;data=LAMP-8877" TargetMode="External"/><Relationship Id="rId306" Type="http://schemas.openxmlformats.org/officeDocument/2006/relationships/image" Target="https://api.qrserver.com/v1/create-qr-code/?size=100x100&amp;data=LOLO-8822528" TargetMode="External"/><Relationship Id="rId45" Type="http://schemas.openxmlformats.org/officeDocument/2006/relationships/image" Target="https://api.qrserver.com/v1/create-qr-code/?size=100x100&amp;data=VARI-0114488" TargetMode="External"/><Relationship Id="rId87" Type="http://schemas.openxmlformats.org/officeDocument/2006/relationships/image" Target="https://api.qrserver.com/v1/create-qr-code/?size=100x100&amp;data=6920190325124" TargetMode="External"/><Relationship Id="rId110" Type="http://schemas.openxmlformats.org/officeDocument/2006/relationships/image" Target="https://api.qrserver.com/v1/create-qr-code/?size=100x100&amp;data=ESCP-55487" TargetMode="External"/><Relationship Id="rId152" Type="http://schemas.openxmlformats.org/officeDocument/2006/relationships/image" Target="https://api.qrserver.com/v1/create-qr-code/?size=100x100&amp;data=ESCP-5500770" TargetMode="External"/><Relationship Id="rId173" Type="http://schemas.openxmlformats.org/officeDocument/2006/relationships/image" Target="https://api.qrserver.com/v1/create-qr-code/?size=100x100&amp;data=TEC%27011" TargetMode="External"/><Relationship Id="rId194" Type="http://schemas.openxmlformats.org/officeDocument/2006/relationships/image" Target="https://api.qrserver.com/v1/create-qr-code/?size=100x100&amp;data=%5Dc18456123456221" TargetMode="External"/><Relationship Id="rId208" Type="http://schemas.openxmlformats.org/officeDocument/2006/relationships/image" Target="https://api.qrserver.com/v1/create-qr-code/?size=100x100&amp;data=9941484881215" TargetMode="External"/><Relationship Id="rId229" Type="http://schemas.openxmlformats.org/officeDocument/2006/relationships/image" Target="https://api.qrserver.com/v1/create-qr-code/?size=100x100&amp;data=6971907230422" TargetMode="External"/><Relationship Id="rId240" Type="http://schemas.openxmlformats.org/officeDocument/2006/relationships/image" Target="https://api.qrserver.com/v1/create-qr-code/?size=100x100&amp;data=6974466947251" TargetMode="External"/><Relationship Id="rId261" Type="http://schemas.openxmlformats.org/officeDocument/2006/relationships/image" Target="https://api.qrserver.com/v1/create-qr-code/?size=100x100&amp;data=VARI-0775" TargetMode="External"/><Relationship Id="rId14" Type="http://schemas.openxmlformats.org/officeDocument/2006/relationships/image" Target="https://api.qrserver.com/v1/create-qr-code/?size=100x100&amp;data=VARI-011" TargetMode="External"/><Relationship Id="rId35" Type="http://schemas.openxmlformats.org/officeDocument/2006/relationships/image" Target="https://api.qrserver.com/v1/create-qr-code/?size=100x100&amp;data=6936699762025" TargetMode="External"/><Relationship Id="rId56" Type="http://schemas.openxmlformats.org/officeDocument/2006/relationships/image" Target="https://api.qrserver.com/v1/create-qr-code/?size=100x100&amp;data=VARI-554777" TargetMode="External"/><Relationship Id="rId77" Type="http://schemas.openxmlformats.org/officeDocument/2006/relationships/image" Target="https://api.qrserver.com/v1/create-qr-code/?size=100x100&amp;data=6938625876912" TargetMode="External"/><Relationship Id="rId100" Type="http://schemas.openxmlformats.org/officeDocument/2006/relationships/image" Target="https://api.qrserver.com/v1/create-qr-code/?size=100x100&amp;data=JUEUE-00124" TargetMode="External"/><Relationship Id="rId282" Type="http://schemas.openxmlformats.org/officeDocument/2006/relationships/image" Target="https://api.qrserver.com/v1/create-qr-code/?size=100x100&amp;data=VARI-12255" TargetMode="External"/><Relationship Id="rId317" Type="http://schemas.openxmlformats.org/officeDocument/2006/relationships/image" Target="https://api.qrserver.com/v1/create-qr-code/?size=100x100&amp;data=POSI-002" TargetMode="External"/><Relationship Id="rId338" Type="http://schemas.openxmlformats.org/officeDocument/2006/relationships/image" Target="https://api.qrserver.com/v1/create-qr-code/?size=100x100&amp;data=6962365301007" TargetMode="External"/><Relationship Id="rId8" Type="http://schemas.openxmlformats.org/officeDocument/2006/relationships/image" Target="https://api.qrserver.com/v1/create-qr-code/?size=100x100&amp;data=6972356808194" TargetMode="External"/><Relationship Id="rId98" Type="http://schemas.openxmlformats.org/officeDocument/2006/relationships/image" Target="https://api.qrserver.com/v1/create-qr-code/?size=100x100&amp;data=7897256261988" TargetMode="External"/><Relationship Id="rId121" Type="http://schemas.openxmlformats.org/officeDocument/2006/relationships/image" Target="https://api.qrserver.com/v1/create-qr-code/?size=100x100&amp;data=6958763600132" TargetMode="External"/><Relationship Id="rId142" Type="http://schemas.openxmlformats.org/officeDocument/2006/relationships/image" Target="https://api.qrserver.com/v1/create-qr-code/?size=100x100&amp;data=LLAV-004" TargetMode="External"/><Relationship Id="rId163" Type="http://schemas.openxmlformats.org/officeDocument/2006/relationships/image" Target="https://api.qrserver.com/v1/create-qr-code/?size=100x100&amp;data=MOCH-001113354558" TargetMode="External"/><Relationship Id="rId184" Type="http://schemas.openxmlformats.org/officeDocument/2006/relationships/image" Target="https://api.qrserver.com/v1/create-qr-code/?size=100x100&amp;data=JUGUE-00125" TargetMode="External"/><Relationship Id="rId219" Type="http://schemas.openxmlformats.org/officeDocument/2006/relationships/image" Target="https://api.qrserver.com/v1/create-qr-code/?size=100x100&amp;data=6965482362203" TargetMode="External"/><Relationship Id="rId230" Type="http://schemas.openxmlformats.org/officeDocument/2006/relationships/image" Target="https://api.qrserver.com/v1/create-qr-code/?size=100x100&amp;data=JUGUE-001155" TargetMode="External"/><Relationship Id="rId251" Type="http://schemas.openxmlformats.org/officeDocument/2006/relationships/image" Target="https://api.qrserver.com/v1/create-qr-code/?size=100x100&amp;data=TAPE%27001" TargetMode="External"/><Relationship Id="rId25" Type="http://schemas.openxmlformats.org/officeDocument/2006/relationships/image" Target="https://api.qrserver.com/v1/create-qr-code/?size=100x100&amp;data=6932924600643" TargetMode="External"/><Relationship Id="rId46" Type="http://schemas.openxmlformats.org/officeDocument/2006/relationships/image" Target="https://api.qrserver.com/v1/create-qr-code/?size=100x100&amp;data=JUGUE-554787" TargetMode="External"/><Relationship Id="rId67" Type="http://schemas.openxmlformats.org/officeDocument/2006/relationships/image" Target="https://api.qrserver.com/v1/create-qr-code/?size=100x100&amp;data=6973181148196" TargetMode="External"/><Relationship Id="rId272" Type="http://schemas.openxmlformats.org/officeDocument/2006/relationships/image" Target="https://api.qrserver.com/v1/create-qr-code/?size=100x100&amp;data=6938469311259" TargetMode="External"/><Relationship Id="rId293" Type="http://schemas.openxmlformats.org/officeDocument/2006/relationships/image" Target="https://api.qrserver.com/v1/create-qr-code/?size=100x100&amp;data=VARI-88966" TargetMode="External"/><Relationship Id="rId307" Type="http://schemas.openxmlformats.org/officeDocument/2006/relationships/image" Target="https://api.qrserver.com/v1/create-qr-code/?size=100x100&amp;data=6982023157012" TargetMode="External"/><Relationship Id="rId328" Type="http://schemas.openxmlformats.org/officeDocument/2006/relationships/image" Target="https://api.qrserver.com/v1/create-qr-code/?size=100x100&amp;data=2024032910203" TargetMode="External"/><Relationship Id="rId88" Type="http://schemas.openxmlformats.org/officeDocument/2006/relationships/image" Target="https://api.qrserver.com/v1/create-qr-code/?size=100x100&amp;data=6920190325131" TargetMode="External"/><Relationship Id="rId111" Type="http://schemas.openxmlformats.org/officeDocument/2006/relationships/image" Target="https://api.qrserver.com/v1/create-qr-code/?size=100x100&amp;data=VARI-0044877" TargetMode="External"/><Relationship Id="rId132" Type="http://schemas.openxmlformats.org/officeDocument/2006/relationships/image" Target="https://api.qrserver.com/v1/create-qr-code/?size=100x100&amp;data=6971010800499" TargetMode="External"/><Relationship Id="rId153" Type="http://schemas.openxmlformats.org/officeDocument/2006/relationships/image" Target="https://api.qrserver.com/v1/create-qr-code/?size=100x100&amp;data=6948509523139" TargetMode="External"/><Relationship Id="rId174" Type="http://schemas.openxmlformats.org/officeDocument/2006/relationships/image" Target="https://api.qrserver.com/v1/create-qr-code/?size=100x100&amp;data=4512155179518" TargetMode="External"/><Relationship Id="rId195" Type="http://schemas.openxmlformats.org/officeDocument/2006/relationships/image" Target="https://api.qrserver.com/v1/create-qr-code/?size=100x100&amp;data=6970314793025" TargetMode="External"/><Relationship Id="rId209" Type="http://schemas.openxmlformats.org/officeDocument/2006/relationships/image" Target="https://api.qrserver.com/v1/create-qr-code/?size=100x100&amp;data=6941104881239" TargetMode="External"/><Relationship Id="rId220" Type="http://schemas.openxmlformats.org/officeDocument/2006/relationships/image" Target="https://api.qrserver.com/v1/create-qr-code/?size=100x100&amp;data=6971548835116" TargetMode="External"/><Relationship Id="rId241" Type="http://schemas.openxmlformats.org/officeDocument/2006/relationships/image" Target="https://api.qrserver.com/v1/create-qr-code/?size=100x100&amp;data=6978156215019" TargetMode="External"/><Relationship Id="rId15" Type="http://schemas.openxmlformats.org/officeDocument/2006/relationships/image" Target="https://api.qrserver.com/v1/create-qr-code/?size=100x100&amp;data=VARI-011-1" TargetMode="External"/><Relationship Id="rId36" Type="http://schemas.openxmlformats.org/officeDocument/2006/relationships/image" Target="https://api.qrserver.com/v1/create-qr-code/?size=100x100&amp;data=6959023913566" TargetMode="External"/><Relationship Id="rId57" Type="http://schemas.openxmlformats.org/officeDocument/2006/relationships/image" Target="https://api.qrserver.com/v1/create-qr-code/?size=100x100&amp;data=VARI-00055448898" TargetMode="External"/><Relationship Id="rId262" Type="http://schemas.openxmlformats.org/officeDocument/2006/relationships/image" Target="https://api.qrserver.com/v1/create-qr-code/?size=100x100&amp;data=VARI-0332" TargetMode="External"/><Relationship Id="rId283" Type="http://schemas.openxmlformats.org/officeDocument/2006/relationships/image" Target="https://api.qrserver.com/v1/create-qr-code/?size=100x100&amp;data=H24%27156%20BOLS" TargetMode="External"/><Relationship Id="rId318" Type="http://schemas.openxmlformats.org/officeDocument/2006/relationships/image" Target="https://api.qrserver.com/v1/create-qr-code/?size=100x100&amp;data=VARI-002233" TargetMode="External"/><Relationship Id="rId78" Type="http://schemas.openxmlformats.org/officeDocument/2006/relationships/image" Target="https://api.qrserver.com/v1/create-qr-code/?size=100x100&amp;data=6922931393621" TargetMode="External"/><Relationship Id="rId99" Type="http://schemas.openxmlformats.org/officeDocument/2006/relationships/image" Target="https://api.qrserver.com/v1/create-qr-code/?size=100x100&amp;data=6972517030099" TargetMode="External"/><Relationship Id="rId101" Type="http://schemas.openxmlformats.org/officeDocument/2006/relationships/image" Target="https://api.qrserver.com/v1/create-qr-code/?size=100x100&amp;data=1212435573212" TargetMode="External"/><Relationship Id="rId122" Type="http://schemas.openxmlformats.org/officeDocument/2006/relationships/image" Target="https://api.qrserver.com/v1/create-qr-code/?size=100x100&amp;data=MED-001" TargetMode="External"/><Relationship Id="rId143" Type="http://schemas.openxmlformats.org/officeDocument/2006/relationships/image" Target="https://api.qrserver.com/v1/create-qr-code/?size=100x100&amp;data=LLAV-005" TargetMode="External"/><Relationship Id="rId164" Type="http://schemas.openxmlformats.org/officeDocument/2006/relationships/image" Target="https://api.qrserver.com/v1/create-qr-code/?size=100x100&amp;data=VARI-005" TargetMode="External"/><Relationship Id="rId185" Type="http://schemas.openxmlformats.org/officeDocument/2006/relationships/image" Target="https://api.qrserver.com/v1/create-qr-code/?size=100x100&amp;data=6920556405002" TargetMode="External"/><Relationship Id="rId9" Type="http://schemas.openxmlformats.org/officeDocument/2006/relationships/image" Target="https://api.qrserver.com/v1/create-qr-code/?size=100x100&amp;data=6902226121955" TargetMode="External"/><Relationship Id="rId210" Type="http://schemas.openxmlformats.org/officeDocument/2006/relationships/image" Target="https://api.qrserver.com/v1/create-qr-code/?size=100x100&amp;data=6690002500642" TargetMode="External"/><Relationship Id="rId26" Type="http://schemas.openxmlformats.org/officeDocument/2006/relationships/image" Target="https://api.qrserver.com/v1/create-qr-code/?size=100x100&amp;data=BOLS-00114455" TargetMode="External"/><Relationship Id="rId231" Type="http://schemas.openxmlformats.org/officeDocument/2006/relationships/image" Target="https://api.qrserver.com/v1/create-qr-code/?size=100x100&amp;data=6836671000094" TargetMode="External"/><Relationship Id="rId252" Type="http://schemas.openxmlformats.org/officeDocument/2006/relationships/image" Target="https://api.qrserver.com/v1/create-qr-code/?size=100x100&amp;data=6913587944718" TargetMode="External"/><Relationship Id="rId273" Type="http://schemas.openxmlformats.org/officeDocument/2006/relationships/image" Target="https://api.qrserver.com/v1/create-qr-code/?size=100x100&amp;data=6991200001383" TargetMode="External"/><Relationship Id="rId294" Type="http://schemas.openxmlformats.org/officeDocument/2006/relationships/image" Target="https://api.qrserver.com/v1/create-qr-code/?size=100x100&amp;data=2024070398421" TargetMode="External"/><Relationship Id="rId308" Type="http://schemas.openxmlformats.org/officeDocument/2006/relationships/image" Target="https://api.qrserver.com/v1/create-qr-code/?size=100x100&amp;data=6936316133689" TargetMode="External"/><Relationship Id="rId329" Type="http://schemas.openxmlformats.org/officeDocument/2006/relationships/image" Target="https://api.qrserver.com/v1/create-qr-code/?size=100x100&amp;data=8657954690096" TargetMode="External"/><Relationship Id="rId47" Type="http://schemas.openxmlformats.org/officeDocument/2006/relationships/image" Target="https://api.qrserver.com/v1/create-qr-code/?size=100x100&amp;data=VARI-0005889663" TargetMode="External"/><Relationship Id="rId68" Type="http://schemas.openxmlformats.org/officeDocument/2006/relationships/image" Target="https://api.qrserver.com/v1/create-qr-code/?size=100x100&amp;data=CAR%27004" TargetMode="External"/><Relationship Id="rId89" Type="http://schemas.openxmlformats.org/officeDocument/2006/relationships/image" Target="https://api.qrserver.com/v1/create-qr-code/?size=100x100&amp;data=7709532142396" TargetMode="External"/><Relationship Id="rId112" Type="http://schemas.openxmlformats.org/officeDocument/2006/relationships/image" Target="https://api.qrserver.com/v1/create-qr-code/?size=100x100&amp;data=VARI-005878" TargetMode="External"/><Relationship Id="rId133" Type="http://schemas.openxmlformats.org/officeDocument/2006/relationships/image" Target="https://api.qrserver.com/v1/create-qr-code/?size=100x100&amp;data=6970323226378" TargetMode="External"/><Relationship Id="rId154" Type="http://schemas.openxmlformats.org/officeDocument/2006/relationships/image" Target="https://api.qrserver.com/v1/create-qr-code/?size=100x100&amp;data=VARI-02247" TargetMode="External"/><Relationship Id="rId175" Type="http://schemas.openxmlformats.org/officeDocument/2006/relationships/image" Target="https://api.qrserver.com/v1/create-qr-code/?size=100x100&amp;data=6975320531937" TargetMode="External"/><Relationship Id="rId196" Type="http://schemas.openxmlformats.org/officeDocument/2006/relationships/image" Target="https://api.qrserver.com/v1/create-qr-code/?size=100x100&amp;data=TEC%27008" TargetMode="External"/><Relationship Id="rId200" Type="http://schemas.openxmlformats.org/officeDocument/2006/relationships/image" Target="https://api.qrserver.com/v1/create-qr-code/?size=100x100&amp;data=PROTC%27002" TargetMode="External"/><Relationship Id="rId16" Type="http://schemas.openxmlformats.org/officeDocument/2006/relationships/image" Target="https://api.qrserver.com/v1/create-qr-code/?size=100x100&amp;data=VARI-004" TargetMode="External"/><Relationship Id="rId221" Type="http://schemas.openxmlformats.org/officeDocument/2006/relationships/image" Target="https://api.qrserver.com/v1/create-qr-code/?size=100x100&amp;data=6974858728079" TargetMode="External"/><Relationship Id="rId242" Type="http://schemas.openxmlformats.org/officeDocument/2006/relationships/image" Target="https://api.qrserver.com/v1/create-qr-code/?size=100x100&amp;data=6970574463249" TargetMode="External"/><Relationship Id="rId263" Type="http://schemas.openxmlformats.org/officeDocument/2006/relationships/image" Target="https://api.qrserver.com/v1/create-qr-code/?size=100x100&amp;data=VARI-4476" TargetMode="External"/><Relationship Id="rId284" Type="http://schemas.openxmlformats.org/officeDocument/2006/relationships/image" Target="https://api.qrserver.com/v1/create-qr-code/?size=100x100&amp;data=VARI-55005" TargetMode="External"/><Relationship Id="rId319" Type="http://schemas.openxmlformats.org/officeDocument/2006/relationships/image" Target="https://api.qrserver.com/v1/create-qr-code/?size=100x100&amp;data=VARI-002244" TargetMode="External"/><Relationship Id="rId37" Type="http://schemas.openxmlformats.org/officeDocument/2006/relationships/image" Target="https://api.qrserver.com/v1/create-qr-code/?size=100x100&amp;data=10122174" TargetMode="External"/><Relationship Id="rId58" Type="http://schemas.openxmlformats.org/officeDocument/2006/relationships/image" Target="https://api.qrserver.com/v1/create-qr-code/?size=100x100&amp;data=VARI-00065569222" TargetMode="External"/><Relationship Id="rId79" Type="http://schemas.openxmlformats.org/officeDocument/2006/relationships/image" Target="https://api.qrserver.com/v1/create-qr-code/?size=100x100&amp;data=6941683602010" TargetMode="External"/><Relationship Id="rId102" Type="http://schemas.openxmlformats.org/officeDocument/2006/relationships/image" Target="https://api.qrserver.com/v1/create-qr-code/?size=100x100&amp;data=6924670393177" TargetMode="External"/><Relationship Id="rId123" Type="http://schemas.openxmlformats.org/officeDocument/2006/relationships/image" Target="https://api.qrserver.com/v1/create-qr-code/?size=100x100&amp;data=LAMP-001" TargetMode="External"/><Relationship Id="rId144" Type="http://schemas.openxmlformats.org/officeDocument/2006/relationships/image" Target="https://api.qrserver.com/v1/create-qr-code/?size=100x100&amp;data=LONC-005" TargetMode="External"/><Relationship Id="rId330" Type="http://schemas.openxmlformats.org/officeDocument/2006/relationships/image" Target="https://api.qrserver.com/v1/create-qr-code/?size=100x100&amp;data=8220130002541" TargetMode="External"/><Relationship Id="rId90" Type="http://schemas.openxmlformats.org/officeDocument/2006/relationships/image" Target="https://api.qrserver.com/v1/create-qr-code/?size=100x100&amp;data=DIA-001" TargetMode="External"/><Relationship Id="rId165" Type="http://schemas.openxmlformats.org/officeDocument/2006/relationships/image" Target="https://api.qrserver.com/v1/create-qr-code/?size=100x100&amp;data=VARI-88547" TargetMode="External"/><Relationship Id="rId186" Type="http://schemas.openxmlformats.org/officeDocument/2006/relationships/image" Target="https://api.qrserver.com/v1/create-qr-code/?size=100x100&amp;data=ESCP-01488" TargetMode="External"/><Relationship Id="rId211" Type="http://schemas.openxmlformats.org/officeDocument/2006/relationships/image" Target="https://api.qrserver.com/v1/create-qr-code/?size=100x100&amp;data=VARI-006" TargetMode="External"/><Relationship Id="rId232" Type="http://schemas.openxmlformats.org/officeDocument/2006/relationships/image" Target="https://api.qrserver.com/v1/create-qr-code/?size=100x100&amp;data=6972613449801" TargetMode="External"/><Relationship Id="rId253" Type="http://schemas.openxmlformats.org/officeDocument/2006/relationships/image" Target="https://api.qrserver.com/v1/create-qr-code/?size=100x100&amp;data=TERM-20055" TargetMode="External"/><Relationship Id="rId274" Type="http://schemas.openxmlformats.org/officeDocument/2006/relationships/image" Target="https://api.qrserver.com/v1/create-qr-code/?size=100x100&amp;data=JUGUE-4400" TargetMode="External"/><Relationship Id="rId295" Type="http://schemas.openxmlformats.org/officeDocument/2006/relationships/image" Target="https://api.qrserver.com/v1/create-qr-code/?size=100x100&amp;data=6392450996229" TargetMode="External"/><Relationship Id="rId309" Type="http://schemas.openxmlformats.org/officeDocument/2006/relationships/image" Target="https://api.qrserver.com/v1/create-qr-code/?size=100x100&amp;data=6958585972011" TargetMode="External"/><Relationship Id="rId27" Type="http://schemas.openxmlformats.org/officeDocument/2006/relationships/image" Target="https://api.qrserver.com/v1/create-qr-code/?size=100x100&amp;data=BOLS%27005" TargetMode="External"/><Relationship Id="rId48" Type="http://schemas.openxmlformats.org/officeDocument/2006/relationships/image" Target="https://api.qrserver.com/v1/create-qr-code/?size=100x100&amp;data=CAJA-455525" TargetMode="External"/><Relationship Id="rId69" Type="http://schemas.openxmlformats.org/officeDocument/2006/relationships/image" Target="https://api.qrserver.com/v1/create-qr-code/?size=100x100&amp;data=6936380625806" TargetMode="External"/><Relationship Id="rId113" Type="http://schemas.openxmlformats.org/officeDocument/2006/relationships/image" Target="https://api.qrserver.com/v1/create-qr-code/?size=100x100&amp;data=6971782060152" TargetMode="External"/><Relationship Id="rId134" Type="http://schemas.openxmlformats.org/officeDocument/2006/relationships/image" Target="https://api.qrserver.com/v1/create-qr-code/?size=100x100&amp;data=6953961547791" TargetMode="External"/><Relationship Id="rId320" Type="http://schemas.openxmlformats.org/officeDocument/2006/relationships/image" Target="https://api.qrserver.com/v1/create-qr-code/?size=100x100&amp;data=JUGUE-00888" TargetMode="External"/><Relationship Id="rId80" Type="http://schemas.openxmlformats.org/officeDocument/2006/relationships/image" Target="https://api.qrserver.com/v1/create-qr-code/?size=100x100&amp;data=6935840929348" TargetMode="External"/><Relationship Id="rId155" Type="http://schemas.openxmlformats.org/officeDocument/2006/relationships/image" Target="https://api.qrserver.com/v1/create-qr-code/?size=100x100&amp;data=CUBI-00113300" TargetMode="External"/><Relationship Id="rId176" Type="http://schemas.openxmlformats.org/officeDocument/2006/relationships/image" Target="https://api.qrserver.com/v1/create-qr-code/?size=100x100&amp;data=6934520143678" TargetMode="External"/><Relationship Id="rId197" Type="http://schemas.openxmlformats.org/officeDocument/2006/relationships/image" Target="https://api.qrserver.com/v1/create-qr-code/?size=100x100&amp;data=ESCP%2700112233" TargetMode="External"/><Relationship Id="rId201" Type="http://schemas.openxmlformats.org/officeDocument/2006/relationships/image" Target="https://api.qrserver.com/v1/create-qr-code/?size=100x100&amp;data=6972148291203" TargetMode="External"/><Relationship Id="rId222" Type="http://schemas.openxmlformats.org/officeDocument/2006/relationships/image" Target="https://api.qrserver.com/v1/create-qr-code/?size=100x100&amp;data=6965482362395" TargetMode="External"/><Relationship Id="rId243" Type="http://schemas.openxmlformats.org/officeDocument/2006/relationships/image" Target="https://api.qrserver.com/v1/create-qr-code/?size=100x100&amp;data=6938716700546" TargetMode="External"/><Relationship Id="rId264" Type="http://schemas.openxmlformats.org/officeDocument/2006/relationships/image" Target="https://api.qrserver.com/v1/create-qr-code/?size=100x100&amp;data=VARI-0311223" TargetMode="External"/><Relationship Id="rId285" Type="http://schemas.openxmlformats.org/officeDocument/2006/relationships/image" Target="https://api.qrserver.com/v1/create-qr-code/?size=100x100&amp;data=VARI-0001" TargetMode="External"/><Relationship Id="rId17" Type="http://schemas.openxmlformats.org/officeDocument/2006/relationships/image" Target="https://api.qrserver.com/v1/create-qr-code/?size=100x100&amp;data=6972815284590" TargetMode="External"/><Relationship Id="rId38" Type="http://schemas.openxmlformats.org/officeDocument/2006/relationships/image" Target="https://api.qrserver.com/v1/create-qr-code/?size=100x100&amp;data=6971123984215" TargetMode="External"/><Relationship Id="rId59" Type="http://schemas.openxmlformats.org/officeDocument/2006/relationships/image" Target="https://api.qrserver.com/v1/create-qr-code/?size=100x100&amp;data=8802017201379" TargetMode="External"/><Relationship Id="rId103" Type="http://schemas.openxmlformats.org/officeDocument/2006/relationships/image" Target="https://api.qrserver.com/v1/create-qr-code/?size=100x100&amp;data=%5Dc18542541236576" TargetMode="External"/><Relationship Id="rId124" Type="http://schemas.openxmlformats.org/officeDocument/2006/relationships/image" Target="https://api.qrserver.com/v1/create-qr-code/?size=100x100&amp;data=VARI-001122" TargetMode="External"/><Relationship Id="rId310" Type="http://schemas.openxmlformats.org/officeDocument/2006/relationships/image" Target="https://api.qrserver.com/v1/create-qr-code/?size=100x100&amp;data=6920158590083" TargetMode="External"/><Relationship Id="rId70" Type="http://schemas.openxmlformats.org/officeDocument/2006/relationships/image" Target="https://api.qrserver.com/v1/create-qr-code/?size=100x100&amp;data=CEPP-00111222" TargetMode="External"/><Relationship Id="rId91" Type="http://schemas.openxmlformats.org/officeDocument/2006/relationships/image" Target="https://api.qrserver.com/v1/create-qr-code/?size=100x100&amp;data=VARI-00055520" TargetMode="External"/><Relationship Id="rId145" Type="http://schemas.openxmlformats.org/officeDocument/2006/relationships/image" Target="https://api.qrserver.com/v1/create-qr-code/?size=100x100&amp;data=6970076223600" TargetMode="External"/><Relationship Id="rId166" Type="http://schemas.openxmlformats.org/officeDocument/2006/relationships/image" Target="https://api.qrserver.com/v1/create-qr-code/?size=100x100&amp;data=VARI-0021444" TargetMode="External"/><Relationship Id="rId187" Type="http://schemas.openxmlformats.org/officeDocument/2006/relationships/image" Target="https://api.qrserver.com/v1/create-qr-code/?size=100x100&amp;data=POPS-001" TargetMode="External"/><Relationship Id="rId331" Type="http://schemas.openxmlformats.org/officeDocument/2006/relationships/image" Target="https://api.qrserver.com/v1/create-qr-code/?size=100x100&amp;data=6978054580097" TargetMode="External"/><Relationship Id="rId1" Type="http://schemas.openxmlformats.org/officeDocument/2006/relationships/image" Target="https://api.qrserver.com/v1/create-qr-code/?size=100x100&amp;data=1232022120117" TargetMode="External"/><Relationship Id="rId212" Type="http://schemas.openxmlformats.org/officeDocument/2006/relationships/image" Target="https://api.qrserver.com/v1/create-qr-code/?size=100x100&amp;data=6973578385104" TargetMode="External"/><Relationship Id="rId233" Type="http://schemas.openxmlformats.org/officeDocument/2006/relationships/image" Target="https://api.qrserver.com/v1/create-qr-code/?size=100x100&amp;data=6938542010239" TargetMode="External"/><Relationship Id="rId254" Type="http://schemas.openxmlformats.org/officeDocument/2006/relationships/image" Target="https://api.qrserver.com/v1/create-qr-code/?size=100x100&amp;data=6920230020019" TargetMode="External"/><Relationship Id="rId28" Type="http://schemas.openxmlformats.org/officeDocument/2006/relationships/image" Target="https://api.qrserver.com/v1/create-qr-code/?size=100x100&amp;data=BOLS-007" TargetMode="External"/><Relationship Id="rId49" Type="http://schemas.openxmlformats.org/officeDocument/2006/relationships/image" Target="https://api.qrserver.com/v1/create-qr-code/?size=100x100&amp;data=VARI-554788" TargetMode="External"/><Relationship Id="rId114" Type="http://schemas.openxmlformats.org/officeDocument/2006/relationships/image" Target="https://api.qrserver.com/v1/create-qr-code/?size=100x100&amp;data=6921353006812" TargetMode="External"/><Relationship Id="rId275" Type="http://schemas.openxmlformats.org/officeDocument/2006/relationships/image" Target="https://api.qrserver.com/v1/create-qr-code/?size=100x100&amp;data=4803413660474" TargetMode="External"/><Relationship Id="rId296" Type="http://schemas.openxmlformats.org/officeDocument/2006/relationships/image" Target="https://api.qrserver.com/v1/create-qr-code/?size=100x100&amp;data=HP-444AF" TargetMode="External"/><Relationship Id="rId300" Type="http://schemas.openxmlformats.org/officeDocument/2006/relationships/image" Target="https://api.qrserver.com/v1/create-qr-code/?size=100x100&amp;data=6924851352344" TargetMode="External"/><Relationship Id="rId60" Type="http://schemas.openxmlformats.org/officeDocument/2006/relationships/image" Target="https://api.qrserver.com/v1/create-qr-code/?size=100x100&amp;data=CARTU-5587447" TargetMode="External"/><Relationship Id="rId81" Type="http://schemas.openxmlformats.org/officeDocument/2006/relationships/image" Target="https://api.qrserver.com/v1/create-qr-code/?size=100x100&amp;data=6935769134571" TargetMode="External"/><Relationship Id="rId135" Type="http://schemas.openxmlformats.org/officeDocument/2006/relationships/image" Target="https://api.qrserver.com/v1/create-qr-code/?size=100x100&amp;data=JUGUE-55411" TargetMode="External"/><Relationship Id="rId156" Type="http://schemas.openxmlformats.org/officeDocument/2006/relationships/image" Target="https://api.qrserver.com/v1/create-qr-code/?size=100x100&amp;data=REP-551000" TargetMode="External"/><Relationship Id="rId177" Type="http://schemas.openxmlformats.org/officeDocument/2006/relationships/image" Target="https://api.qrserver.com/v1/create-qr-code/?size=100x100&amp;data=6934520143067" TargetMode="External"/><Relationship Id="rId198" Type="http://schemas.openxmlformats.org/officeDocument/2006/relationships/image" Target="https://api.qrserver.com/v1/create-qr-code/?size=100x100&amp;data=VARI-77558" TargetMode="External"/><Relationship Id="rId321" Type="http://schemas.openxmlformats.org/officeDocument/2006/relationships/image" Target="https://api.qrserver.com/v1/create-qr-code/?size=100x100&amp;data=VARI-85211" TargetMode="External"/><Relationship Id="rId202" Type="http://schemas.openxmlformats.org/officeDocument/2006/relationships/image" Target="https://api.qrserver.com/v1/create-qr-code/?size=100x100&amp;data=ESCP-2025" TargetMode="External"/><Relationship Id="rId223" Type="http://schemas.openxmlformats.org/officeDocument/2006/relationships/image" Target="https://api.qrserver.com/v1/create-qr-code/?size=100x100&amp;data=6972148291180" TargetMode="External"/><Relationship Id="rId244" Type="http://schemas.openxmlformats.org/officeDocument/2006/relationships/image" Target="https://api.qrserver.com/v1/create-qr-code/?size=100x100&amp;data=6971010809751" TargetMode="External"/><Relationship Id="rId18" Type="http://schemas.openxmlformats.org/officeDocument/2006/relationships/image" Target="https://api.qrserver.com/v1/create-qr-code/?size=100x100&amp;data=6972815284668" TargetMode="External"/><Relationship Id="rId39" Type="http://schemas.openxmlformats.org/officeDocument/2006/relationships/image" Target="https://api.qrserver.com/v1/create-qr-code/?size=100x100&amp;data=BORR-00112200" TargetMode="External"/><Relationship Id="rId265" Type="http://schemas.openxmlformats.org/officeDocument/2006/relationships/image" Target="https://api.qrserver.com/v1/create-qr-code/?size=100x100&amp;data=JUGE-88666" TargetMode="External"/><Relationship Id="rId286" Type="http://schemas.openxmlformats.org/officeDocument/2006/relationships/image" Target="https://api.qrserver.com/v1/create-qr-code/?size=100x100&amp;data=BOL-8800" TargetMode="External"/><Relationship Id="rId50" Type="http://schemas.openxmlformats.org/officeDocument/2006/relationships/image" Target="https://api.qrserver.com/v1/create-qr-code/?size=100x100&amp;data=6947363105000" TargetMode="External"/><Relationship Id="rId104" Type="http://schemas.openxmlformats.org/officeDocument/2006/relationships/image" Target="https://api.qrserver.com/v1/create-qr-code/?size=100x100&amp;data=JUGUE-5547874" TargetMode="External"/><Relationship Id="rId125" Type="http://schemas.openxmlformats.org/officeDocument/2006/relationships/image" Target="https://api.qrserver.com/v1/create-qr-code/?size=100x100&amp;data=LAMP-009" TargetMode="External"/><Relationship Id="rId146" Type="http://schemas.openxmlformats.org/officeDocument/2006/relationships/image" Target="https://api.qrserver.com/v1/create-qr-code/?size=100x100&amp;data=LONC-004" TargetMode="External"/><Relationship Id="rId167" Type="http://schemas.openxmlformats.org/officeDocument/2006/relationships/image" Target="https://api.qrserver.com/v1/create-qr-code/?size=100x100&amp;data=MOR-001" TargetMode="External"/><Relationship Id="rId188" Type="http://schemas.openxmlformats.org/officeDocument/2006/relationships/image" Target="https://api.qrserver.com/v1/create-qr-code/?size=100x100&amp;data=PORC%27001" TargetMode="External"/><Relationship Id="rId311" Type="http://schemas.openxmlformats.org/officeDocument/2006/relationships/image" Target="https://api.qrserver.com/v1/create-qr-code/?size=100x100&amp;data=6921456800010" TargetMode="External"/><Relationship Id="rId332" Type="http://schemas.openxmlformats.org/officeDocument/2006/relationships/image" Target="https://api.qrserver.com/v1/create-qr-code/?size=100x100&amp;data=VARI-044" TargetMode="External"/><Relationship Id="rId71" Type="http://schemas.openxmlformats.org/officeDocument/2006/relationships/image" Target="https://api.qrserver.com/v1/create-qr-code/?size=100x100&amp;data=6973003925233" TargetMode="External"/><Relationship Id="rId92" Type="http://schemas.openxmlformats.org/officeDocument/2006/relationships/image" Target="https://api.qrserver.com/v1/create-qr-code/?size=100x100&amp;data=6971010801083" TargetMode="External"/><Relationship Id="rId213" Type="http://schemas.openxmlformats.org/officeDocument/2006/relationships/image" Target="https://api.qrserver.com/v1/create-qr-code/?size=100x100&amp;data=6975160081579" TargetMode="External"/><Relationship Id="rId234" Type="http://schemas.openxmlformats.org/officeDocument/2006/relationships/image" Target="https://api.qrserver.com/v1/create-qr-code/?size=100x100&amp;data=JUGUE-997545" TargetMode="External"/><Relationship Id="rId2" Type="http://schemas.openxmlformats.org/officeDocument/2006/relationships/image" Target="https://api.qrserver.com/v1/create-qr-code/?size=100x100&amp;data=VARI-5544101" TargetMode="External"/><Relationship Id="rId29" Type="http://schemas.openxmlformats.org/officeDocument/2006/relationships/image" Target="https://api.qrserver.com/v1/create-qr-code/?size=100x100&amp;data=BOLS-003" TargetMode="External"/><Relationship Id="rId255" Type="http://schemas.openxmlformats.org/officeDocument/2006/relationships/image" Target="https://api.qrserver.com/v1/create-qr-code/?size=100x100&amp;data=6972547490146" TargetMode="External"/><Relationship Id="rId276" Type="http://schemas.openxmlformats.org/officeDocument/2006/relationships/image" Target="https://api.qrserver.com/v1/create-qr-code/?size=100x100&amp;data=6975320533368" TargetMode="External"/><Relationship Id="rId297" Type="http://schemas.openxmlformats.org/officeDocument/2006/relationships/image" Target="https://api.qrserver.com/v1/create-qr-code/?size=100x100&amp;data=HP-44004" TargetMode="External"/><Relationship Id="rId40" Type="http://schemas.openxmlformats.org/officeDocument/2006/relationships/image" Target="https://api.qrserver.com/v1/create-qr-code/?size=100x100&amp;data=6979261520128" TargetMode="External"/><Relationship Id="rId115" Type="http://schemas.openxmlformats.org/officeDocument/2006/relationships/image" Target="https://api.qrserver.com/v1/create-qr-code/?size=100x100&amp;data=6900010009991" TargetMode="External"/><Relationship Id="rId136" Type="http://schemas.openxmlformats.org/officeDocument/2006/relationships/image" Target="https://api.qrserver.com/v1/create-qr-code/?size=100x100&amp;data=6970556350604" TargetMode="External"/><Relationship Id="rId157" Type="http://schemas.openxmlformats.org/officeDocument/2006/relationships/image" Target="https://api.qrserver.com/v1/create-qr-code/?size=100x100&amp;data=VAR-000011" TargetMode="External"/><Relationship Id="rId178" Type="http://schemas.openxmlformats.org/officeDocument/2006/relationships/image" Target="https://api.qrserver.com/v1/create-qr-code/?size=100x100&amp;data=6934520170438" TargetMode="External"/><Relationship Id="rId301" Type="http://schemas.openxmlformats.org/officeDocument/2006/relationships/image" Target="https://api.qrserver.com/v1/create-qr-code/?size=100x100&amp;data=6931435642753" TargetMode="External"/><Relationship Id="rId322" Type="http://schemas.openxmlformats.org/officeDocument/2006/relationships/image" Target="https://api.qrserver.com/v1/create-qr-code/?size=100x100&amp;data=JUGUE-888663" TargetMode="External"/><Relationship Id="rId61" Type="http://schemas.openxmlformats.org/officeDocument/2006/relationships/image" Target="https://api.qrserver.com/v1/create-qr-code/?size=100x100&amp;data=3908541" TargetMode="External"/><Relationship Id="rId82" Type="http://schemas.openxmlformats.org/officeDocument/2006/relationships/image" Target="https://api.qrserver.com/v1/create-qr-code/?size=100x100&amp;data=6940575010315" TargetMode="External"/><Relationship Id="rId199" Type="http://schemas.openxmlformats.org/officeDocument/2006/relationships/image" Target="https://api.qrserver.com/v1/create-qr-code/?size=100x100&amp;data=8886688008800" TargetMode="External"/><Relationship Id="rId203" Type="http://schemas.openxmlformats.org/officeDocument/2006/relationships/image" Target="https://api.qrserver.com/v1/create-qr-code/?size=100x100&amp;data=6945072400102" TargetMode="External"/><Relationship Id="rId19" Type="http://schemas.openxmlformats.org/officeDocument/2006/relationships/image" Target="https://api.qrserver.com/v1/create-qr-code/?size=100x100&amp;data=ESCP%27015" TargetMode="External"/><Relationship Id="rId224" Type="http://schemas.openxmlformats.org/officeDocument/2006/relationships/image" Target="https://api.qrserver.com/v1/create-qr-code/?size=100x100&amp;data=8809335770785" TargetMode="External"/><Relationship Id="rId245" Type="http://schemas.openxmlformats.org/officeDocument/2006/relationships/image" Target="https://api.qrserver.com/v1/create-qr-code/?size=100x100&amp;data=6971010809607" TargetMode="External"/><Relationship Id="rId266" Type="http://schemas.openxmlformats.org/officeDocument/2006/relationships/image" Target="https://api.qrserver.com/v1/create-qr-code/?size=100x100&amp;data=6976264160825" TargetMode="External"/><Relationship Id="rId287" Type="http://schemas.openxmlformats.org/officeDocument/2006/relationships/image" Target="https://api.qrserver.com/v1/create-qr-code/?size=100x100&amp;data=JUGUE-0012" TargetMode="External"/><Relationship Id="rId30" Type="http://schemas.openxmlformats.org/officeDocument/2006/relationships/image" Target="https://api.qrserver.com/v1/create-qr-code/?size=100x100&amp;data=BOLS-009" TargetMode="External"/><Relationship Id="rId105" Type="http://schemas.openxmlformats.org/officeDocument/2006/relationships/image" Target="https://api.qrserver.com/v1/create-qr-code/?size=100x100&amp;data=VARI-007115524" TargetMode="External"/><Relationship Id="rId126" Type="http://schemas.openxmlformats.org/officeDocument/2006/relationships/image" Target="https://api.qrserver.com/v1/create-qr-code/?size=100x100&amp;data=VARI-447882" TargetMode="External"/><Relationship Id="rId147" Type="http://schemas.openxmlformats.org/officeDocument/2006/relationships/image" Target="https://api.qrserver.com/v1/create-qr-code/?size=100x100&amp;data=LON%27JCC02%2732" TargetMode="External"/><Relationship Id="rId168" Type="http://schemas.openxmlformats.org/officeDocument/2006/relationships/image" Target="https://api.qrserver.com/v1/create-qr-code/?size=100x100&amp;data=MOR-0020" TargetMode="External"/><Relationship Id="rId312" Type="http://schemas.openxmlformats.org/officeDocument/2006/relationships/image" Target="https://api.qrserver.com/v1/create-qr-code/?size=100x100&amp;data=5400141902389" TargetMode="External"/><Relationship Id="rId333" Type="http://schemas.openxmlformats.org/officeDocument/2006/relationships/image" Target="https://api.qrserver.com/v1/create-qr-code/?size=100x100&amp;data=ESCP-85822" TargetMode="External"/><Relationship Id="rId51" Type="http://schemas.openxmlformats.org/officeDocument/2006/relationships/image" Target="https://api.qrserver.com/v1/create-qr-code/?size=100x100&amp;data=6970675808048" TargetMode="External"/><Relationship Id="rId72" Type="http://schemas.openxmlformats.org/officeDocument/2006/relationships/image" Target="https://api.qrserver.com/v1/create-qr-code/?size=100x100&amp;data=6920221024170" TargetMode="External"/><Relationship Id="rId93" Type="http://schemas.openxmlformats.org/officeDocument/2006/relationships/image" Target="https://api.qrserver.com/v1/create-qr-code/?size=100x100&amp;data=6971010802493" TargetMode="External"/><Relationship Id="rId189" Type="http://schemas.openxmlformats.org/officeDocument/2006/relationships/image" Target="https://api.qrserver.com/v1/create-qr-code/?size=100x100&amp;data=PORC-0022002" TargetMode="External"/><Relationship Id="rId3" Type="http://schemas.openxmlformats.org/officeDocument/2006/relationships/image" Target="https://api.qrserver.com/v1/create-qr-code/?size=100x100&amp;data=6926582118589" TargetMode="External"/><Relationship Id="rId214" Type="http://schemas.openxmlformats.org/officeDocument/2006/relationships/image" Target="https://api.qrserver.com/v1/create-qr-code/?size=100x100&amp;data=ESCP-007878" TargetMode="External"/><Relationship Id="rId235" Type="http://schemas.openxmlformats.org/officeDocument/2006/relationships/image" Target="https://api.qrserver.com/v1/create-qr-code/?size=100x100&amp;data=JUGUE-112245" TargetMode="External"/><Relationship Id="rId256" Type="http://schemas.openxmlformats.org/officeDocument/2006/relationships/image" Target="https://api.qrserver.com/v1/create-qr-code/?size=100x100&amp;data=TERM-0044" TargetMode="External"/><Relationship Id="rId277" Type="http://schemas.openxmlformats.org/officeDocument/2006/relationships/image" Target="https://api.qrserver.com/v1/create-qr-code/?size=100x100&amp;data=6979685367217" TargetMode="External"/><Relationship Id="rId298" Type="http://schemas.openxmlformats.org/officeDocument/2006/relationships/image" Target="https://api.qrserver.com/v1/create-qr-code/?size=100x100&amp;data=VARI-002555" TargetMode="External"/><Relationship Id="rId116" Type="http://schemas.openxmlformats.org/officeDocument/2006/relationships/image" Target="https://api.qrserver.com/v1/create-qr-code/?size=100x100&amp;data=6599417022353" TargetMode="External"/><Relationship Id="rId137" Type="http://schemas.openxmlformats.org/officeDocument/2006/relationships/image" Target="https://api.qrserver.com/v1/create-qr-code/?size=100x100&amp;data=6973747383238" TargetMode="External"/><Relationship Id="rId158" Type="http://schemas.openxmlformats.org/officeDocument/2006/relationships/image" Target="https://api.qrserver.com/v1/create-qr-code/?size=100x100&amp;data=6992226111049" TargetMode="External"/><Relationship Id="rId302" Type="http://schemas.openxmlformats.org/officeDocument/2006/relationships/image" Target="https://api.qrserver.com/v1/create-qr-code/?size=100x100&amp;data=6942229817370" TargetMode="External"/><Relationship Id="rId323" Type="http://schemas.openxmlformats.org/officeDocument/2006/relationships/image" Target="https://api.qrserver.com/v1/create-qr-code/?size=100x100&amp;data=VARI-85522" TargetMode="External"/><Relationship Id="rId20" Type="http://schemas.openxmlformats.org/officeDocument/2006/relationships/image" Target="https://api.qrserver.com/v1/create-qr-code/?size=100x100&amp;data=JUGUE-22004" TargetMode="External"/><Relationship Id="rId41" Type="http://schemas.openxmlformats.org/officeDocument/2006/relationships/image" Target="https://api.qrserver.com/v1/create-qr-code/?size=100x100&amp;data=6971806108938" TargetMode="External"/><Relationship Id="rId62" Type="http://schemas.openxmlformats.org/officeDocument/2006/relationships/image" Target="https://api.qrserver.com/v1/create-qr-code/?size=100x100&amp;data=4931102457019" TargetMode="External"/><Relationship Id="rId83" Type="http://schemas.openxmlformats.org/officeDocument/2006/relationships/image" Target="https://api.qrserver.com/v1/create-qr-code/?size=100x100&amp;data=VARI-0025448" TargetMode="External"/><Relationship Id="rId179" Type="http://schemas.openxmlformats.org/officeDocument/2006/relationships/image" Target="https://api.qrserver.com/v1/create-qr-code/?size=100x100&amp;data=6934520146020" TargetMode="External"/><Relationship Id="rId190" Type="http://schemas.openxmlformats.org/officeDocument/2006/relationships/image" Target="https://api.qrserver.com/v1/create-qr-code/?size=100x100&amp;data=PORC-00111220" TargetMode="External"/><Relationship Id="rId204" Type="http://schemas.openxmlformats.org/officeDocument/2006/relationships/image" Target="https://api.qrserver.com/v1/create-qr-code/?size=100x100&amp;data=ESCP-052" TargetMode="External"/><Relationship Id="rId225" Type="http://schemas.openxmlformats.org/officeDocument/2006/relationships/image" Target="https://api.qrserver.com/v1/create-qr-code/?size=100x100&amp;data=6920705360909" TargetMode="External"/><Relationship Id="rId246" Type="http://schemas.openxmlformats.org/officeDocument/2006/relationships/image" Target="https://api.qrserver.com/v1/create-qr-code/?size=100x100&amp;data=6875336130363" TargetMode="External"/><Relationship Id="rId267" Type="http://schemas.openxmlformats.org/officeDocument/2006/relationships/image" Target="https://api.qrserver.com/v1/create-qr-code/?size=100x100&amp;data=6974042771065" TargetMode="External"/><Relationship Id="rId288" Type="http://schemas.openxmlformats.org/officeDocument/2006/relationships/image" Target="https://api.qrserver.com/v1/create-qr-code/?size=100x100&amp;data=ANI-00122" TargetMode="External"/><Relationship Id="rId106" Type="http://schemas.openxmlformats.org/officeDocument/2006/relationships/image" Target="https://api.qrserver.com/v1/create-qr-code/?size=100x100&amp;data=7809460042611" TargetMode="External"/><Relationship Id="rId127" Type="http://schemas.openxmlformats.org/officeDocument/2006/relationships/image" Target="https://api.qrserver.com/v1/create-qr-code/?size=100x100&amp;data=VARI-05578" TargetMode="External"/><Relationship Id="rId313" Type="http://schemas.openxmlformats.org/officeDocument/2006/relationships/image" Target="https://api.qrserver.com/v1/create-qr-code/?size=100x100&amp;data=6981688870465" TargetMode="External"/><Relationship Id="rId10" Type="http://schemas.openxmlformats.org/officeDocument/2006/relationships/image" Target="https://api.qrserver.com/v1/create-qr-code/?size=100x100&amp;data=VARI-005445656" TargetMode="External"/><Relationship Id="rId31" Type="http://schemas.openxmlformats.org/officeDocument/2006/relationships/image" Target="https://api.qrserver.com/v1/create-qr-code/?size=100x100&amp;data=6964345340143" TargetMode="External"/><Relationship Id="rId52" Type="http://schemas.openxmlformats.org/officeDocument/2006/relationships/image" Target="https://api.qrserver.com/v1/create-qr-code/?size=100x100&amp;data=8325471369855" TargetMode="External"/><Relationship Id="rId73" Type="http://schemas.openxmlformats.org/officeDocument/2006/relationships/image" Target="https://api.qrserver.com/v1/create-qr-code/?size=100x100&amp;data=CINB%27011" TargetMode="External"/><Relationship Id="rId94" Type="http://schemas.openxmlformats.org/officeDocument/2006/relationships/image" Target="https://api.qrserver.com/v1/create-qr-code/?size=100x100&amp;data=7975820811231" TargetMode="External"/><Relationship Id="rId148" Type="http://schemas.openxmlformats.org/officeDocument/2006/relationships/image" Target="https://api.qrserver.com/v1/create-qr-code/?size=100x100&amp;data=LOCH-0011887" TargetMode="External"/><Relationship Id="rId169" Type="http://schemas.openxmlformats.org/officeDocument/2006/relationships/image" Target="https://api.qrserver.com/v1/create-qr-code/?size=100x100&amp;data=6954720451793" TargetMode="External"/><Relationship Id="rId334" Type="http://schemas.openxmlformats.org/officeDocument/2006/relationships/image" Target="https://api.qrserver.com/v1/create-qr-code/?size=100x100&amp;data=6957615168288" TargetMode="External"/><Relationship Id="rId4" Type="http://schemas.openxmlformats.org/officeDocument/2006/relationships/image" Target="https://api.qrserver.com/v1/create-qr-code/?size=100x100&amp;data=ESCP-88714154" TargetMode="External"/><Relationship Id="rId180" Type="http://schemas.openxmlformats.org/officeDocument/2006/relationships/image" Target="https://api.qrserver.com/v1/create-qr-code/?size=100x100&amp;data=TEC-00111556" TargetMode="External"/><Relationship Id="rId215" Type="http://schemas.openxmlformats.org/officeDocument/2006/relationships/image" Target="https://api.qrserver.com/v1/create-qr-code/?size=100x100&amp;data=6972148290022" TargetMode="External"/><Relationship Id="rId236" Type="http://schemas.openxmlformats.org/officeDocument/2006/relationships/image" Target="https://api.qrserver.com/v1/create-qr-code/?size=100x100&amp;data=JUGUE-881447" TargetMode="External"/><Relationship Id="rId257" Type="http://schemas.openxmlformats.org/officeDocument/2006/relationships/image" Target="https://api.qrserver.com/v1/create-qr-code/?size=100x100&amp;data=6972544691058" TargetMode="External"/><Relationship Id="rId278" Type="http://schemas.openxmlformats.org/officeDocument/2006/relationships/image" Target="https://api.qrserver.com/v1/create-qr-code/?size=100x100&amp;data=ESCP-55220" TargetMode="External"/><Relationship Id="rId303" Type="http://schemas.openxmlformats.org/officeDocument/2006/relationships/image" Target="https://api.qrserver.com/v1/create-qr-code/?size=100x100&amp;data=6484512243041" TargetMode="External"/><Relationship Id="rId42" Type="http://schemas.openxmlformats.org/officeDocument/2006/relationships/image" Target="https://api.qrserver.com/v1/create-qr-code/?size=100x100&amp;data=6973511066350" TargetMode="External"/><Relationship Id="rId84" Type="http://schemas.openxmlformats.org/officeDocument/2006/relationships/image" Target="https://api.qrserver.com/v1/create-qr-code/?size=100x100&amp;data=6974687550155" TargetMode="External"/><Relationship Id="rId138" Type="http://schemas.openxmlformats.org/officeDocument/2006/relationships/image" Target="https://api.qrserver.com/v1/create-qr-code/?size=100x100&amp;data=JUGUE-013" TargetMode="External"/><Relationship Id="rId191" Type="http://schemas.openxmlformats.org/officeDocument/2006/relationships/image" Target="https://api.qrserver.com/v1/create-qr-code/?size=100x100&amp;data=VARI-00055523" TargetMode="External"/><Relationship Id="rId205" Type="http://schemas.openxmlformats.org/officeDocument/2006/relationships/image" Target="https://api.qrserver.com/v1/create-qr-code/?size=100x100&amp;data=8802017200587" TargetMode="External"/><Relationship Id="rId247" Type="http://schemas.openxmlformats.org/officeDocument/2006/relationships/image" Target="https://api.qrserver.com/v1/create-qr-code/?size=100x100&amp;data=6940079106026" TargetMode="External"/><Relationship Id="rId107" Type="http://schemas.openxmlformats.org/officeDocument/2006/relationships/image" Target="https://api.qrserver.com/v1/create-qr-code/?size=100x100&amp;data=5978253580097" TargetMode="External"/><Relationship Id="rId289" Type="http://schemas.openxmlformats.org/officeDocument/2006/relationships/image" Target="https://api.qrserver.com/v1/create-qr-code/?size=100x100&amp;data=VARI-55888" TargetMode="External"/><Relationship Id="rId11" Type="http://schemas.openxmlformats.org/officeDocument/2006/relationships/image" Target="https://api.qrserver.com/v1/create-qr-code/?size=100x100&amp;data=VARI-005445657" TargetMode="External"/><Relationship Id="rId53" Type="http://schemas.openxmlformats.org/officeDocument/2006/relationships/image" Target="https://api.qrserver.com/v1/create-qr-code/?size=100x100&amp;data=JUEGUE-84452" TargetMode="External"/><Relationship Id="rId149" Type="http://schemas.openxmlformats.org/officeDocument/2006/relationships/image" Target="https://api.qrserver.com/v1/create-qr-code/?size=100x100&amp;data=2024066042741" TargetMode="External"/><Relationship Id="rId314" Type="http://schemas.openxmlformats.org/officeDocument/2006/relationships/image" Target="https://api.qrserver.com/v1/create-qr-code/?size=100x100&amp;data=JUGUE-88111" TargetMode="External"/><Relationship Id="rId95" Type="http://schemas.openxmlformats.org/officeDocument/2006/relationships/image" Target="https://api.qrserver.com/v1/create-qr-code/?size=100x100&amp;data=6975435250068" TargetMode="External"/><Relationship Id="rId160" Type="http://schemas.openxmlformats.org/officeDocument/2006/relationships/image" Target="https://api.qrserver.com/v1/create-qr-code/?size=100x100&amp;data=6982023157050" TargetMode="External"/><Relationship Id="rId216" Type="http://schemas.openxmlformats.org/officeDocument/2006/relationships/image" Target="https://api.qrserver.com/v1/create-qr-code/?size=100x100&amp;data=6926238302843" TargetMode="External"/><Relationship Id="rId258" Type="http://schemas.openxmlformats.org/officeDocument/2006/relationships/image" Target="https://api.qrserver.com/v1/create-qr-code/?size=100x100&amp;data=VARI-00258" TargetMode="External"/><Relationship Id="rId22" Type="http://schemas.openxmlformats.org/officeDocument/2006/relationships/image" Target="https://api.qrserver.com/v1/create-qr-code/?size=100x100&amp;data=6976507720229" TargetMode="External"/><Relationship Id="rId64" Type="http://schemas.openxmlformats.org/officeDocument/2006/relationships/image" Target="https://api.qrserver.com/v1/create-qr-code/?size=100x100&amp;data=6354616561993" TargetMode="External"/><Relationship Id="rId118" Type="http://schemas.openxmlformats.org/officeDocument/2006/relationships/image" Target="https://api.qrserver.com/v1/create-qr-code/?size=100x100&amp;data=JUGUE-44778" TargetMode="External"/><Relationship Id="rId325" Type="http://schemas.openxmlformats.org/officeDocument/2006/relationships/image" Target="https://api.qrserver.com/v1/create-qr-code/?size=100x100&amp;data=6941848255204" TargetMode="External"/><Relationship Id="rId171" Type="http://schemas.openxmlformats.org/officeDocument/2006/relationships/image" Target="https://api.qrserver.com/v1/create-qr-code/?size=100x100&amp;data=6909620885865" TargetMode="External"/><Relationship Id="rId227" Type="http://schemas.openxmlformats.org/officeDocument/2006/relationships/image" Target="https://api.qrserver.com/v1/create-qr-code/?size=100x100&amp;data=6986831217203" TargetMode="External"/><Relationship Id="rId269" Type="http://schemas.openxmlformats.org/officeDocument/2006/relationships/image" Target="https://api.qrserver.com/v1/create-qr-code/?size=100x100&amp;data=6973672501189" TargetMode="External"/><Relationship Id="rId33" Type="http://schemas.openxmlformats.org/officeDocument/2006/relationships/image" Target="https://api.qrserver.com/v1/create-qr-code/?size=100x100&amp;data=BOLS-006" TargetMode="External"/><Relationship Id="rId129" Type="http://schemas.openxmlformats.org/officeDocument/2006/relationships/image" Target="https://api.qrserver.com/v1/create-qr-code/?size=100x100&amp;data=ANIME-55633584" TargetMode="External"/><Relationship Id="rId280" Type="http://schemas.openxmlformats.org/officeDocument/2006/relationships/image" Target="https://api.qrserver.com/v1/create-qr-code/?size=100x100&amp;data=ESCP-440055" TargetMode="External"/><Relationship Id="rId336" Type="http://schemas.openxmlformats.org/officeDocument/2006/relationships/image" Target="https://api.qrserver.com/v1/create-qr-code/?size=100x100&amp;data=6911223455666" TargetMode="External"/><Relationship Id="rId75" Type="http://schemas.openxmlformats.org/officeDocument/2006/relationships/image" Target="https://api.qrserver.com/v1/create-qr-code/?size=100x100&amp;data=VAR1-001100" TargetMode="External"/><Relationship Id="rId140" Type="http://schemas.openxmlformats.org/officeDocument/2006/relationships/image" Target="https://api.qrserver.com/v1/create-qr-code/?size=100x100&amp;data=6954855226570" TargetMode="External"/><Relationship Id="rId182" Type="http://schemas.openxmlformats.org/officeDocument/2006/relationships/image" Target="https://api.qrserver.com/v1/create-qr-code/?size=100x100&amp;data=VARI-0044825" TargetMode="External"/><Relationship Id="rId6" Type="http://schemas.openxmlformats.org/officeDocument/2006/relationships/image" Target="https://api.qrserver.com/v1/create-qr-code/?size=100x100&amp;data=ESCP-55784" TargetMode="External"/><Relationship Id="rId238" Type="http://schemas.openxmlformats.org/officeDocument/2006/relationships/image" Target="https://api.qrserver.com/v1/create-qr-code/?size=100x100&amp;data=VARI-002478" TargetMode="External"/><Relationship Id="rId291" Type="http://schemas.openxmlformats.org/officeDocument/2006/relationships/image" Target="https://api.qrserver.com/v1/create-qr-code/?size=100x100&amp;data=VARI-88522" TargetMode="External"/><Relationship Id="rId305" Type="http://schemas.openxmlformats.org/officeDocument/2006/relationships/image" Target="https://api.qrserver.com/v1/create-qr-code/?size=100x100&amp;data=6978745486547" TargetMode="External"/><Relationship Id="rId44" Type="http://schemas.openxmlformats.org/officeDocument/2006/relationships/image" Target="https://api.qrserver.com/v1/create-qr-code/?size=100x100&amp;data=6233216028269" TargetMode="External"/><Relationship Id="rId86" Type="http://schemas.openxmlformats.org/officeDocument/2006/relationships/image" Target="https://api.qrserver.com/v1/create-qr-code/?size=100x100&amp;data=CRAYOLA-001" TargetMode="External"/><Relationship Id="rId151" Type="http://schemas.openxmlformats.org/officeDocument/2006/relationships/image" Target="https://api.qrserver.com/v1/create-qr-code/?size=100x100&amp;data=6975260472888" TargetMode="External"/><Relationship Id="rId193" Type="http://schemas.openxmlformats.org/officeDocument/2006/relationships/image" Target="https://api.qrserver.com/v1/create-qr-code/?size=100x100&amp;data=PORT-012" TargetMode="External"/><Relationship Id="rId207" Type="http://schemas.openxmlformats.org/officeDocument/2006/relationships/image" Target="https://api.qrserver.com/v1/create-qr-code/?size=100x100&amp;data=REJ-5552201" TargetMode="External"/><Relationship Id="rId249" Type="http://schemas.openxmlformats.org/officeDocument/2006/relationships/image" Target="https://api.qrserver.com/v1/create-qr-code/?size=100x100&amp;data=6991200021428" TargetMode="External"/><Relationship Id="rId13" Type="http://schemas.openxmlformats.org/officeDocument/2006/relationships/image" Target="https://api.qrserver.com/v1/create-qr-code/?size=100x100&amp;data=6986682986747" TargetMode="External"/><Relationship Id="rId109" Type="http://schemas.openxmlformats.org/officeDocument/2006/relationships/image" Target="https://api.qrserver.com/v1/create-qr-code/?size=100x100&amp;data=6975699650178" TargetMode="External"/><Relationship Id="rId260" Type="http://schemas.openxmlformats.org/officeDocument/2006/relationships/image" Target="https://api.qrserver.com/v1/create-qr-code/?size=100x100&amp;data=6867122810962" TargetMode="External"/><Relationship Id="rId316" Type="http://schemas.openxmlformats.org/officeDocument/2006/relationships/image" Target="https://api.qrserver.com/v1/create-qr-code/?size=100x100&amp;data=PORT-002" TargetMode="External"/><Relationship Id="rId55" Type="http://schemas.openxmlformats.org/officeDocument/2006/relationships/image" Target="https://api.qrserver.com/v1/create-qr-code/?size=100x100&amp;data=JUGUE-88522" TargetMode="External"/><Relationship Id="rId97" Type="http://schemas.openxmlformats.org/officeDocument/2006/relationships/image" Target="https://api.qrserver.com/v1/create-qr-code/?size=100x100&amp;data=LAMP-006" TargetMode="External"/><Relationship Id="rId120" Type="http://schemas.openxmlformats.org/officeDocument/2006/relationships/image" Target="https://api.qrserver.com/v1/create-qr-code/?size=100x100&amp;data=6975608880603" TargetMode="External"/><Relationship Id="rId162" Type="http://schemas.openxmlformats.org/officeDocument/2006/relationships/image" Target="https://api.qrserver.com/v1/create-qr-code/?size=100x100&amp;data=6984178621691" TargetMode="External"/><Relationship Id="rId218" Type="http://schemas.openxmlformats.org/officeDocument/2006/relationships/image" Target="https://api.qrserver.com/v1/create-qr-code/?size=100x100&amp;data=6990621325184" TargetMode="External"/><Relationship Id="rId271" Type="http://schemas.openxmlformats.org/officeDocument/2006/relationships/image" Target="https://api.qrserver.com/v1/create-qr-code/?size=100x100&amp;data=6918444312310" TargetMode="External"/><Relationship Id="rId24" Type="http://schemas.openxmlformats.org/officeDocument/2006/relationships/image" Target="https://api.qrserver.com/v1/create-qr-code/?size=100x100&amp;data=BOLT-001" TargetMode="External"/><Relationship Id="rId66" Type="http://schemas.openxmlformats.org/officeDocument/2006/relationships/image" Target="https://api.qrserver.com/v1/create-qr-code/?size=100x100&amp;data=ESCP-00555188" TargetMode="External"/><Relationship Id="rId131" Type="http://schemas.openxmlformats.org/officeDocument/2006/relationships/image" Target="https://api.qrserver.com/v1/create-qr-code/?size=100x100&amp;data=ESCP-522241" TargetMode="External"/><Relationship Id="rId327" Type="http://schemas.openxmlformats.org/officeDocument/2006/relationships/image" Target="https://api.qrserver.com/v1/create-qr-code/?size=100x100&amp;data=VARI-882000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SALIDAS!A1"/><Relationship Id="rId1" Type="http://schemas.openxmlformats.org/officeDocument/2006/relationships/hyperlink" Target="#ENTRADA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ENTRADA!A1"/><Relationship Id="rId1" Type="http://schemas.openxmlformats.org/officeDocument/2006/relationships/hyperlink" Target="#INVENTAR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SALIDAS!A1"/><Relationship Id="rId1" Type="http://schemas.openxmlformats.org/officeDocument/2006/relationships/hyperlink" Target="#INVENTARIO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1457324</xdr:colOff>
      <xdr:row>1</xdr:row>
      <xdr:rowOff>419099</xdr:rowOff>
    </xdr:from>
    <xdr:to>
      <xdr:col>12</xdr:col>
      <xdr:colOff>536574</xdr:colOff>
      <xdr:row>5</xdr:row>
      <xdr:rowOff>12699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863F05-78C3-391D-75B6-D02382C6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649449" y="838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</xdr:row>
      <xdr:rowOff>419099</xdr:rowOff>
    </xdr:from>
    <xdr:to>
      <xdr:col>12</xdr:col>
      <xdr:colOff>536574</xdr:colOff>
      <xdr:row>6</xdr:row>
      <xdr:rowOff>12699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7B1C90-1CE2-C947-C16C-740BE9C6F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4649449" y="1257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</xdr:row>
      <xdr:rowOff>419099</xdr:rowOff>
    </xdr:from>
    <xdr:to>
      <xdr:col>12</xdr:col>
      <xdr:colOff>536574</xdr:colOff>
      <xdr:row>7</xdr:row>
      <xdr:rowOff>12699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72AC2D-42F9-67FC-A09D-52B32AAE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14649449" y="1676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</xdr:row>
      <xdr:rowOff>419099</xdr:rowOff>
    </xdr:from>
    <xdr:to>
      <xdr:col>12</xdr:col>
      <xdr:colOff>536574</xdr:colOff>
      <xdr:row>8</xdr:row>
      <xdr:rowOff>12699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65A32DB-C9A4-1316-B76B-90C1C364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14649449" y="2095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</xdr:row>
      <xdr:rowOff>419099</xdr:rowOff>
    </xdr:from>
    <xdr:to>
      <xdr:col>12</xdr:col>
      <xdr:colOff>536574</xdr:colOff>
      <xdr:row>9</xdr:row>
      <xdr:rowOff>12699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AB13CA4-7032-4345-9364-C2460409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14649449" y="2514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</xdr:row>
      <xdr:rowOff>419099</xdr:rowOff>
    </xdr:from>
    <xdr:to>
      <xdr:col>12</xdr:col>
      <xdr:colOff>536574</xdr:colOff>
      <xdr:row>10</xdr:row>
      <xdr:rowOff>12699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2A7107C-6FD4-663E-7AC0-4CD5F04C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"/>
        <a:stretch>
          <a:fillRect/>
        </a:stretch>
      </xdr:blipFill>
      <xdr:spPr>
        <a:xfrm>
          <a:off x="14649449" y="2933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</xdr:row>
      <xdr:rowOff>419099</xdr:rowOff>
    </xdr:from>
    <xdr:to>
      <xdr:col>12</xdr:col>
      <xdr:colOff>536574</xdr:colOff>
      <xdr:row>11</xdr:row>
      <xdr:rowOff>12699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14F32FB-17A4-7E1E-089B-39EF6A103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"/>
        <a:stretch>
          <a:fillRect/>
        </a:stretch>
      </xdr:blipFill>
      <xdr:spPr>
        <a:xfrm>
          <a:off x="14649449" y="3352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</xdr:row>
      <xdr:rowOff>419099</xdr:rowOff>
    </xdr:from>
    <xdr:to>
      <xdr:col>12</xdr:col>
      <xdr:colOff>536574</xdr:colOff>
      <xdr:row>12</xdr:row>
      <xdr:rowOff>12699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F3A42B5-5121-E2AC-AC5B-FEA87316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"/>
        <a:stretch>
          <a:fillRect/>
        </a:stretch>
      </xdr:blipFill>
      <xdr:spPr>
        <a:xfrm>
          <a:off x="14649449" y="3771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</xdr:row>
      <xdr:rowOff>419099</xdr:rowOff>
    </xdr:from>
    <xdr:to>
      <xdr:col>12</xdr:col>
      <xdr:colOff>536574</xdr:colOff>
      <xdr:row>13</xdr:row>
      <xdr:rowOff>12699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E723045-74C2-9E36-A435-1DBA24E0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"/>
        <a:stretch>
          <a:fillRect/>
        </a:stretch>
      </xdr:blipFill>
      <xdr:spPr>
        <a:xfrm>
          <a:off x="14649449" y="4190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</xdr:row>
      <xdr:rowOff>419099</xdr:rowOff>
    </xdr:from>
    <xdr:to>
      <xdr:col>12</xdr:col>
      <xdr:colOff>536574</xdr:colOff>
      <xdr:row>14</xdr:row>
      <xdr:rowOff>12699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5AD4952-A706-AE01-47DF-1B6360EC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"/>
        <a:stretch>
          <a:fillRect/>
        </a:stretch>
      </xdr:blipFill>
      <xdr:spPr>
        <a:xfrm>
          <a:off x="14649449" y="4610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</xdr:row>
      <xdr:rowOff>419099</xdr:rowOff>
    </xdr:from>
    <xdr:to>
      <xdr:col>12</xdr:col>
      <xdr:colOff>536574</xdr:colOff>
      <xdr:row>15</xdr:row>
      <xdr:rowOff>12699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2623AB4-B846-0379-CCB4-3387EB1F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"/>
        <a:stretch>
          <a:fillRect/>
        </a:stretch>
      </xdr:blipFill>
      <xdr:spPr>
        <a:xfrm>
          <a:off x="14649449" y="5029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</xdr:row>
      <xdr:rowOff>419099</xdr:rowOff>
    </xdr:from>
    <xdr:to>
      <xdr:col>12</xdr:col>
      <xdr:colOff>536574</xdr:colOff>
      <xdr:row>16</xdr:row>
      <xdr:rowOff>12699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291451-51BB-ADCA-9A3B-C8AF7F9E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"/>
        <a:stretch>
          <a:fillRect/>
        </a:stretch>
      </xdr:blipFill>
      <xdr:spPr>
        <a:xfrm>
          <a:off x="14649449" y="5448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</xdr:row>
      <xdr:rowOff>419099</xdr:rowOff>
    </xdr:from>
    <xdr:to>
      <xdr:col>12</xdr:col>
      <xdr:colOff>536574</xdr:colOff>
      <xdr:row>17</xdr:row>
      <xdr:rowOff>12699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01CF95B-9F7B-BDE0-A58C-3308AF80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"/>
        <a:stretch>
          <a:fillRect/>
        </a:stretch>
      </xdr:blipFill>
      <xdr:spPr>
        <a:xfrm>
          <a:off x="14649449" y="5867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</xdr:row>
      <xdr:rowOff>419099</xdr:rowOff>
    </xdr:from>
    <xdr:to>
      <xdr:col>12</xdr:col>
      <xdr:colOff>536574</xdr:colOff>
      <xdr:row>18</xdr:row>
      <xdr:rowOff>12699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059350D-194D-DA58-FCF2-FA2626E6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"/>
        <a:stretch>
          <a:fillRect/>
        </a:stretch>
      </xdr:blipFill>
      <xdr:spPr>
        <a:xfrm>
          <a:off x="14649449" y="6286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</xdr:row>
      <xdr:rowOff>419099</xdr:rowOff>
    </xdr:from>
    <xdr:to>
      <xdr:col>12</xdr:col>
      <xdr:colOff>536574</xdr:colOff>
      <xdr:row>19</xdr:row>
      <xdr:rowOff>12699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9EB2525-FAA4-CF6B-8D80-F0950D8B7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"/>
        <a:stretch>
          <a:fillRect/>
        </a:stretch>
      </xdr:blipFill>
      <xdr:spPr>
        <a:xfrm>
          <a:off x="14649449" y="6705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</xdr:row>
      <xdr:rowOff>419099</xdr:rowOff>
    </xdr:from>
    <xdr:to>
      <xdr:col>12</xdr:col>
      <xdr:colOff>536574</xdr:colOff>
      <xdr:row>20</xdr:row>
      <xdr:rowOff>12699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0888CA0-01C8-AE9D-62A3-BD5F7FB0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"/>
        <a:stretch>
          <a:fillRect/>
        </a:stretch>
      </xdr:blipFill>
      <xdr:spPr>
        <a:xfrm>
          <a:off x="14649449" y="7124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</xdr:row>
      <xdr:rowOff>419099</xdr:rowOff>
    </xdr:from>
    <xdr:to>
      <xdr:col>12</xdr:col>
      <xdr:colOff>536574</xdr:colOff>
      <xdr:row>21</xdr:row>
      <xdr:rowOff>12699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525E926-A07F-C933-9F88-5AC89953F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"/>
        <a:stretch>
          <a:fillRect/>
        </a:stretch>
      </xdr:blipFill>
      <xdr:spPr>
        <a:xfrm>
          <a:off x="14649449" y="7543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</xdr:row>
      <xdr:rowOff>419099</xdr:rowOff>
    </xdr:from>
    <xdr:to>
      <xdr:col>12</xdr:col>
      <xdr:colOff>536574</xdr:colOff>
      <xdr:row>22</xdr:row>
      <xdr:rowOff>12699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7BA3444-F746-53E3-9248-173F70E5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14649449" y="7962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</xdr:row>
      <xdr:rowOff>419099</xdr:rowOff>
    </xdr:from>
    <xdr:to>
      <xdr:col>12</xdr:col>
      <xdr:colOff>536574</xdr:colOff>
      <xdr:row>23</xdr:row>
      <xdr:rowOff>12699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20794D1-2E21-B079-8592-6E160C87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"/>
        <a:stretch>
          <a:fillRect/>
        </a:stretch>
      </xdr:blipFill>
      <xdr:spPr>
        <a:xfrm>
          <a:off x="14649449" y="8381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</xdr:row>
      <xdr:rowOff>419099</xdr:rowOff>
    </xdr:from>
    <xdr:to>
      <xdr:col>12</xdr:col>
      <xdr:colOff>536574</xdr:colOff>
      <xdr:row>24</xdr:row>
      <xdr:rowOff>12699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793040DA-0B7B-690C-0030-E8D040099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"/>
        <a:stretch>
          <a:fillRect/>
        </a:stretch>
      </xdr:blipFill>
      <xdr:spPr>
        <a:xfrm>
          <a:off x="14649449" y="8801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</xdr:row>
      <xdr:rowOff>419099</xdr:rowOff>
    </xdr:from>
    <xdr:to>
      <xdr:col>12</xdr:col>
      <xdr:colOff>536574</xdr:colOff>
      <xdr:row>25</xdr:row>
      <xdr:rowOff>12699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1F4CCD32-EA05-E515-15C5-FB657F517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"/>
        <a:stretch>
          <a:fillRect/>
        </a:stretch>
      </xdr:blipFill>
      <xdr:spPr>
        <a:xfrm>
          <a:off x="14649449" y="9220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</xdr:row>
      <xdr:rowOff>419099</xdr:rowOff>
    </xdr:from>
    <xdr:to>
      <xdr:col>12</xdr:col>
      <xdr:colOff>536574</xdr:colOff>
      <xdr:row>26</xdr:row>
      <xdr:rowOff>12699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D945F-9241-2EB9-942C-657C1184F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14649449" y="9639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</xdr:row>
      <xdr:rowOff>419099</xdr:rowOff>
    </xdr:from>
    <xdr:to>
      <xdr:col>12</xdr:col>
      <xdr:colOff>536574</xdr:colOff>
      <xdr:row>27</xdr:row>
      <xdr:rowOff>12699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6E7726AB-B057-F507-EDED-685C879D4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"/>
        <a:stretch>
          <a:fillRect/>
        </a:stretch>
      </xdr:blipFill>
      <xdr:spPr>
        <a:xfrm>
          <a:off x="14649449" y="10058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</xdr:row>
      <xdr:rowOff>419099</xdr:rowOff>
    </xdr:from>
    <xdr:to>
      <xdr:col>12</xdr:col>
      <xdr:colOff>536574</xdr:colOff>
      <xdr:row>28</xdr:row>
      <xdr:rowOff>12699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7C4E6A0-2206-9999-B95E-095ADB03C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"/>
        <a:stretch>
          <a:fillRect/>
        </a:stretch>
      </xdr:blipFill>
      <xdr:spPr>
        <a:xfrm>
          <a:off x="14649449" y="10477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</xdr:row>
      <xdr:rowOff>419099</xdr:rowOff>
    </xdr:from>
    <xdr:to>
      <xdr:col>12</xdr:col>
      <xdr:colOff>536574</xdr:colOff>
      <xdr:row>29</xdr:row>
      <xdr:rowOff>12699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4C8F2BB6-D0B5-DC52-EA9E-359FBC317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"/>
        <a:stretch>
          <a:fillRect/>
        </a:stretch>
      </xdr:blipFill>
      <xdr:spPr>
        <a:xfrm>
          <a:off x="14649449" y="10896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</xdr:row>
      <xdr:rowOff>419099</xdr:rowOff>
    </xdr:from>
    <xdr:to>
      <xdr:col>12</xdr:col>
      <xdr:colOff>536574</xdr:colOff>
      <xdr:row>30</xdr:row>
      <xdr:rowOff>12699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47DB0995-839E-97FC-E572-9A628A36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"/>
        <a:stretch>
          <a:fillRect/>
        </a:stretch>
      </xdr:blipFill>
      <xdr:spPr>
        <a:xfrm>
          <a:off x="14649449" y="11315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</xdr:row>
      <xdr:rowOff>419099</xdr:rowOff>
    </xdr:from>
    <xdr:to>
      <xdr:col>12</xdr:col>
      <xdr:colOff>536574</xdr:colOff>
      <xdr:row>31</xdr:row>
      <xdr:rowOff>12699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8D455A11-6140-D0D5-CC2C-779C77C9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"/>
        <a:stretch>
          <a:fillRect/>
        </a:stretch>
      </xdr:blipFill>
      <xdr:spPr>
        <a:xfrm>
          <a:off x="14649449" y="11734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</xdr:row>
      <xdr:rowOff>419099</xdr:rowOff>
    </xdr:from>
    <xdr:to>
      <xdr:col>12</xdr:col>
      <xdr:colOff>536574</xdr:colOff>
      <xdr:row>32</xdr:row>
      <xdr:rowOff>12699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848099A-CD08-5E1D-4B7C-E8C6CA81D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"/>
        <a:stretch>
          <a:fillRect/>
        </a:stretch>
      </xdr:blipFill>
      <xdr:spPr>
        <a:xfrm>
          <a:off x="14649449" y="12153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</xdr:row>
      <xdr:rowOff>419099</xdr:rowOff>
    </xdr:from>
    <xdr:to>
      <xdr:col>12</xdr:col>
      <xdr:colOff>536574</xdr:colOff>
      <xdr:row>33</xdr:row>
      <xdr:rowOff>12699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DD6E75D9-9D06-7ED7-1BC6-4DFFB514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"/>
        <a:stretch>
          <a:fillRect/>
        </a:stretch>
      </xdr:blipFill>
      <xdr:spPr>
        <a:xfrm>
          <a:off x="14649449" y="12572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</xdr:row>
      <xdr:rowOff>419099</xdr:rowOff>
    </xdr:from>
    <xdr:to>
      <xdr:col>12</xdr:col>
      <xdr:colOff>536574</xdr:colOff>
      <xdr:row>34</xdr:row>
      <xdr:rowOff>12699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85BE0177-C363-030E-EB84-73488370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"/>
        <a:stretch>
          <a:fillRect/>
        </a:stretch>
      </xdr:blipFill>
      <xdr:spPr>
        <a:xfrm>
          <a:off x="14649449" y="12992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</xdr:row>
      <xdr:rowOff>419099</xdr:rowOff>
    </xdr:from>
    <xdr:to>
      <xdr:col>12</xdr:col>
      <xdr:colOff>536574</xdr:colOff>
      <xdr:row>35</xdr:row>
      <xdr:rowOff>12699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E2735DB-E59D-D267-397E-B21496789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"/>
        <a:stretch>
          <a:fillRect/>
        </a:stretch>
      </xdr:blipFill>
      <xdr:spPr>
        <a:xfrm>
          <a:off x="14649449" y="13411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</xdr:row>
      <xdr:rowOff>419099</xdr:rowOff>
    </xdr:from>
    <xdr:to>
      <xdr:col>12</xdr:col>
      <xdr:colOff>536574</xdr:colOff>
      <xdr:row>36</xdr:row>
      <xdr:rowOff>12699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B245C185-C587-6AF9-55A4-C91979551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"/>
        <a:stretch>
          <a:fillRect/>
        </a:stretch>
      </xdr:blipFill>
      <xdr:spPr>
        <a:xfrm>
          <a:off x="14649449" y="13830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</xdr:row>
      <xdr:rowOff>419099</xdr:rowOff>
    </xdr:from>
    <xdr:to>
      <xdr:col>12</xdr:col>
      <xdr:colOff>536574</xdr:colOff>
      <xdr:row>37</xdr:row>
      <xdr:rowOff>12699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33642D74-4416-6136-D2F4-F8885435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"/>
        <a:stretch>
          <a:fillRect/>
        </a:stretch>
      </xdr:blipFill>
      <xdr:spPr>
        <a:xfrm>
          <a:off x="14649449" y="14249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34</xdr:row>
      <xdr:rowOff>419099</xdr:rowOff>
    </xdr:from>
    <xdr:to>
      <xdr:col>12</xdr:col>
      <xdr:colOff>536574</xdr:colOff>
      <xdr:row>38</xdr:row>
      <xdr:rowOff>12699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6DC8456B-3081-4C6C-27B7-C4B12040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4"/>
        <a:stretch>
          <a:fillRect/>
        </a:stretch>
      </xdr:blipFill>
      <xdr:spPr>
        <a:xfrm>
          <a:off x="14649449" y="14668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35</xdr:row>
      <xdr:rowOff>419099</xdr:rowOff>
    </xdr:from>
    <xdr:to>
      <xdr:col>12</xdr:col>
      <xdr:colOff>536574</xdr:colOff>
      <xdr:row>39</xdr:row>
      <xdr:rowOff>12699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095F610C-4999-F6DD-280B-1CF96985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5"/>
        <a:stretch>
          <a:fillRect/>
        </a:stretch>
      </xdr:blipFill>
      <xdr:spPr>
        <a:xfrm>
          <a:off x="14649449" y="15087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36</xdr:row>
      <xdr:rowOff>419099</xdr:rowOff>
    </xdr:from>
    <xdr:to>
      <xdr:col>12</xdr:col>
      <xdr:colOff>536574</xdr:colOff>
      <xdr:row>40</xdr:row>
      <xdr:rowOff>12699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678EC49F-59F1-B748-583F-453091447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6"/>
        <a:stretch>
          <a:fillRect/>
        </a:stretch>
      </xdr:blipFill>
      <xdr:spPr>
        <a:xfrm>
          <a:off x="14649449" y="15506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37</xdr:row>
      <xdr:rowOff>419099</xdr:rowOff>
    </xdr:from>
    <xdr:to>
      <xdr:col>12</xdr:col>
      <xdr:colOff>536574</xdr:colOff>
      <xdr:row>41</xdr:row>
      <xdr:rowOff>12699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E90B22-BB1E-230A-79F7-73579D6F4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7"/>
        <a:stretch>
          <a:fillRect/>
        </a:stretch>
      </xdr:blipFill>
      <xdr:spPr>
        <a:xfrm>
          <a:off x="14649449" y="15925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38</xdr:row>
      <xdr:rowOff>419099</xdr:rowOff>
    </xdr:from>
    <xdr:to>
      <xdr:col>12</xdr:col>
      <xdr:colOff>536574</xdr:colOff>
      <xdr:row>42</xdr:row>
      <xdr:rowOff>12699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E259CBAB-D1B8-169F-D9BF-B0223F1B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8"/>
        <a:stretch>
          <a:fillRect/>
        </a:stretch>
      </xdr:blipFill>
      <xdr:spPr>
        <a:xfrm>
          <a:off x="14649449" y="16344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39</xdr:row>
      <xdr:rowOff>419099</xdr:rowOff>
    </xdr:from>
    <xdr:to>
      <xdr:col>12</xdr:col>
      <xdr:colOff>536574</xdr:colOff>
      <xdr:row>43</xdr:row>
      <xdr:rowOff>12699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14B65AD-4462-2A9A-3E62-133AA973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9"/>
        <a:stretch>
          <a:fillRect/>
        </a:stretch>
      </xdr:blipFill>
      <xdr:spPr>
        <a:xfrm>
          <a:off x="14649449" y="16763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40</xdr:row>
      <xdr:rowOff>419099</xdr:rowOff>
    </xdr:from>
    <xdr:to>
      <xdr:col>12</xdr:col>
      <xdr:colOff>536574</xdr:colOff>
      <xdr:row>44</xdr:row>
      <xdr:rowOff>12699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6A065966-01D1-0950-8F65-DC2C7B1F4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0"/>
        <a:stretch>
          <a:fillRect/>
        </a:stretch>
      </xdr:blipFill>
      <xdr:spPr>
        <a:xfrm>
          <a:off x="14649449" y="17183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41</xdr:row>
      <xdr:rowOff>419099</xdr:rowOff>
    </xdr:from>
    <xdr:to>
      <xdr:col>12</xdr:col>
      <xdr:colOff>536574</xdr:colOff>
      <xdr:row>45</xdr:row>
      <xdr:rowOff>12699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F654F4AB-5F63-1E24-4F80-7ECD8531E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1"/>
        <a:stretch>
          <a:fillRect/>
        </a:stretch>
      </xdr:blipFill>
      <xdr:spPr>
        <a:xfrm>
          <a:off x="14649449" y="17602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42</xdr:row>
      <xdr:rowOff>419099</xdr:rowOff>
    </xdr:from>
    <xdr:to>
      <xdr:col>12</xdr:col>
      <xdr:colOff>536574</xdr:colOff>
      <xdr:row>46</xdr:row>
      <xdr:rowOff>12699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3E3FBC64-5E0E-4083-50C5-5DE648FF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2"/>
        <a:stretch>
          <a:fillRect/>
        </a:stretch>
      </xdr:blipFill>
      <xdr:spPr>
        <a:xfrm>
          <a:off x="14649449" y="18021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43</xdr:row>
      <xdr:rowOff>419099</xdr:rowOff>
    </xdr:from>
    <xdr:to>
      <xdr:col>12</xdr:col>
      <xdr:colOff>536574</xdr:colOff>
      <xdr:row>47</xdr:row>
      <xdr:rowOff>12699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C8064C08-25AC-DA29-E785-D6F42E29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14649449" y="18440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44</xdr:row>
      <xdr:rowOff>419099</xdr:rowOff>
    </xdr:from>
    <xdr:to>
      <xdr:col>12</xdr:col>
      <xdr:colOff>536574</xdr:colOff>
      <xdr:row>48</xdr:row>
      <xdr:rowOff>12699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E22C46D9-99DE-73B2-FD26-9D9E3DC9A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4"/>
        <a:stretch>
          <a:fillRect/>
        </a:stretch>
      </xdr:blipFill>
      <xdr:spPr>
        <a:xfrm>
          <a:off x="14649449" y="18859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45</xdr:row>
      <xdr:rowOff>419099</xdr:rowOff>
    </xdr:from>
    <xdr:to>
      <xdr:col>12</xdr:col>
      <xdr:colOff>536574</xdr:colOff>
      <xdr:row>49</xdr:row>
      <xdr:rowOff>12699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37C0901-D1A0-4171-4F3A-A98F5EC37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5"/>
        <a:stretch>
          <a:fillRect/>
        </a:stretch>
      </xdr:blipFill>
      <xdr:spPr>
        <a:xfrm>
          <a:off x="14649449" y="19278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46</xdr:row>
      <xdr:rowOff>419099</xdr:rowOff>
    </xdr:from>
    <xdr:to>
      <xdr:col>12</xdr:col>
      <xdr:colOff>536574</xdr:colOff>
      <xdr:row>50</xdr:row>
      <xdr:rowOff>12699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D5D6E3AB-9C6A-419A-C6A3-2A982751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6"/>
        <a:stretch>
          <a:fillRect/>
        </a:stretch>
      </xdr:blipFill>
      <xdr:spPr>
        <a:xfrm>
          <a:off x="14649449" y="19697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47</xdr:row>
      <xdr:rowOff>419099</xdr:rowOff>
    </xdr:from>
    <xdr:to>
      <xdr:col>12</xdr:col>
      <xdr:colOff>536574</xdr:colOff>
      <xdr:row>51</xdr:row>
      <xdr:rowOff>12699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3F9FB827-BBD6-2CE4-BEB0-20931F513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7"/>
        <a:stretch>
          <a:fillRect/>
        </a:stretch>
      </xdr:blipFill>
      <xdr:spPr>
        <a:xfrm>
          <a:off x="14649449" y="20116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48</xdr:row>
      <xdr:rowOff>419099</xdr:rowOff>
    </xdr:from>
    <xdr:to>
      <xdr:col>12</xdr:col>
      <xdr:colOff>536574</xdr:colOff>
      <xdr:row>52</xdr:row>
      <xdr:rowOff>12699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26DB0AAC-140E-51B2-9069-532EDB247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8"/>
        <a:stretch>
          <a:fillRect/>
        </a:stretch>
      </xdr:blipFill>
      <xdr:spPr>
        <a:xfrm>
          <a:off x="14649449" y="20535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49</xdr:row>
      <xdr:rowOff>419099</xdr:rowOff>
    </xdr:from>
    <xdr:to>
      <xdr:col>12</xdr:col>
      <xdr:colOff>536574</xdr:colOff>
      <xdr:row>53</xdr:row>
      <xdr:rowOff>12699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CE17D34D-510E-F6AA-F83A-015BFCD0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9"/>
        <a:stretch>
          <a:fillRect/>
        </a:stretch>
      </xdr:blipFill>
      <xdr:spPr>
        <a:xfrm>
          <a:off x="14649449" y="20954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50</xdr:row>
      <xdr:rowOff>419099</xdr:rowOff>
    </xdr:from>
    <xdr:to>
      <xdr:col>12</xdr:col>
      <xdr:colOff>536574</xdr:colOff>
      <xdr:row>54</xdr:row>
      <xdr:rowOff>12699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250CC646-A469-0004-0078-DF1B2CC9F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0"/>
        <a:stretch>
          <a:fillRect/>
        </a:stretch>
      </xdr:blipFill>
      <xdr:spPr>
        <a:xfrm>
          <a:off x="14649449" y="21374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51</xdr:row>
      <xdr:rowOff>419099</xdr:rowOff>
    </xdr:from>
    <xdr:to>
      <xdr:col>12</xdr:col>
      <xdr:colOff>536574</xdr:colOff>
      <xdr:row>55</xdr:row>
      <xdr:rowOff>12699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5C477A35-5BBA-B407-C305-D8CFCF07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1"/>
        <a:stretch>
          <a:fillRect/>
        </a:stretch>
      </xdr:blipFill>
      <xdr:spPr>
        <a:xfrm>
          <a:off x="14649449" y="21793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52</xdr:row>
      <xdr:rowOff>419099</xdr:rowOff>
    </xdr:from>
    <xdr:to>
      <xdr:col>12</xdr:col>
      <xdr:colOff>536574</xdr:colOff>
      <xdr:row>56</xdr:row>
      <xdr:rowOff>12699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C64B2C62-C68C-A300-BD2C-383940762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2"/>
        <a:stretch>
          <a:fillRect/>
        </a:stretch>
      </xdr:blipFill>
      <xdr:spPr>
        <a:xfrm>
          <a:off x="14649449" y="22212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53</xdr:row>
      <xdr:rowOff>419099</xdr:rowOff>
    </xdr:from>
    <xdr:to>
      <xdr:col>12</xdr:col>
      <xdr:colOff>536574</xdr:colOff>
      <xdr:row>57</xdr:row>
      <xdr:rowOff>12699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6D25A07C-581C-4C51-0803-8D603E64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3"/>
        <a:stretch>
          <a:fillRect/>
        </a:stretch>
      </xdr:blipFill>
      <xdr:spPr>
        <a:xfrm>
          <a:off x="14649449" y="22631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54</xdr:row>
      <xdr:rowOff>419099</xdr:rowOff>
    </xdr:from>
    <xdr:to>
      <xdr:col>12</xdr:col>
      <xdr:colOff>536574</xdr:colOff>
      <xdr:row>58</xdr:row>
      <xdr:rowOff>12699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B5FF617D-FC98-D68B-9A57-464BE44F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4"/>
        <a:stretch>
          <a:fillRect/>
        </a:stretch>
      </xdr:blipFill>
      <xdr:spPr>
        <a:xfrm>
          <a:off x="14649449" y="23050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55</xdr:row>
      <xdr:rowOff>419099</xdr:rowOff>
    </xdr:from>
    <xdr:to>
      <xdr:col>12</xdr:col>
      <xdr:colOff>536574</xdr:colOff>
      <xdr:row>59</xdr:row>
      <xdr:rowOff>12699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4DA0973E-6B60-C480-3F6F-5BC5C78F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5"/>
        <a:stretch>
          <a:fillRect/>
        </a:stretch>
      </xdr:blipFill>
      <xdr:spPr>
        <a:xfrm>
          <a:off x="14649449" y="23469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56</xdr:row>
      <xdr:rowOff>419099</xdr:rowOff>
    </xdr:from>
    <xdr:to>
      <xdr:col>12</xdr:col>
      <xdr:colOff>536574</xdr:colOff>
      <xdr:row>60</xdr:row>
      <xdr:rowOff>12699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57F745C3-3D85-E669-E978-041B10454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6"/>
        <a:stretch>
          <a:fillRect/>
        </a:stretch>
      </xdr:blipFill>
      <xdr:spPr>
        <a:xfrm>
          <a:off x="14649449" y="23888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57</xdr:row>
      <xdr:rowOff>419099</xdr:rowOff>
    </xdr:from>
    <xdr:to>
      <xdr:col>12</xdr:col>
      <xdr:colOff>536574</xdr:colOff>
      <xdr:row>61</xdr:row>
      <xdr:rowOff>12699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A7F8E584-1A03-78ED-67D8-389923BF9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7"/>
        <a:stretch>
          <a:fillRect/>
        </a:stretch>
      </xdr:blipFill>
      <xdr:spPr>
        <a:xfrm>
          <a:off x="14649449" y="24307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58</xdr:row>
      <xdr:rowOff>419099</xdr:rowOff>
    </xdr:from>
    <xdr:to>
      <xdr:col>12</xdr:col>
      <xdr:colOff>536574</xdr:colOff>
      <xdr:row>62</xdr:row>
      <xdr:rowOff>12699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B64A564D-3581-E023-99FA-0C368214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8"/>
        <a:stretch>
          <a:fillRect/>
        </a:stretch>
      </xdr:blipFill>
      <xdr:spPr>
        <a:xfrm>
          <a:off x="14649449" y="24726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59</xdr:row>
      <xdr:rowOff>419099</xdr:rowOff>
    </xdr:from>
    <xdr:to>
      <xdr:col>12</xdr:col>
      <xdr:colOff>536574</xdr:colOff>
      <xdr:row>63</xdr:row>
      <xdr:rowOff>12699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2C638FAF-7FA8-CE05-7F19-874F9C102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9"/>
        <a:stretch>
          <a:fillRect/>
        </a:stretch>
      </xdr:blipFill>
      <xdr:spPr>
        <a:xfrm>
          <a:off x="14649449" y="25145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60</xdr:row>
      <xdr:rowOff>419099</xdr:rowOff>
    </xdr:from>
    <xdr:to>
      <xdr:col>12</xdr:col>
      <xdr:colOff>536574</xdr:colOff>
      <xdr:row>64</xdr:row>
      <xdr:rowOff>12699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1F2B9AC2-7692-BCB8-2016-B6281B26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0"/>
        <a:stretch>
          <a:fillRect/>
        </a:stretch>
      </xdr:blipFill>
      <xdr:spPr>
        <a:xfrm>
          <a:off x="14649449" y="25565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61</xdr:row>
      <xdr:rowOff>419099</xdr:rowOff>
    </xdr:from>
    <xdr:to>
      <xdr:col>12</xdr:col>
      <xdr:colOff>536574</xdr:colOff>
      <xdr:row>65</xdr:row>
      <xdr:rowOff>12699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B36E860C-2F37-A60B-83FC-E6257840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1"/>
        <a:stretch>
          <a:fillRect/>
        </a:stretch>
      </xdr:blipFill>
      <xdr:spPr>
        <a:xfrm>
          <a:off x="14649449" y="25984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62</xdr:row>
      <xdr:rowOff>419099</xdr:rowOff>
    </xdr:from>
    <xdr:to>
      <xdr:col>12</xdr:col>
      <xdr:colOff>536574</xdr:colOff>
      <xdr:row>66</xdr:row>
      <xdr:rowOff>12699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925754D7-6D23-595D-1933-E7F1267FA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2"/>
        <a:stretch>
          <a:fillRect/>
        </a:stretch>
      </xdr:blipFill>
      <xdr:spPr>
        <a:xfrm>
          <a:off x="14649449" y="26403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63</xdr:row>
      <xdr:rowOff>419099</xdr:rowOff>
    </xdr:from>
    <xdr:to>
      <xdr:col>12</xdr:col>
      <xdr:colOff>536574</xdr:colOff>
      <xdr:row>67</xdr:row>
      <xdr:rowOff>12699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2DAF4ED6-97A3-453C-58DB-AAFC51833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3"/>
        <a:stretch>
          <a:fillRect/>
        </a:stretch>
      </xdr:blipFill>
      <xdr:spPr>
        <a:xfrm>
          <a:off x="14649449" y="26822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64</xdr:row>
      <xdr:rowOff>419099</xdr:rowOff>
    </xdr:from>
    <xdr:to>
      <xdr:col>12</xdr:col>
      <xdr:colOff>536574</xdr:colOff>
      <xdr:row>68</xdr:row>
      <xdr:rowOff>12699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1CDFE19F-5295-D395-7B75-E93AC664C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4"/>
        <a:stretch>
          <a:fillRect/>
        </a:stretch>
      </xdr:blipFill>
      <xdr:spPr>
        <a:xfrm>
          <a:off x="14649449" y="27241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65</xdr:row>
      <xdr:rowOff>419099</xdr:rowOff>
    </xdr:from>
    <xdr:to>
      <xdr:col>12</xdr:col>
      <xdr:colOff>536574</xdr:colOff>
      <xdr:row>69</xdr:row>
      <xdr:rowOff>12699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611276F3-0836-69EA-16CF-3B66B9C72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14649449" y="27660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66</xdr:row>
      <xdr:rowOff>419099</xdr:rowOff>
    </xdr:from>
    <xdr:to>
      <xdr:col>12</xdr:col>
      <xdr:colOff>536574</xdr:colOff>
      <xdr:row>70</xdr:row>
      <xdr:rowOff>12699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A07B51E1-8286-97BE-E556-BA147785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4"/>
        <a:stretch>
          <a:fillRect/>
        </a:stretch>
      </xdr:blipFill>
      <xdr:spPr>
        <a:xfrm>
          <a:off x="14649449" y="28079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67</xdr:row>
      <xdr:rowOff>419099</xdr:rowOff>
    </xdr:from>
    <xdr:to>
      <xdr:col>12</xdr:col>
      <xdr:colOff>536574</xdr:colOff>
      <xdr:row>71</xdr:row>
      <xdr:rowOff>12699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647934EE-7457-51B4-C4AF-61F97BD3F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14649449" y="28498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68</xdr:row>
      <xdr:rowOff>419099</xdr:rowOff>
    </xdr:from>
    <xdr:to>
      <xdr:col>12</xdr:col>
      <xdr:colOff>536574</xdr:colOff>
      <xdr:row>72</xdr:row>
      <xdr:rowOff>12699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0492FFF9-FA25-F795-A144-87E248E8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7"/>
        <a:stretch>
          <a:fillRect/>
        </a:stretch>
      </xdr:blipFill>
      <xdr:spPr>
        <a:xfrm>
          <a:off x="14649449" y="28917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69</xdr:row>
      <xdr:rowOff>419099</xdr:rowOff>
    </xdr:from>
    <xdr:to>
      <xdr:col>12</xdr:col>
      <xdr:colOff>536574</xdr:colOff>
      <xdr:row>73</xdr:row>
      <xdr:rowOff>12699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62E3E08C-6869-5AE0-E265-E572978A2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8"/>
        <a:stretch>
          <a:fillRect/>
        </a:stretch>
      </xdr:blipFill>
      <xdr:spPr>
        <a:xfrm>
          <a:off x="14649449" y="29336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70</xdr:row>
      <xdr:rowOff>419099</xdr:rowOff>
    </xdr:from>
    <xdr:to>
      <xdr:col>12</xdr:col>
      <xdr:colOff>536574</xdr:colOff>
      <xdr:row>74</xdr:row>
      <xdr:rowOff>12699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DCC7A407-3D11-C500-113C-91C4FDF07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14649449" y="29756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71</xdr:row>
      <xdr:rowOff>419099</xdr:rowOff>
    </xdr:from>
    <xdr:to>
      <xdr:col>12</xdr:col>
      <xdr:colOff>536574</xdr:colOff>
      <xdr:row>75</xdr:row>
      <xdr:rowOff>12699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39318B48-A83E-CFBB-3A21-D04281F3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0"/>
        <a:stretch>
          <a:fillRect/>
        </a:stretch>
      </xdr:blipFill>
      <xdr:spPr>
        <a:xfrm>
          <a:off x="14649449" y="30175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72</xdr:row>
      <xdr:rowOff>419099</xdr:rowOff>
    </xdr:from>
    <xdr:to>
      <xdr:col>12</xdr:col>
      <xdr:colOff>536574</xdr:colOff>
      <xdr:row>76</xdr:row>
      <xdr:rowOff>12699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8D36E794-D263-6887-D14C-E439DD94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1"/>
        <a:stretch>
          <a:fillRect/>
        </a:stretch>
      </xdr:blipFill>
      <xdr:spPr>
        <a:xfrm>
          <a:off x="14649449" y="30594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73</xdr:row>
      <xdr:rowOff>419099</xdr:rowOff>
    </xdr:from>
    <xdr:to>
      <xdr:col>12</xdr:col>
      <xdr:colOff>536574</xdr:colOff>
      <xdr:row>77</xdr:row>
      <xdr:rowOff>12699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05E8C9BB-55BE-96FA-6067-99EF017D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14649449" y="31013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74</xdr:row>
      <xdr:rowOff>419099</xdr:rowOff>
    </xdr:from>
    <xdr:to>
      <xdr:col>12</xdr:col>
      <xdr:colOff>536574</xdr:colOff>
      <xdr:row>78</xdr:row>
      <xdr:rowOff>12699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4F550504-14F2-A37B-F69C-D545DEA06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3"/>
        <a:stretch>
          <a:fillRect/>
        </a:stretch>
      </xdr:blipFill>
      <xdr:spPr>
        <a:xfrm>
          <a:off x="14649449" y="31432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75</xdr:row>
      <xdr:rowOff>419099</xdr:rowOff>
    </xdr:from>
    <xdr:to>
      <xdr:col>12</xdr:col>
      <xdr:colOff>536574</xdr:colOff>
      <xdr:row>79</xdr:row>
      <xdr:rowOff>12699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998D6DBC-8105-1C24-037C-3CCF0F0F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4"/>
        <a:stretch>
          <a:fillRect/>
        </a:stretch>
      </xdr:blipFill>
      <xdr:spPr>
        <a:xfrm>
          <a:off x="14649449" y="31851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76</xdr:row>
      <xdr:rowOff>419099</xdr:rowOff>
    </xdr:from>
    <xdr:to>
      <xdr:col>12</xdr:col>
      <xdr:colOff>536574</xdr:colOff>
      <xdr:row>80</xdr:row>
      <xdr:rowOff>12699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0DE340A5-FF24-78C4-6D44-ED53129C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5"/>
        <a:stretch>
          <a:fillRect/>
        </a:stretch>
      </xdr:blipFill>
      <xdr:spPr>
        <a:xfrm>
          <a:off x="14649449" y="32270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77</xdr:row>
      <xdr:rowOff>419099</xdr:rowOff>
    </xdr:from>
    <xdr:to>
      <xdr:col>12</xdr:col>
      <xdr:colOff>536574</xdr:colOff>
      <xdr:row>81</xdr:row>
      <xdr:rowOff>12699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DA49D6DA-742A-114D-9C97-5A3702C0B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6"/>
        <a:stretch>
          <a:fillRect/>
        </a:stretch>
      </xdr:blipFill>
      <xdr:spPr>
        <a:xfrm>
          <a:off x="14649449" y="32689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78</xdr:row>
      <xdr:rowOff>419099</xdr:rowOff>
    </xdr:from>
    <xdr:to>
      <xdr:col>12</xdr:col>
      <xdr:colOff>536574</xdr:colOff>
      <xdr:row>82</xdr:row>
      <xdr:rowOff>12699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EF521C0E-862E-6927-9B4B-6C2E859C8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7"/>
        <a:stretch>
          <a:fillRect/>
        </a:stretch>
      </xdr:blipFill>
      <xdr:spPr>
        <a:xfrm>
          <a:off x="14649449" y="33108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79</xdr:row>
      <xdr:rowOff>419099</xdr:rowOff>
    </xdr:from>
    <xdr:to>
      <xdr:col>12</xdr:col>
      <xdr:colOff>536574</xdr:colOff>
      <xdr:row>83</xdr:row>
      <xdr:rowOff>12699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73E8DDFC-B74F-E8AA-1DA6-AD9A4D1A9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8"/>
        <a:stretch>
          <a:fillRect/>
        </a:stretch>
      </xdr:blipFill>
      <xdr:spPr>
        <a:xfrm>
          <a:off x="14649449" y="33527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80</xdr:row>
      <xdr:rowOff>419099</xdr:rowOff>
    </xdr:from>
    <xdr:to>
      <xdr:col>12</xdr:col>
      <xdr:colOff>536574</xdr:colOff>
      <xdr:row>84</xdr:row>
      <xdr:rowOff>12699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A0BCAB77-4007-6617-515A-6B3D9EAA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9"/>
        <a:stretch>
          <a:fillRect/>
        </a:stretch>
      </xdr:blipFill>
      <xdr:spPr>
        <a:xfrm>
          <a:off x="14649449" y="33947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81</xdr:row>
      <xdr:rowOff>419099</xdr:rowOff>
    </xdr:from>
    <xdr:to>
      <xdr:col>12</xdr:col>
      <xdr:colOff>536574</xdr:colOff>
      <xdr:row>85</xdr:row>
      <xdr:rowOff>12699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18DE9070-28AF-6A25-D404-69F7E0D1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14649449" y="34366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82</xdr:row>
      <xdr:rowOff>419099</xdr:rowOff>
    </xdr:from>
    <xdr:to>
      <xdr:col>12</xdr:col>
      <xdr:colOff>536574</xdr:colOff>
      <xdr:row>86</xdr:row>
      <xdr:rowOff>12699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0F224FDB-3200-EC6F-6ACF-19005CE2F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1"/>
        <a:stretch>
          <a:fillRect/>
        </a:stretch>
      </xdr:blipFill>
      <xdr:spPr>
        <a:xfrm>
          <a:off x="14649449" y="34785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83</xdr:row>
      <xdr:rowOff>419099</xdr:rowOff>
    </xdr:from>
    <xdr:to>
      <xdr:col>12</xdr:col>
      <xdr:colOff>536574</xdr:colOff>
      <xdr:row>87</xdr:row>
      <xdr:rowOff>12699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0C26554E-5DB3-A443-667F-A89D15DE1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2"/>
        <a:stretch>
          <a:fillRect/>
        </a:stretch>
      </xdr:blipFill>
      <xdr:spPr>
        <a:xfrm>
          <a:off x="14649449" y="35204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84</xdr:row>
      <xdr:rowOff>419099</xdr:rowOff>
    </xdr:from>
    <xdr:to>
      <xdr:col>12</xdr:col>
      <xdr:colOff>536574</xdr:colOff>
      <xdr:row>88</xdr:row>
      <xdr:rowOff>12699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664768B9-5CE0-50CF-670C-4B01BD74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3"/>
        <a:stretch>
          <a:fillRect/>
        </a:stretch>
      </xdr:blipFill>
      <xdr:spPr>
        <a:xfrm>
          <a:off x="14649449" y="35623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85</xdr:row>
      <xdr:rowOff>419099</xdr:rowOff>
    </xdr:from>
    <xdr:to>
      <xdr:col>12</xdr:col>
      <xdr:colOff>536574</xdr:colOff>
      <xdr:row>89</xdr:row>
      <xdr:rowOff>12699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5F661CD3-C254-4E07-9A9E-EBA091FED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4"/>
        <a:stretch>
          <a:fillRect/>
        </a:stretch>
      </xdr:blipFill>
      <xdr:spPr>
        <a:xfrm>
          <a:off x="14649449" y="36042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86</xdr:row>
      <xdr:rowOff>419099</xdr:rowOff>
    </xdr:from>
    <xdr:to>
      <xdr:col>12</xdr:col>
      <xdr:colOff>536574</xdr:colOff>
      <xdr:row>90</xdr:row>
      <xdr:rowOff>12699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AB8E7D17-D2AA-151E-7F24-9BACA718F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5"/>
        <a:stretch>
          <a:fillRect/>
        </a:stretch>
      </xdr:blipFill>
      <xdr:spPr>
        <a:xfrm>
          <a:off x="14649449" y="36461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87</xdr:row>
      <xdr:rowOff>419099</xdr:rowOff>
    </xdr:from>
    <xdr:to>
      <xdr:col>12</xdr:col>
      <xdr:colOff>536574</xdr:colOff>
      <xdr:row>91</xdr:row>
      <xdr:rowOff>12699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D2407E55-E978-2C55-2FDD-68A112662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6"/>
        <a:stretch>
          <a:fillRect/>
        </a:stretch>
      </xdr:blipFill>
      <xdr:spPr>
        <a:xfrm>
          <a:off x="14649449" y="36880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88</xdr:row>
      <xdr:rowOff>419099</xdr:rowOff>
    </xdr:from>
    <xdr:to>
      <xdr:col>12</xdr:col>
      <xdr:colOff>536574</xdr:colOff>
      <xdr:row>92</xdr:row>
      <xdr:rowOff>12699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50555712-B3B5-E944-779F-DDE7DF43E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7"/>
        <a:stretch>
          <a:fillRect/>
        </a:stretch>
      </xdr:blipFill>
      <xdr:spPr>
        <a:xfrm>
          <a:off x="14649449" y="37299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89</xdr:row>
      <xdr:rowOff>419099</xdr:rowOff>
    </xdr:from>
    <xdr:to>
      <xdr:col>12</xdr:col>
      <xdr:colOff>536574</xdr:colOff>
      <xdr:row>93</xdr:row>
      <xdr:rowOff>12699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2DD69C3D-20A5-2AA1-B2F1-4C941D9C6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8"/>
        <a:stretch>
          <a:fillRect/>
        </a:stretch>
      </xdr:blipFill>
      <xdr:spPr>
        <a:xfrm>
          <a:off x="14649449" y="37718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90</xdr:row>
      <xdr:rowOff>419099</xdr:rowOff>
    </xdr:from>
    <xdr:to>
      <xdr:col>12</xdr:col>
      <xdr:colOff>536574</xdr:colOff>
      <xdr:row>94</xdr:row>
      <xdr:rowOff>12699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E01F157D-E4E0-F2A5-EBB0-A04FAA2C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9"/>
        <a:stretch>
          <a:fillRect/>
        </a:stretch>
      </xdr:blipFill>
      <xdr:spPr>
        <a:xfrm>
          <a:off x="14649449" y="38138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91</xdr:row>
      <xdr:rowOff>419099</xdr:rowOff>
    </xdr:from>
    <xdr:to>
      <xdr:col>12</xdr:col>
      <xdr:colOff>536574</xdr:colOff>
      <xdr:row>95</xdr:row>
      <xdr:rowOff>12699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E9841F90-67F3-0A8E-18CA-9B55544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0"/>
        <a:stretch>
          <a:fillRect/>
        </a:stretch>
      </xdr:blipFill>
      <xdr:spPr>
        <a:xfrm>
          <a:off x="14649449" y="38557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92</xdr:row>
      <xdr:rowOff>419099</xdr:rowOff>
    </xdr:from>
    <xdr:to>
      <xdr:col>12</xdr:col>
      <xdr:colOff>536574</xdr:colOff>
      <xdr:row>96</xdr:row>
      <xdr:rowOff>12699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B1EB4C1B-647F-CB8E-525D-00C0B41CB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1"/>
        <a:stretch>
          <a:fillRect/>
        </a:stretch>
      </xdr:blipFill>
      <xdr:spPr>
        <a:xfrm>
          <a:off x="14649449" y="38976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93</xdr:row>
      <xdr:rowOff>419099</xdr:rowOff>
    </xdr:from>
    <xdr:to>
      <xdr:col>12</xdr:col>
      <xdr:colOff>536574</xdr:colOff>
      <xdr:row>97</xdr:row>
      <xdr:rowOff>12699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CA41A7A4-DD37-F81D-A07B-1AEA6932E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2"/>
        <a:stretch>
          <a:fillRect/>
        </a:stretch>
      </xdr:blipFill>
      <xdr:spPr>
        <a:xfrm>
          <a:off x="14649449" y="39395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94</xdr:row>
      <xdr:rowOff>419099</xdr:rowOff>
    </xdr:from>
    <xdr:to>
      <xdr:col>12</xdr:col>
      <xdr:colOff>536574</xdr:colOff>
      <xdr:row>98</xdr:row>
      <xdr:rowOff>12699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425682D8-6D39-42ED-5A5C-18F26ACD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3"/>
        <a:stretch>
          <a:fillRect/>
        </a:stretch>
      </xdr:blipFill>
      <xdr:spPr>
        <a:xfrm>
          <a:off x="14649449" y="39814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95</xdr:row>
      <xdr:rowOff>419099</xdr:rowOff>
    </xdr:from>
    <xdr:to>
      <xdr:col>12</xdr:col>
      <xdr:colOff>536574</xdr:colOff>
      <xdr:row>99</xdr:row>
      <xdr:rowOff>12699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FF525776-6914-B5F7-72E5-1CD2EEC11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4"/>
        <a:stretch>
          <a:fillRect/>
        </a:stretch>
      </xdr:blipFill>
      <xdr:spPr>
        <a:xfrm>
          <a:off x="14649449" y="40233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96</xdr:row>
      <xdr:rowOff>419099</xdr:rowOff>
    </xdr:from>
    <xdr:to>
      <xdr:col>12</xdr:col>
      <xdr:colOff>536574</xdr:colOff>
      <xdr:row>100</xdr:row>
      <xdr:rowOff>12699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CE0022EF-9801-2A04-3200-5988489F6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5"/>
        <a:stretch>
          <a:fillRect/>
        </a:stretch>
      </xdr:blipFill>
      <xdr:spPr>
        <a:xfrm>
          <a:off x="14649449" y="40652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97</xdr:row>
      <xdr:rowOff>419099</xdr:rowOff>
    </xdr:from>
    <xdr:to>
      <xdr:col>12</xdr:col>
      <xdr:colOff>536574</xdr:colOff>
      <xdr:row>101</xdr:row>
      <xdr:rowOff>12699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B40FE240-64B5-BDDA-2F19-A9A6A6FD9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6"/>
        <a:stretch>
          <a:fillRect/>
        </a:stretch>
      </xdr:blipFill>
      <xdr:spPr>
        <a:xfrm>
          <a:off x="14649449" y="41071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98</xdr:row>
      <xdr:rowOff>419099</xdr:rowOff>
    </xdr:from>
    <xdr:to>
      <xdr:col>12</xdr:col>
      <xdr:colOff>536574</xdr:colOff>
      <xdr:row>102</xdr:row>
      <xdr:rowOff>12699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3179D4AB-B4C7-2705-7846-48312514B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7"/>
        <a:stretch>
          <a:fillRect/>
        </a:stretch>
      </xdr:blipFill>
      <xdr:spPr>
        <a:xfrm>
          <a:off x="14649449" y="41490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99</xdr:row>
      <xdr:rowOff>419099</xdr:rowOff>
    </xdr:from>
    <xdr:to>
      <xdr:col>12</xdr:col>
      <xdr:colOff>536574</xdr:colOff>
      <xdr:row>103</xdr:row>
      <xdr:rowOff>12699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431F0BCA-0D74-3E78-72C6-91FEA8E08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8"/>
        <a:stretch>
          <a:fillRect/>
        </a:stretch>
      </xdr:blipFill>
      <xdr:spPr>
        <a:xfrm>
          <a:off x="14649449" y="41909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100</xdr:row>
      <xdr:rowOff>419099</xdr:rowOff>
    </xdr:from>
    <xdr:to>
      <xdr:col>12</xdr:col>
      <xdr:colOff>536574</xdr:colOff>
      <xdr:row>104</xdr:row>
      <xdr:rowOff>12699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E4D70A19-9140-4635-52E0-D23BDFECE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9"/>
        <a:stretch>
          <a:fillRect/>
        </a:stretch>
      </xdr:blipFill>
      <xdr:spPr>
        <a:xfrm>
          <a:off x="14649449" y="42329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101</xdr:row>
      <xdr:rowOff>419099</xdr:rowOff>
    </xdr:from>
    <xdr:to>
      <xdr:col>12</xdr:col>
      <xdr:colOff>536574</xdr:colOff>
      <xdr:row>105</xdr:row>
      <xdr:rowOff>12699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5F2D5EE4-8063-6669-08F8-0E569D40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0"/>
        <a:stretch>
          <a:fillRect/>
        </a:stretch>
      </xdr:blipFill>
      <xdr:spPr>
        <a:xfrm>
          <a:off x="14649449" y="42748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102</xdr:row>
      <xdr:rowOff>419099</xdr:rowOff>
    </xdr:from>
    <xdr:to>
      <xdr:col>12</xdr:col>
      <xdr:colOff>536574</xdr:colOff>
      <xdr:row>106</xdr:row>
      <xdr:rowOff>12699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393C1A98-4802-E76F-59B8-D9E7BB708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1"/>
        <a:stretch>
          <a:fillRect/>
        </a:stretch>
      </xdr:blipFill>
      <xdr:spPr>
        <a:xfrm>
          <a:off x="14649449" y="43167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103</xdr:row>
      <xdr:rowOff>419099</xdr:rowOff>
    </xdr:from>
    <xdr:to>
      <xdr:col>12</xdr:col>
      <xdr:colOff>536574</xdr:colOff>
      <xdr:row>107</xdr:row>
      <xdr:rowOff>12699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62E45C15-DB1C-3809-DC6F-00600928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2"/>
        <a:stretch>
          <a:fillRect/>
        </a:stretch>
      </xdr:blipFill>
      <xdr:spPr>
        <a:xfrm>
          <a:off x="14649449" y="43586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104</xdr:row>
      <xdr:rowOff>419099</xdr:rowOff>
    </xdr:from>
    <xdr:to>
      <xdr:col>12</xdr:col>
      <xdr:colOff>536574</xdr:colOff>
      <xdr:row>108</xdr:row>
      <xdr:rowOff>12699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42DF3DB6-E5BE-47AA-9B4D-BA7B29CB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3"/>
        <a:stretch>
          <a:fillRect/>
        </a:stretch>
      </xdr:blipFill>
      <xdr:spPr>
        <a:xfrm>
          <a:off x="14649449" y="44005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105</xdr:row>
      <xdr:rowOff>419099</xdr:rowOff>
    </xdr:from>
    <xdr:to>
      <xdr:col>12</xdr:col>
      <xdr:colOff>536574</xdr:colOff>
      <xdr:row>109</xdr:row>
      <xdr:rowOff>12699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219A8DBB-2AD6-E1AA-AED9-733246415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4"/>
        <a:stretch>
          <a:fillRect/>
        </a:stretch>
      </xdr:blipFill>
      <xdr:spPr>
        <a:xfrm>
          <a:off x="14649449" y="44424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106</xdr:row>
      <xdr:rowOff>419099</xdr:rowOff>
    </xdr:from>
    <xdr:to>
      <xdr:col>12</xdr:col>
      <xdr:colOff>536574</xdr:colOff>
      <xdr:row>110</xdr:row>
      <xdr:rowOff>12699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A72057AC-B3AA-7614-2CA3-F56832B8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5"/>
        <a:stretch>
          <a:fillRect/>
        </a:stretch>
      </xdr:blipFill>
      <xdr:spPr>
        <a:xfrm>
          <a:off x="14649449" y="44843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107</xdr:row>
      <xdr:rowOff>419099</xdr:rowOff>
    </xdr:from>
    <xdr:to>
      <xdr:col>12</xdr:col>
      <xdr:colOff>536574</xdr:colOff>
      <xdr:row>111</xdr:row>
      <xdr:rowOff>12699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79C503ED-BE47-BB79-A5E0-B418068BC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6"/>
        <a:stretch>
          <a:fillRect/>
        </a:stretch>
      </xdr:blipFill>
      <xdr:spPr>
        <a:xfrm>
          <a:off x="14649449" y="45262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108</xdr:row>
      <xdr:rowOff>419099</xdr:rowOff>
    </xdr:from>
    <xdr:to>
      <xdr:col>12</xdr:col>
      <xdr:colOff>536574</xdr:colOff>
      <xdr:row>112</xdr:row>
      <xdr:rowOff>12699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F5072CC2-B7D6-A0BF-0DC8-8042E4B8E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7"/>
        <a:stretch>
          <a:fillRect/>
        </a:stretch>
      </xdr:blipFill>
      <xdr:spPr>
        <a:xfrm>
          <a:off x="14649449" y="45681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109</xdr:row>
      <xdr:rowOff>419099</xdr:rowOff>
    </xdr:from>
    <xdr:to>
      <xdr:col>12</xdr:col>
      <xdr:colOff>536574</xdr:colOff>
      <xdr:row>113</xdr:row>
      <xdr:rowOff>12699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59DB132B-2885-7577-A780-5EF3537F3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8"/>
        <a:stretch>
          <a:fillRect/>
        </a:stretch>
      </xdr:blipFill>
      <xdr:spPr>
        <a:xfrm>
          <a:off x="14649449" y="46100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110</xdr:row>
      <xdr:rowOff>419099</xdr:rowOff>
    </xdr:from>
    <xdr:to>
      <xdr:col>12</xdr:col>
      <xdr:colOff>536574</xdr:colOff>
      <xdr:row>114</xdr:row>
      <xdr:rowOff>12699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6BE5DDA5-C669-C992-6D83-0776C1F6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9"/>
        <a:stretch>
          <a:fillRect/>
        </a:stretch>
      </xdr:blipFill>
      <xdr:spPr>
        <a:xfrm>
          <a:off x="14649449" y="46520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111</xdr:row>
      <xdr:rowOff>419099</xdr:rowOff>
    </xdr:from>
    <xdr:to>
      <xdr:col>12</xdr:col>
      <xdr:colOff>536574</xdr:colOff>
      <xdr:row>115</xdr:row>
      <xdr:rowOff>12699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96E3C522-7AC7-A45F-CC71-2B188AE21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0"/>
        <a:stretch>
          <a:fillRect/>
        </a:stretch>
      </xdr:blipFill>
      <xdr:spPr>
        <a:xfrm>
          <a:off x="14649449" y="46939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112</xdr:row>
      <xdr:rowOff>419099</xdr:rowOff>
    </xdr:from>
    <xdr:to>
      <xdr:col>12</xdr:col>
      <xdr:colOff>536574</xdr:colOff>
      <xdr:row>116</xdr:row>
      <xdr:rowOff>12699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81D24B80-96CB-5279-967F-40FA6969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1"/>
        <a:stretch>
          <a:fillRect/>
        </a:stretch>
      </xdr:blipFill>
      <xdr:spPr>
        <a:xfrm>
          <a:off x="14649449" y="47358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113</xdr:row>
      <xdr:rowOff>419099</xdr:rowOff>
    </xdr:from>
    <xdr:to>
      <xdr:col>12</xdr:col>
      <xdr:colOff>536574</xdr:colOff>
      <xdr:row>117</xdr:row>
      <xdr:rowOff>12699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35348CA8-B900-7979-EE61-C402761B7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2"/>
        <a:stretch>
          <a:fillRect/>
        </a:stretch>
      </xdr:blipFill>
      <xdr:spPr>
        <a:xfrm>
          <a:off x="14649449" y="47777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114</xdr:row>
      <xdr:rowOff>419099</xdr:rowOff>
    </xdr:from>
    <xdr:to>
      <xdr:col>12</xdr:col>
      <xdr:colOff>536574</xdr:colOff>
      <xdr:row>118</xdr:row>
      <xdr:rowOff>12699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35A2FE80-4B28-97C7-0B23-BA9D6E6FF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3"/>
        <a:stretch>
          <a:fillRect/>
        </a:stretch>
      </xdr:blipFill>
      <xdr:spPr>
        <a:xfrm>
          <a:off x="14649449" y="48196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115</xdr:row>
      <xdr:rowOff>419099</xdr:rowOff>
    </xdr:from>
    <xdr:to>
      <xdr:col>12</xdr:col>
      <xdr:colOff>536574</xdr:colOff>
      <xdr:row>119</xdr:row>
      <xdr:rowOff>12699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5233370B-D87D-149F-B132-B5AFA7B3D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4"/>
        <a:stretch>
          <a:fillRect/>
        </a:stretch>
      </xdr:blipFill>
      <xdr:spPr>
        <a:xfrm>
          <a:off x="14649449" y="48615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116</xdr:row>
      <xdr:rowOff>419099</xdr:rowOff>
    </xdr:from>
    <xdr:to>
      <xdr:col>12</xdr:col>
      <xdr:colOff>536574</xdr:colOff>
      <xdr:row>120</xdr:row>
      <xdr:rowOff>12699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DC88667F-30F9-1DF3-A983-3FCB9B27A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5"/>
        <a:stretch>
          <a:fillRect/>
        </a:stretch>
      </xdr:blipFill>
      <xdr:spPr>
        <a:xfrm>
          <a:off x="14649449" y="49034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117</xdr:row>
      <xdr:rowOff>419099</xdr:rowOff>
    </xdr:from>
    <xdr:to>
      <xdr:col>12</xdr:col>
      <xdr:colOff>536574</xdr:colOff>
      <xdr:row>121</xdr:row>
      <xdr:rowOff>12699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F234DB08-4C43-F27B-D321-44D28EB02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6"/>
        <a:stretch>
          <a:fillRect/>
        </a:stretch>
      </xdr:blipFill>
      <xdr:spPr>
        <a:xfrm>
          <a:off x="14649449" y="49453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118</xdr:row>
      <xdr:rowOff>419099</xdr:rowOff>
    </xdr:from>
    <xdr:to>
      <xdr:col>12</xdr:col>
      <xdr:colOff>536574</xdr:colOff>
      <xdr:row>122</xdr:row>
      <xdr:rowOff>12699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793A1092-3E79-4B9F-2DF0-64A99FEC6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7"/>
        <a:stretch>
          <a:fillRect/>
        </a:stretch>
      </xdr:blipFill>
      <xdr:spPr>
        <a:xfrm>
          <a:off x="14649449" y="49872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119</xdr:row>
      <xdr:rowOff>419099</xdr:rowOff>
    </xdr:from>
    <xdr:to>
      <xdr:col>12</xdr:col>
      <xdr:colOff>536574</xdr:colOff>
      <xdr:row>123</xdr:row>
      <xdr:rowOff>12699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74C9F5D8-0FC1-EC2E-99B1-7521CDDB4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8"/>
        <a:stretch>
          <a:fillRect/>
        </a:stretch>
      </xdr:blipFill>
      <xdr:spPr>
        <a:xfrm>
          <a:off x="14649449" y="50291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120</xdr:row>
      <xdr:rowOff>419099</xdr:rowOff>
    </xdr:from>
    <xdr:to>
      <xdr:col>12</xdr:col>
      <xdr:colOff>536574</xdr:colOff>
      <xdr:row>124</xdr:row>
      <xdr:rowOff>12699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DE761304-9488-5A51-E863-447F278CD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9"/>
        <a:stretch>
          <a:fillRect/>
        </a:stretch>
      </xdr:blipFill>
      <xdr:spPr>
        <a:xfrm>
          <a:off x="14649449" y="50711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121</xdr:row>
      <xdr:rowOff>419099</xdr:rowOff>
    </xdr:from>
    <xdr:to>
      <xdr:col>12</xdr:col>
      <xdr:colOff>536574</xdr:colOff>
      <xdr:row>125</xdr:row>
      <xdr:rowOff>12699</xdr:rowOff>
    </xdr:to>
    <xdr:pic>
      <xdr:nvPicPr>
        <xdr:cNvPr id="243" name="Imagen 242">
          <a:extLst>
            <a:ext uri="{FF2B5EF4-FFF2-40B4-BE49-F238E27FC236}">
              <a16:creationId xmlns:a16="http://schemas.microsoft.com/office/drawing/2014/main" id="{A1D9E3A4-85D6-7CD1-C353-72CFFAFE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0"/>
        <a:stretch>
          <a:fillRect/>
        </a:stretch>
      </xdr:blipFill>
      <xdr:spPr>
        <a:xfrm>
          <a:off x="14649449" y="51130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122</xdr:row>
      <xdr:rowOff>419099</xdr:rowOff>
    </xdr:from>
    <xdr:to>
      <xdr:col>12</xdr:col>
      <xdr:colOff>536574</xdr:colOff>
      <xdr:row>126</xdr:row>
      <xdr:rowOff>12699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C3F4CDC0-060D-22B5-2FFF-CFE5F190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1"/>
        <a:stretch>
          <a:fillRect/>
        </a:stretch>
      </xdr:blipFill>
      <xdr:spPr>
        <a:xfrm>
          <a:off x="14649449" y="51549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123</xdr:row>
      <xdr:rowOff>419099</xdr:rowOff>
    </xdr:from>
    <xdr:to>
      <xdr:col>12</xdr:col>
      <xdr:colOff>536574</xdr:colOff>
      <xdr:row>127</xdr:row>
      <xdr:rowOff>12699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794C4A7A-A744-2CB0-2F03-EE6EBB2E3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2"/>
        <a:stretch>
          <a:fillRect/>
        </a:stretch>
      </xdr:blipFill>
      <xdr:spPr>
        <a:xfrm>
          <a:off x="14649449" y="51968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124</xdr:row>
      <xdr:rowOff>419099</xdr:rowOff>
    </xdr:from>
    <xdr:to>
      <xdr:col>12</xdr:col>
      <xdr:colOff>536574</xdr:colOff>
      <xdr:row>128</xdr:row>
      <xdr:rowOff>12699</xdr:rowOff>
    </xdr:to>
    <xdr:pic>
      <xdr:nvPicPr>
        <xdr:cNvPr id="249" name="Imagen 248">
          <a:extLst>
            <a:ext uri="{FF2B5EF4-FFF2-40B4-BE49-F238E27FC236}">
              <a16:creationId xmlns:a16="http://schemas.microsoft.com/office/drawing/2014/main" id="{065C00B9-BD41-0432-DB3D-38BFBCDB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3"/>
        <a:stretch>
          <a:fillRect/>
        </a:stretch>
      </xdr:blipFill>
      <xdr:spPr>
        <a:xfrm>
          <a:off x="14649449" y="52387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125</xdr:row>
      <xdr:rowOff>419099</xdr:rowOff>
    </xdr:from>
    <xdr:to>
      <xdr:col>12</xdr:col>
      <xdr:colOff>536574</xdr:colOff>
      <xdr:row>129</xdr:row>
      <xdr:rowOff>12699</xdr:rowOff>
    </xdr:to>
    <xdr:pic>
      <xdr:nvPicPr>
        <xdr:cNvPr id="251" name="Imagen 250">
          <a:extLst>
            <a:ext uri="{FF2B5EF4-FFF2-40B4-BE49-F238E27FC236}">
              <a16:creationId xmlns:a16="http://schemas.microsoft.com/office/drawing/2014/main" id="{8924E137-7BB2-9E9D-1EDD-A24B068E9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4"/>
        <a:stretch>
          <a:fillRect/>
        </a:stretch>
      </xdr:blipFill>
      <xdr:spPr>
        <a:xfrm>
          <a:off x="14649449" y="52806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126</xdr:row>
      <xdr:rowOff>419099</xdr:rowOff>
    </xdr:from>
    <xdr:to>
      <xdr:col>12</xdr:col>
      <xdr:colOff>536574</xdr:colOff>
      <xdr:row>130</xdr:row>
      <xdr:rowOff>12699</xdr:rowOff>
    </xdr:to>
    <xdr:pic>
      <xdr:nvPicPr>
        <xdr:cNvPr id="253" name="Imagen 252">
          <a:extLst>
            <a:ext uri="{FF2B5EF4-FFF2-40B4-BE49-F238E27FC236}">
              <a16:creationId xmlns:a16="http://schemas.microsoft.com/office/drawing/2014/main" id="{11B8082E-448B-863F-08EC-9AF27FCB9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5"/>
        <a:stretch>
          <a:fillRect/>
        </a:stretch>
      </xdr:blipFill>
      <xdr:spPr>
        <a:xfrm>
          <a:off x="14649449" y="53225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127</xdr:row>
      <xdr:rowOff>419099</xdr:rowOff>
    </xdr:from>
    <xdr:to>
      <xdr:col>12</xdr:col>
      <xdr:colOff>536574</xdr:colOff>
      <xdr:row>131</xdr:row>
      <xdr:rowOff>12699</xdr:rowOff>
    </xdr:to>
    <xdr:pic>
      <xdr:nvPicPr>
        <xdr:cNvPr id="255" name="Imagen 254">
          <a:extLst>
            <a:ext uri="{FF2B5EF4-FFF2-40B4-BE49-F238E27FC236}">
              <a16:creationId xmlns:a16="http://schemas.microsoft.com/office/drawing/2014/main" id="{2BE4DA61-7A84-3BB8-1928-A3C3A069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6"/>
        <a:stretch>
          <a:fillRect/>
        </a:stretch>
      </xdr:blipFill>
      <xdr:spPr>
        <a:xfrm>
          <a:off x="14649449" y="53644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128</xdr:row>
      <xdr:rowOff>419099</xdr:rowOff>
    </xdr:from>
    <xdr:to>
      <xdr:col>12</xdr:col>
      <xdr:colOff>536574</xdr:colOff>
      <xdr:row>132</xdr:row>
      <xdr:rowOff>12699</xdr:rowOff>
    </xdr:to>
    <xdr:pic>
      <xdr:nvPicPr>
        <xdr:cNvPr id="257" name="Imagen 256">
          <a:extLst>
            <a:ext uri="{FF2B5EF4-FFF2-40B4-BE49-F238E27FC236}">
              <a16:creationId xmlns:a16="http://schemas.microsoft.com/office/drawing/2014/main" id="{D7921A7E-C22D-B7B2-A031-508E0E921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7"/>
        <a:stretch>
          <a:fillRect/>
        </a:stretch>
      </xdr:blipFill>
      <xdr:spPr>
        <a:xfrm>
          <a:off x="14649449" y="54063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129</xdr:row>
      <xdr:rowOff>419099</xdr:rowOff>
    </xdr:from>
    <xdr:to>
      <xdr:col>12</xdr:col>
      <xdr:colOff>536574</xdr:colOff>
      <xdr:row>133</xdr:row>
      <xdr:rowOff>12699</xdr:rowOff>
    </xdr:to>
    <xdr:pic>
      <xdr:nvPicPr>
        <xdr:cNvPr id="259" name="Imagen 258">
          <a:extLst>
            <a:ext uri="{FF2B5EF4-FFF2-40B4-BE49-F238E27FC236}">
              <a16:creationId xmlns:a16="http://schemas.microsoft.com/office/drawing/2014/main" id="{97DB4F09-0104-DD6C-74E2-6DCDB383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8"/>
        <a:stretch>
          <a:fillRect/>
        </a:stretch>
      </xdr:blipFill>
      <xdr:spPr>
        <a:xfrm>
          <a:off x="14649449" y="54482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130</xdr:row>
      <xdr:rowOff>419099</xdr:rowOff>
    </xdr:from>
    <xdr:to>
      <xdr:col>12</xdr:col>
      <xdr:colOff>536574</xdr:colOff>
      <xdr:row>134</xdr:row>
      <xdr:rowOff>12699</xdr:rowOff>
    </xdr:to>
    <xdr:pic>
      <xdr:nvPicPr>
        <xdr:cNvPr id="261" name="Imagen 260">
          <a:extLst>
            <a:ext uri="{FF2B5EF4-FFF2-40B4-BE49-F238E27FC236}">
              <a16:creationId xmlns:a16="http://schemas.microsoft.com/office/drawing/2014/main" id="{DCB77E7B-F8CA-BAAB-A3B8-2D32051C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9"/>
        <a:stretch>
          <a:fillRect/>
        </a:stretch>
      </xdr:blipFill>
      <xdr:spPr>
        <a:xfrm>
          <a:off x="14649449" y="54902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131</xdr:row>
      <xdr:rowOff>419099</xdr:rowOff>
    </xdr:from>
    <xdr:to>
      <xdr:col>12</xdr:col>
      <xdr:colOff>536574</xdr:colOff>
      <xdr:row>135</xdr:row>
      <xdr:rowOff>12699</xdr:rowOff>
    </xdr:to>
    <xdr:pic>
      <xdr:nvPicPr>
        <xdr:cNvPr id="263" name="Imagen 262">
          <a:extLst>
            <a:ext uri="{FF2B5EF4-FFF2-40B4-BE49-F238E27FC236}">
              <a16:creationId xmlns:a16="http://schemas.microsoft.com/office/drawing/2014/main" id="{BBCE4E53-4426-5C95-2129-D04E67AA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0"/>
        <a:stretch>
          <a:fillRect/>
        </a:stretch>
      </xdr:blipFill>
      <xdr:spPr>
        <a:xfrm>
          <a:off x="14649449" y="55321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132</xdr:row>
      <xdr:rowOff>419099</xdr:rowOff>
    </xdr:from>
    <xdr:to>
      <xdr:col>12</xdr:col>
      <xdr:colOff>536574</xdr:colOff>
      <xdr:row>136</xdr:row>
      <xdr:rowOff>12699</xdr:rowOff>
    </xdr:to>
    <xdr:pic>
      <xdr:nvPicPr>
        <xdr:cNvPr id="265" name="Imagen 264">
          <a:extLst>
            <a:ext uri="{FF2B5EF4-FFF2-40B4-BE49-F238E27FC236}">
              <a16:creationId xmlns:a16="http://schemas.microsoft.com/office/drawing/2014/main" id="{7B2B080D-5D3A-7AB8-E648-DCAB2CA0D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1"/>
        <a:stretch>
          <a:fillRect/>
        </a:stretch>
      </xdr:blipFill>
      <xdr:spPr>
        <a:xfrm>
          <a:off x="14649449" y="55740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133</xdr:row>
      <xdr:rowOff>419099</xdr:rowOff>
    </xdr:from>
    <xdr:to>
      <xdr:col>12</xdr:col>
      <xdr:colOff>536574</xdr:colOff>
      <xdr:row>137</xdr:row>
      <xdr:rowOff>12699</xdr:rowOff>
    </xdr:to>
    <xdr:pic>
      <xdr:nvPicPr>
        <xdr:cNvPr id="267" name="Imagen 266">
          <a:extLst>
            <a:ext uri="{FF2B5EF4-FFF2-40B4-BE49-F238E27FC236}">
              <a16:creationId xmlns:a16="http://schemas.microsoft.com/office/drawing/2014/main" id="{2D2C3B58-EA99-BCAB-053D-DE1006AF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2"/>
        <a:stretch>
          <a:fillRect/>
        </a:stretch>
      </xdr:blipFill>
      <xdr:spPr>
        <a:xfrm>
          <a:off x="14649449" y="56159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134</xdr:row>
      <xdr:rowOff>419099</xdr:rowOff>
    </xdr:from>
    <xdr:to>
      <xdr:col>12</xdr:col>
      <xdr:colOff>536574</xdr:colOff>
      <xdr:row>138</xdr:row>
      <xdr:rowOff>12699</xdr:rowOff>
    </xdr:to>
    <xdr:pic>
      <xdr:nvPicPr>
        <xdr:cNvPr id="269" name="Imagen 268">
          <a:extLst>
            <a:ext uri="{FF2B5EF4-FFF2-40B4-BE49-F238E27FC236}">
              <a16:creationId xmlns:a16="http://schemas.microsoft.com/office/drawing/2014/main" id="{7FA09F28-1711-2B42-4923-CB919E75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3"/>
        <a:stretch>
          <a:fillRect/>
        </a:stretch>
      </xdr:blipFill>
      <xdr:spPr>
        <a:xfrm>
          <a:off x="14649449" y="56578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135</xdr:row>
      <xdr:rowOff>419099</xdr:rowOff>
    </xdr:from>
    <xdr:to>
      <xdr:col>12</xdr:col>
      <xdr:colOff>536574</xdr:colOff>
      <xdr:row>139</xdr:row>
      <xdr:rowOff>12699</xdr:rowOff>
    </xdr:to>
    <xdr:pic>
      <xdr:nvPicPr>
        <xdr:cNvPr id="271" name="Imagen 270">
          <a:extLst>
            <a:ext uri="{FF2B5EF4-FFF2-40B4-BE49-F238E27FC236}">
              <a16:creationId xmlns:a16="http://schemas.microsoft.com/office/drawing/2014/main" id="{54B2ACB4-8881-F1BB-B91F-E5AF51FC3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4"/>
        <a:stretch>
          <a:fillRect/>
        </a:stretch>
      </xdr:blipFill>
      <xdr:spPr>
        <a:xfrm>
          <a:off x="14649449" y="56997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136</xdr:row>
      <xdr:rowOff>419099</xdr:rowOff>
    </xdr:from>
    <xdr:to>
      <xdr:col>12</xdr:col>
      <xdr:colOff>536574</xdr:colOff>
      <xdr:row>140</xdr:row>
      <xdr:rowOff>12699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EAE52DAD-4FFF-84C3-F264-93C159C5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5"/>
        <a:stretch>
          <a:fillRect/>
        </a:stretch>
      </xdr:blipFill>
      <xdr:spPr>
        <a:xfrm>
          <a:off x="14649449" y="57416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137</xdr:row>
      <xdr:rowOff>419099</xdr:rowOff>
    </xdr:from>
    <xdr:to>
      <xdr:col>12</xdr:col>
      <xdr:colOff>536574</xdr:colOff>
      <xdr:row>141</xdr:row>
      <xdr:rowOff>12699</xdr:rowOff>
    </xdr:to>
    <xdr:pic>
      <xdr:nvPicPr>
        <xdr:cNvPr id="275" name="Imagen 274">
          <a:extLst>
            <a:ext uri="{FF2B5EF4-FFF2-40B4-BE49-F238E27FC236}">
              <a16:creationId xmlns:a16="http://schemas.microsoft.com/office/drawing/2014/main" id="{0C348553-7CAD-9E28-F30D-1089FB7EB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6"/>
        <a:stretch>
          <a:fillRect/>
        </a:stretch>
      </xdr:blipFill>
      <xdr:spPr>
        <a:xfrm>
          <a:off x="14649449" y="57835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138</xdr:row>
      <xdr:rowOff>419099</xdr:rowOff>
    </xdr:from>
    <xdr:to>
      <xdr:col>12</xdr:col>
      <xdr:colOff>536574</xdr:colOff>
      <xdr:row>142</xdr:row>
      <xdr:rowOff>12699</xdr:rowOff>
    </xdr:to>
    <xdr:pic>
      <xdr:nvPicPr>
        <xdr:cNvPr id="277" name="Imagen 276">
          <a:extLst>
            <a:ext uri="{FF2B5EF4-FFF2-40B4-BE49-F238E27FC236}">
              <a16:creationId xmlns:a16="http://schemas.microsoft.com/office/drawing/2014/main" id="{4018C2EB-FDDE-1B56-E888-FDCC4227B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7"/>
        <a:stretch>
          <a:fillRect/>
        </a:stretch>
      </xdr:blipFill>
      <xdr:spPr>
        <a:xfrm>
          <a:off x="14649449" y="58254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139</xdr:row>
      <xdr:rowOff>419099</xdr:rowOff>
    </xdr:from>
    <xdr:to>
      <xdr:col>12</xdr:col>
      <xdr:colOff>536574</xdr:colOff>
      <xdr:row>143</xdr:row>
      <xdr:rowOff>12699</xdr:rowOff>
    </xdr:to>
    <xdr:pic>
      <xdr:nvPicPr>
        <xdr:cNvPr id="279" name="Imagen 278">
          <a:extLst>
            <a:ext uri="{FF2B5EF4-FFF2-40B4-BE49-F238E27FC236}">
              <a16:creationId xmlns:a16="http://schemas.microsoft.com/office/drawing/2014/main" id="{05685DA4-CD07-1F3C-83D8-5F2EF0A5D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8"/>
        <a:stretch>
          <a:fillRect/>
        </a:stretch>
      </xdr:blipFill>
      <xdr:spPr>
        <a:xfrm>
          <a:off x="14649449" y="58673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140</xdr:row>
      <xdr:rowOff>419099</xdr:rowOff>
    </xdr:from>
    <xdr:to>
      <xdr:col>12</xdr:col>
      <xdr:colOff>536574</xdr:colOff>
      <xdr:row>144</xdr:row>
      <xdr:rowOff>12699</xdr:rowOff>
    </xdr:to>
    <xdr:pic>
      <xdr:nvPicPr>
        <xdr:cNvPr id="281" name="Imagen 280">
          <a:extLst>
            <a:ext uri="{FF2B5EF4-FFF2-40B4-BE49-F238E27FC236}">
              <a16:creationId xmlns:a16="http://schemas.microsoft.com/office/drawing/2014/main" id="{D4596817-3C2A-0D4D-CE1D-B2DDA4944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9"/>
        <a:stretch>
          <a:fillRect/>
        </a:stretch>
      </xdr:blipFill>
      <xdr:spPr>
        <a:xfrm>
          <a:off x="14649449" y="59093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141</xdr:row>
      <xdr:rowOff>419099</xdr:rowOff>
    </xdr:from>
    <xdr:to>
      <xdr:col>12</xdr:col>
      <xdr:colOff>536574</xdr:colOff>
      <xdr:row>145</xdr:row>
      <xdr:rowOff>12699</xdr:rowOff>
    </xdr:to>
    <xdr:pic>
      <xdr:nvPicPr>
        <xdr:cNvPr id="283" name="Imagen 282">
          <a:extLst>
            <a:ext uri="{FF2B5EF4-FFF2-40B4-BE49-F238E27FC236}">
              <a16:creationId xmlns:a16="http://schemas.microsoft.com/office/drawing/2014/main" id="{B57C8174-2C68-82C0-857E-3BB918FE7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0"/>
        <a:stretch>
          <a:fillRect/>
        </a:stretch>
      </xdr:blipFill>
      <xdr:spPr>
        <a:xfrm>
          <a:off x="14649449" y="59512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142</xdr:row>
      <xdr:rowOff>419099</xdr:rowOff>
    </xdr:from>
    <xdr:to>
      <xdr:col>12</xdr:col>
      <xdr:colOff>536574</xdr:colOff>
      <xdr:row>146</xdr:row>
      <xdr:rowOff>12699</xdr:rowOff>
    </xdr:to>
    <xdr:pic>
      <xdr:nvPicPr>
        <xdr:cNvPr id="285" name="Imagen 284">
          <a:extLst>
            <a:ext uri="{FF2B5EF4-FFF2-40B4-BE49-F238E27FC236}">
              <a16:creationId xmlns:a16="http://schemas.microsoft.com/office/drawing/2014/main" id="{44BA29D0-E856-D6CB-483F-7ED741291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1"/>
        <a:stretch>
          <a:fillRect/>
        </a:stretch>
      </xdr:blipFill>
      <xdr:spPr>
        <a:xfrm>
          <a:off x="14649449" y="59931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143</xdr:row>
      <xdr:rowOff>419099</xdr:rowOff>
    </xdr:from>
    <xdr:to>
      <xdr:col>12</xdr:col>
      <xdr:colOff>536574</xdr:colOff>
      <xdr:row>147</xdr:row>
      <xdr:rowOff>12699</xdr:rowOff>
    </xdr:to>
    <xdr:pic>
      <xdr:nvPicPr>
        <xdr:cNvPr id="287" name="Imagen 286">
          <a:extLst>
            <a:ext uri="{FF2B5EF4-FFF2-40B4-BE49-F238E27FC236}">
              <a16:creationId xmlns:a16="http://schemas.microsoft.com/office/drawing/2014/main" id="{59E05C29-A687-CE70-08E2-166AA03C8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2"/>
        <a:stretch>
          <a:fillRect/>
        </a:stretch>
      </xdr:blipFill>
      <xdr:spPr>
        <a:xfrm>
          <a:off x="14649449" y="60350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144</xdr:row>
      <xdr:rowOff>419099</xdr:rowOff>
    </xdr:from>
    <xdr:to>
      <xdr:col>12</xdr:col>
      <xdr:colOff>536574</xdr:colOff>
      <xdr:row>148</xdr:row>
      <xdr:rowOff>12699</xdr:rowOff>
    </xdr:to>
    <xdr:pic>
      <xdr:nvPicPr>
        <xdr:cNvPr id="289" name="Imagen 288">
          <a:extLst>
            <a:ext uri="{FF2B5EF4-FFF2-40B4-BE49-F238E27FC236}">
              <a16:creationId xmlns:a16="http://schemas.microsoft.com/office/drawing/2014/main" id="{C38292CC-A25E-3B9F-82E8-56ABA216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3"/>
        <a:stretch>
          <a:fillRect/>
        </a:stretch>
      </xdr:blipFill>
      <xdr:spPr>
        <a:xfrm>
          <a:off x="14649449" y="60769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145</xdr:row>
      <xdr:rowOff>419099</xdr:rowOff>
    </xdr:from>
    <xdr:to>
      <xdr:col>12</xdr:col>
      <xdr:colOff>536574</xdr:colOff>
      <xdr:row>149</xdr:row>
      <xdr:rowOff>12699</xdr:rowOff>
    </xdr:to>
    <xdr:pic>
      <xdr:nvPicPr>
        <xdr:cNvPr id="291" name="Imagen 290">
          <a:extLst>
            <a:ext uri="{FF2B5EF4-FFF2-40B4-BE49-F238E27FC236}">
              <a16:creationId xmlns:a16="http://schemas.microsoft.com/office/drawing/2014/main" id="{B50684FC-7BFB-511D-5D08-5F302087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4"/>
        <a:stretch>
          <a:fillRect/>
        </a:stretch>
      </xdr:blipFill>
      <xdr:spPr>
        <a:xfrm>
          <a:off x="14649449" y="61188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146</xdr:row>
      <xdr:rowOff>419099</xdr:rowOff>
    </xdr:from>
    <xdr:to>
      <xdr:col>12</xdr:col>
      <xdr:colOff>536574</xdr:colOff>
      <xdr:row>150</xdr:row>
      <xdr:rowOff>12699</xdr:rowOff>
    </xdr:to>
    <xdr:pic>
      <xdr:nvPicPr>
        <xdr:cNvPr id="293" name="Imagen 292">
          <a:extLst>
            <a:ext uri="{FF2B5EF4-FFF2-40B4-BE49-F238E27FC236}">
              <a16:creationId xmlns:a16="http://schemas.microsoft.com/office/drawing/2014/main" id="{0F2076C7-677F-C024-F297-8C6E0A66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5"/>
        <a:stretch>
          <a:fillRect/>
        </a:stretch>
      </xdr:blipFill>
      <xdr:spPr>
        <a:xfrm>
          <a:off x="14649449" y="61607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147</xdr:row>
      <xdr:rowOff>419099</xdr:rowOff>
    </xdr:from>
    <xdr:to>
      <xdr:col>12</xdr:col>
      <xdr:colOff>536574</xdr:colOff>
      <xdr:row>151</xdr:row>
      <xdr:rowOff>12699</xdr:rowOff>
    </xdr:to>
    <xdr:pic>
      <xdr:nvPicPr>
        <xdr:cNvPr id="295" name="Imagen 294">
          <a:extLst>
            <a:ext uri="{FF2B5EF4-FFF2-40B4-BE49-F238E27FC236}">
              <a16:creationId xmlns:a16="http://schemas.microsoft.com/office/drawing/2014/main" id="{BEBA1FB5-B245-88F4-AF9F-9579A08D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6"/>
        <a:stretch>
          <a:fillRect/>
        </a:stretch>
      </xdr:blipFill>
      <xdr:spPr>
        <a:xfrm>
          <a:off x="14649449" y="62026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148</xdr:row>
      <xdr:rowOff>419099</xdr:rowOff>
    </xdr:from>
    <xdr:to>
      <xdr:col>12</xdr:col>
      <xdr:colOff>536574</xdr:colOff>
      <xdr:row>152</xdr:row>
      <xdr:rowOff>12699</xdr:rowOff>
    </xdr:to>
    <xdr:pic>
      <xdr:nvPicPr>
        <xdr:cNvPr id="297" name="Imagen 296">
          <a:extLst>
            <a:ext uri="{FF2B5EF4-FFF2-40B4-BE49-F238E27FC236}">
              <a16:creationId xmlns:a16="http://schemas.microsoft.com/office/drawing/2014/main" id="{A5C9E656-3709-C8E4-46EB-5F13FC66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7"/>
        <a:stretch>
          <a:fillRect/>
        </a:stretch>
      </xdr:blipFill>
      <xdr:spPr>
        <a:xfrm>
          <a:off x="14649449" y="62445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149</xdr:row>
      <xdr:rowOff>419099</xdr:rowOff>
    </xdr:from>
    <xdr:to>
      <xdr:col>12</xdr:col>
      <xdr:colOff>536574</xdr:colOff>
      <xdr:row>153</xdr:row>
      <xdr:rowOff>12699</xdr:rowOff>
    </xdr:to>
    <xdr:pic>
      <xdr:nvPicPr>
        <xdr:cNvPr id="299" name="Imagen 298">
          <a:extLst>
            <a:ext uri="{FF2B5EF4-FFF2-40B4-BE49-F238E27FC236}">
              <a16:creationId xmlns:a16="http://schemas.microsoft.com/office/drawing/2014/main" id="{55839A06-91E4-484B-F0B5-A13D0E34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6"/>
        <a:stretch>
          <a:fillRect/>
        </a:stretch>
      </xdr:blipFill>
      <xdr:spPr>
        <a:xfrm>
          <a:off x="14649449" y="62864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150</xdr:row>
      <xdr:rowOff>419099</xdr:rowOff>
    </xdr:from>
    <xdr:to>
      <xdr:col>12</xdr:col>
      <xdr:colOff>536574</xdr:colOff>
      <xdr:row>154</xdr:row>
      <xdr:rowOff>12699</xdr:rowOff>
    </xdr:to>
    <xdr:pic>
      <xdr:nvPicPr>
        <xdr:cNvPr id="301" name="Imagen 300">
          <a:extLst>
            <a:ext uri="{FF2B5EF4-FFF2-40B4-BE49-F238E27FC236}">
              <a16:creationId xmlns:a16="http://schemas.microsoft.com/office/drawing/2014/main" id="{4232D602-C51D-EA72-7F0C-33E7E719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8"/>
        <a:stretch>
          <a:fillRect/>
        </a:stretch>
      </xdr:blipFill>
      <xdr:spPr>
        <a:xfrm>
          <a:off x="14649449" y="63284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151</xdr:row>
      <xdr:rowOff>419099</xdr:rowOff>
    </xdr:from>
    <xdr:to>
      <xdr:col>12</xdr:col>
      <xdr:colOff>536574</xdr:colOff>
      <xdr:row>155</xdr:row>
      <xdr:rowOff>12699</xdr:rowOff>
    </xdr:to>
    <xdr:pic>
      <xdr:nvPicPr>
        <xdr:cNvPr id="303" name="Imagen 302">
          <a:extLst>
            <a:ext uri="{FF2B5EF4-FFF2-40B4-BE49-F238E27FC236}">
              <a16:creationId xmlns:a16="http://schemas.microsoft.com/office/drawing/2014/main" id="{DE5AAC62-81D8-D535-A1CD-4D9208576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9"/>
        <a:stretch>
          <a:fillRect/>
        </a:stretch>
      </xdr:blipFill>
      <xdr:spPr>
        <a:xfrm>
          <a:off x="14649449" y="63703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152</xdr:row>
      <xdr:rowOff>419099</xdr:rowOff>
    </xdr:from>
    <xdr:to>
      <xdr:col>12</xdr:col>
      <xdr:colOff>536574</xdr:colOff>
      <xdr:row>156</xdr:row>
      <xdr:rowOff>12699</xdr:rowOff>
    </xdr:to>
    <xdr:pic>
      <xdr:nvPicPr>
        <xdr:cNvPr id="305" name="Imagen 304">
          <a:extLst>
            <a:ext uri="{FF2B5EF4-FFF2-40B4-BE49-F238E27FC236}">
              <a16:creationId xmlns:a16="http://schemas.microsoft.com/office/drawing/2014/main" id="{65C5CBDE-B233-41C5-2A00-DEE1EE72A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0"/>
        <a:stretch>
          <a:fillRect/>
        </a:stretch>
      </xdr:blipFill>
      <xdr:spPr>
        <a:xfrm>
          <a:off x="14649449" y="64122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153</xdr:row>
      <xdr:rowOff>419099</xdr:rowOff>
    </xdr:from>
    <xdr:to>
      <xdr:col>12</xdr:col>
      <xdr:colOff>536574</xdr:colOff>
      <xdr:row>157</xdr:row>
      <xdr:rowOff>12699</xdr:rowOff>
    </xdr:to>
    <xdr:pic>
      <xdr:nvPicPr>
        <xdr:cNvPr id="307" name="Imagen 306">
          <a:extLst>
            <a:ext uri="{FF2B5EF4-FFF2-40B4-BE49-F238E27FC236}">
              <a16:creationId xmlns:a16="http://schemas.microsoft.com/office/drawing/2014/main" id="{70A5024C-FE2B-78BC-AF82-862EE40DF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1"/>
        <a:stretch>
          <a:fillRect/>
        </a:stretch>
      </xdr:blipFill>
      <xdr:spPr>
        <a:xfrm>
          <a:off x="14649449" y="64541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154</xdr:row>
      <xdr:rowOff>419099</xdr:rowOff>
    </xdr:from>
    <xdr:to>
      <xdr:col>12</xdr:col>
      <xdr:colOff>536574</xdr:colOff>
      <xdr:row>158</xdr:row>
      <xdr:rowOff>12699</xdr:rowOff>
    </xdr:to>
    <xdr:pic>
      <xdr:nvPicPr>
        <xdr:cNvPr id="309" name="Imagen 308">
          <a:extLst>
            <a:ext uri="{FF2B5EF4-FFF2-40B4-BE49-F238E27FC236}">
              <a16:creationId xmlns:a16="http://schemas.microsoft.com/office/drawing/2014/main" id="{6C217003-F089-3DC6-CE68-09A99FDF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2"/>
        <a:stretch>
          <a:fillRect/>
        </a:stretch>
      </xdr:blipFill>
      <xdr:spPr>
        <a:xfrm>
          <a:off x="14649449" y="64960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155</xdr:row>
      <xdr:rowOff>419099</xdr:rowOff>
    </xdr:from>
    <xdr:to>
      <xdr:col>12</xdr:col>
      <xdr:colOff>536574</xdr:colOff>
      <xdr:row>159</xdr:row>
      <xdr:rowOff>12699</xdr:rowOff>
    </xdr:to>
    <xdr:pic>
      <xdr:nvPicPr>
        <xdr:cNvPr id="311" name="Imagen 310">
          <a:extLst>
            <a:ext uri="{FF2B5EF4-FFF2-40B4-BE49-F238E27FC236}">
              <a16:creationId xmlns:a16="http://schemas.microsoft.com/office/drawing/2014/main" id="{5547C462-5E3B-3BC7-E4AA-CC7368F7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3"/>
        <a:stretch>
          <a:fillRect/>
        </a:stretch>
      </xdr:blipFill>
      <xdr:spPr>
        <a:xfrm>
          <a:off x="14649449" y="65379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156</xdr:row>
      <xdr:rowOff>419099</xdr:rowOff>
    </xdr:from>
    <xdr:to>
      <xdr:col>12</xdr:col>
      <xdr:colOff>536574</xdr:colOff>
      <xdr:row>160</xdr:row>
      <xdr:rowOff>12699</xdr:rowOff>
    </xdr:to>
    <xdr:pic>
      <xdr:nvPicPr>
        <xdr:cNvPr id="313" name="Imagen 312">
          <a:extLst>
            <a:ext uri="{FF2B5EF4-FFF2-40B4-BE49-F238E27FC236}">
              <a16:creationId xmlns:a16="http://schemas.microsoft.com/office/drawing/2014/main" id="{3AB1392E-9C59-7188-3F1F-33E4499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4"/>
        <a:stretch>
          <a:fillRect/>
        </a:stretch>
      </xdr:blipFill>
      <xdr:spPr>
        <a:xfrm>
          <a:off x="14649449" y="65798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157</xdr:row>
      <xdr:rowOff>419099</xdr:rowOff>
    </xdr:from>
    <xdr:to>
      <xdr:col>12</xdr:col>
      <xdr:colOff>536574</xdr:colOff>
      <xdr:row>161</xdr:row>
      <xdr:rowOff>12699</xdr:rowOff>
    </xdr:to>
    <xdr:pic>
      <xdr:nvPicPr>
        <xdr:cNvPr id="315" name="Imagen 314">
          <a:extLst>
            <a:ext uri="{FF2B5EF4-FFF2-40B4-BE49-F238E27FC236}">
              <a16:creationId xmlns:a16="http://schemas.microsoft.com/office/drawing/2014/main" id="{BD6033E3-A9D1-75B7-F09A-95F337F7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5"/>
        <a:stretch>
          <a:fillRect/>
        </a:stretch>
      </xdr:blipFill>
      <xdr:spPr>
        <a:xfrm>
          <a:off x="14649449" y="66217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158</xdr:row>
      <xdr:rowOff>419099</xdr:rowOff>
    </xdr:from>
    <xdr:to>
      <xdr:col>12</xdr:col>
      <xdr:colOff>536574</xdr:colOff>
      <xdr:row>162</xdr:row>
      <xdr:rowOff>12699</xdr:rowOff>
    </xdr:to>
    <xdr:pic>
      <xdr:nvPicPr>
        <xdr:cNvPr id="317" name="Imagen 316">
          <a:extLst>
            <a:ext uri="{FF2B5EF4-FFF2-40B4-BE49-F238E27FC236}">
              <a16:creationId xmlns:a16="http://schemas.microsoft.com/office/drawing/2014/main" id="{34967C79-2954-FF9F-688C-02047EBC8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6"/>
        <a:stretch>
          <a:fillRect/>
        </a:stretch>
      </xdr:blipFill>
      <xdr:spPr>
        <a:xfrm>
          <a:off x="14649449" y="66636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159</xdr:row>
      <xdr:rowOff>419099</xdr:rowOff>
    </xdr:from>
    <xdr:to>
      <xdr:col>12</xdr:col>
      <xdr:colOff>536574</xdr:colOff>
      <xdr:row>163</xdr:row>
      <xdr:rowOff>12699</xdr:rowOff>
    </xdr:to>
    <xdr:pic>
      <xdr:nvPicPr>
        <xdr:cNvPr id="319" name="Imagen 318">
          <a:extLst>
            <a:ext uri="{FF2B5EF4-FFF2-40B4-BE49-F238E27FC236}">
              <a16:creationId xmlns:a16="http://schemas.microsoft.com/office/drawing/2014/main" id="{CDD862C2-4DA1-C20F-90EF-39C9DC3F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7"/>
        <a:stretch>
          <a:fillRect/>
        </a:stretch>
      </xdr:blipFill>
      <xdr:spPr>
        <a:xfrm>
          <a:off x="14649449" y="67055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160</xdr:row>
      <xdr:rowOff>419099</xdr:rowOff>
    </xdr:from>
    <xdr:to>
      <xdr:col>12</xdr:col>
      <xdr:colOff>536574</xdr:colOff>
      <xdr:row>164</xdr:row>
      <xdr:rowOff>12699</xdr:rowOff>
    </xdr:to>
    <xdr:pic>
      <xdr:nvPicPr>
        <xdr:cNvPr id="321" name="Imagen 320">
          <a:extLst>
            <a:ext uri="{FF2B5EF4-FFF2-40B4-BE49-F238E27FC236}">
              <a16:creationId xmlns:a16="http://schemas.microsoft.com/office/drawing/2014/main" id="{C67E77D1-E9BB-6BCF-646D-68331DA6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8"/>
        <a:stretch>
          <a:fillRect/>
        </a:stretch>
      </xdr:blipFill>
      <xdr:spPr>
        <a:xfrm>
          <a:off x="14649449" y="67475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161</xdr:row>
      <xdr:rowOff>419099</xdr:rowOff>
    </xdr:from>
    <xdr:to>
      <xdr:col>12</xdr:col>
      <xdr:colOff>536574</xdr:colOff>
      <xdr:row>165</xdr:row>
      <xdr:rowOff>12699</xdr:rowOff>
    </xdr:to>
    <xdr:pic>
      <xdr:nvPicPr>
        <xdr:cNvPr id="323" name="Imagen 322">
          <a:extLst>
            <a:ext uri="{FF2B5EF4-FFF2-40B4-BE49-F238E27FC236}">
              <a16:creationId xmlns:a16="http://schemas.microsoft.com/office/drawing/2014/main" id="{503270F9-28D2-72B0-5B44-6B1EDFA5A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9"/>
        <a:stretch>
          <a:fillRect/>
        </a:stretch>
      </xdr:blipFill>
      <xdr:spPr>
        <a:xfrm>
          <a:off x="14649449" y="67894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162</xdr:row>
      <xdr:rowOff>419099</xdr:rowOff>
    </xdr:from>
    <xdr:to>
      <xdr:col>12</xdr:col>
      <xdr:colOff>536574</xdr:colOff>
      <xdr:row>166</xdr:row>
      <xdr:rowOff>12699</xdr:rowOff>
    </xdr:to>
    <xdr:pic>
      <xdr:nvPicPr>
        <xdr:cNvPr id="325" name="Imagen 324">
          <a:extLst>
            <a:ext uri="{FF2B5EF4-FFF2-40B4-BE49-F238E27FC236}">
              <a16:creationId xmlns:a16="http://schemas.microsoft.com/office/drawing/2014/main" id="{3AFD25A8-CBAD-5D92-48FD-8CBF0BC4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0"/>
        <a:stretch>
          <a:fillRect/>
        </a:stretch>
      </xdr:blipFill>
      <xdr:spPr>
        <a:xfrm>
          <a:off x="14649449" y="68313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163</xdr:row>
      <xdr:rowOff>419099</xdr:rowOff>
    </xdr:from>
    <xdr:to>
      <xdr:col>12</xdr:col>
      <xdr:colOff>536574</xdr:colOff>
      <xdr:row>167</xdr:row>
      <xdr:rowOff>12699</xdr:rowOff>
    </xdr:to>
    <xdr:pic>
      <xdr:nvPicPr>
        <xdr:cNvPr id="327" name="Imagen 326">
          <a:extLst>
            <a:ext uri="{FF2B5EF4-FFF2-40B4-BE49-F238E27FC236}">
              <a16:creationId xmlns:a16="http://schemas.microsoft.com/office/drawing/2014/main" id="{BD0DD8D3-0C61-3F69-C648-66321A8D5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1"/>
        <a:stretch>
          <a:fillRect/>
        </a:stretch>
      </xdr:blipFill>
      <xdr:spPr>
        <a:xfrm>
          <a:off x="14649449" y="68732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164</xdr:row>
      <xdr:rowOff>419099</xdr:rowOff>
    </xdr:from>
    <xdr:to>
      <xdr:col>12</xdr:col>
      <xdr:colOff>536574</xdr:colOff>
      <xdr:row>168</xdr:row>
      <xdr:rowOff>12699</xdr:rowOff>
    </xdr:to>
    <xdr:pic>
      <xdr:nvPicPr>
        <xdr:cNvPr id="329" name="Imagen 328">
          <a:extLst>
            <a:ext uri="{FF2B5EF4-FFF2-40B4-BE49-F238E27FC236}">
              <a16:creationId xmlns:a16="http://schemas.microsoft.com/office/drawing/2014/main" id="{D7E0BDAB-B455-39EE-AA18-FE399415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2"/>
        <a:stretch>
          <a:fillRect/>
        </a:stretch>
      </xdr:blipFill>
      <xdr:spPr>
        <a:xfrm>
          <a:off x="14649449" y="69151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165</xdr:row>
      <xdr:rowOff>419099</xdr:rowOff>
    </xdr:from>
    <xdr:to>
      <xdr:col>12</xdr:col>
      <xdr:colOff>536574</xdr:colOff>
      <xdr:row>169</xdr:row>
      <xdr:rowOff>12699</xdr:rowOff>
    </xdr:to>
    <xdr:pic>
      <xdr:nvPicPr>
        <xdr:cNvPr id="331" name="Imagen 330">
          <a:extLst>
            <a:ext uri="{FF2B5EF4-FFF2-40B4-BE49-F238E27FC236}">
              <a16:creationId xmlns:a16="http://schemas.microsoft.com/office/drawing/2014/main" id="{A298B147-9AA1-BB8C-702F-A208510F2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3"/>
        <a:stretch>
          <a:fillRect/>
        </a:stretch>
      </xdr:blipFill>
      <xdr:spPr>
        <a:xfrm>
          <a:off x="14649449" y="69570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166</xdr:row>
      <xdr:rowOff>419099</xdr:rowOff>
    </xdr:from>
    <xdr:to>
      <xdr:col>12</xdr:col>
      <xdr:colOff>536574</xdr:colOff>
      <xdr:row>170</xdr:row>
      <xdr:rowOff>12699</xdr:rowOff>
    </xdr:to>
    <xdr:pic>
      <xdr:nvPicPr>
        <xdr:cNvPr id="333" name="Imagen 332">
          <a:extLst>
            <a:ext uri="{FF2B5EF4-FFF2-40B4-BE49-F238E27FC236}">
              <a16:creationId xmlns:a16="http://schemas.microsoft.com/office/drawing/2014/main" id="{32EDD77E-51DC-5BDE-CFD4-06EB2C0E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4"/>
        <a:stretch>
          <a:fillRect/>
        </a:stretch>
      </xdr:blipFill>
      <xdr:spPr>
        <a:xfrm>
          <a:off x="14649449" y="69989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167</xdr:row>
      <xdr:rowOff>419099</xdr:rowOff>
    </xdr:from>
    <xdr:to>
      <xdr:col>12</xdr:col>
      <xdr:colOff>536574</xdr:colOff>
      <xdr:row>171</xdr:row>
      <xdr:rowOff>12699</xdr:rowOff>
    </xdr:to>
    <xdr:pic>
      <xdr:nvPicPr>
        <xdr:cNvPr id="335" name="Imagen 334">
          <a:extLst>
            <a:ext uri="{FF2B5EF4-FFF2-40B4-BE49-F238E27FC236}">
              <a16:creationId xmlns:a16="http://schemas.microsoft.com/office/drawing/2014/main" id="{D6DC2369-1586-289A-6D3E-5BFFA3471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5"/>
        <a:stretch>
          <a:fillRect/>
        </a:stretch>
      </xdr:blipFill>
      <xdr:spPr>
        <a:xfrm>
          <a:off x="14649449" y="70408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168</xdr:row>
      <xdr:rowOff>419099</xdr:rowOff>
    </xdr:from>
    <xdr:to>
      <xdr:col>12</xdr:col>
      <xdr:colOff>536574</xdr:colOff>
      <xdr:row>172</xdr:row>
      <xdr:rowOff>12699</xdr:rowOff>
    </xdr:to>
    <xdr:pic>
      <xdr:nvPicPr>
        <xdr:cNvPr id="337" name="Imagen 336">
          <a:extLst>
            <a:ext uri="{FF2B5EF4-FFF2-40B4-BE49-F238E27FC236}">
              <a16:creationId xmlns:a16="http://schemas.microsoft.com/office/drawing/2014/main" id="{238273E0-FD71-6249-13A0-9CAB7B66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6"/>
        <a:stretch>
          <a:fillRect/>
        </a:stretch>
      </xdr:blipFill>
      <xdr:spPr>
        <a:xfrm>
          <a:off x="14649449" y="70827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169</xdr:row>
      <xdr:rowOff>419099</xdr:rowOff>
    </xdr:from>
    <xdr:to>
      <xdr:col>12</xdr:col>
      <xdr:colOff>536574</xdr:colOff>
      <xdr:row>173</xdr:row>
      <xdr:rowOff>12699</xdr:rowOff>
    </xdr:to>
    <xdr:pic>
      <xdr:nvPicPr>
        <xdr:cNvPr id="339" name="Imagen 338">
          <a:extLst>
            <a:ext uri="{FF2B5EF4-FFF2-40B4-BE49-F238E27FC236}">
              <a16:creationId xmlns:a16="http://schemas.microsoft.com/office/drawing/2014/main" id="{3BA8AC60-8142-4367-E130-E943E8EED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7"/>
        <a:stretch>
          <a:fillRect/>
        </a:stretch>
      </xdr:blipFill>
      <xdr:spPr>
        <a:xfrm>
          <a:off x="14649449" y="71246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170</xdr:row>
      <xdr:rowOff>419099</xdr:rowOff>
    </xdr:from>
    <xdr:to>
      <xdr:col>12</xdr:col>
      <xdr:colOff>536574</xdr:colOff>
      <xdr:row>174</xdr:row>
      <xdr:rowOff>12699</xdr:rowOff>
    </xdr:to>
    <xdr:pic>
      <xdr:nvPicPr>
        <xdr:cNvPr id="341" name="Imagen 340">
          <a:extLst>
            <a:ext uri="{FF2B5EF4-FFF2-40B4-BE49-F238E27FC236}">
              <a16:creationId xmlns:a16="http://schemas.microsoft.com/office/drawing/2014/main" id="{706143AD-044F-E8AC-79DA-A9D19F025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8"/>
        <a:stretch>
          <a:fillRect/>
        </a:stretch>
      </xdr:blipFill>
      <xdr:spPr>
        <a:xfrm>
          <a:off x="14649449" y="71666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171</xdr:row>
      <xdr:rowOff>419099</xdr:rowOff>
    </xdr:from>
    <xdr:to>
      <xdr:col>12</xdr:col>
      <xdr:colOff>536574</xdr:colOff>
      <xdr:row>175</xdr:row>
      <xdr:rowOff>12699</xdr:rowOff>
    </xdr:to>
    <xdr:pic>
      <xdr:nvPicPr>
        <xdr:cNvPr id="343" name="Imagen 342">
          <a:extLst>
            <a:ext uri="{FF2B5EF4-FFF2-40B4-BE49-F238E27FC236}">
              <a16:creationId xmlns:a16="http://schemas.microsoft.com/office/drawing/2014/main" id="{977A23D0-7127-B4D3-92D8-0ED2EF88B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9"/>
        <a:stretch>
          <a:fillRect/>
        </a:stretch>
      </xdr:blipFill>
      <xdr:spPr>
        <a:xfrm>
          <a:off x="14649449" y="72085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172</xdr:row>
      <xdr:rowOff>419099</xdr:rowOff>
    </xdr:from>
    <xdr:to>
      <xdr:col>12</xdr:col>
      <xdr:colOff>536574</xdr:colOff>
      <xdr:row>176</xdr:row>
      <xdr:rowOff>12699</xdr:rowOff>
    </xdr:to>
    <xdr:pic>
      <xdr:nvPicPr>
        <xdr:cNvPr id="345" name="Imagen 344">
          <a:extLst>
            <a:ext uri="{FF2B5EF4-FFF2-40B4-BE49-F238E27FC236}">
              <a16:creationId xmlns:a16="http://schemas.microsoft.com/office/drawing/2014/main" id="{34357DD2-B178-2C77-1487-7D1318988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0"/>
        <a:stretch>
          <a:fillRect/>
        </a:stretch>
      </xdr:blipFill>
      <xdr:spPr>
        <a:xfrm>
          <a:off x="14649449" y="72504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173</xdr:row>
      <xdr:rowOff>419099</xdr:rowOff>
    </xdr:from>
    <xdr:to>
      <xdr:col>12</xdr:col>
      <xdr:colOff>536574</xdr:colOff>
      <xdr:row>177</xdr:row>
      <xdr:rowOff>12699</xdr:rowOff>
    </xdr:to>
    <xdr:pic>
      <xdr:nvPicPr>
        <xdr:cNvPr id="347" name="Imagen 346">
          <a:extLst>
            <a:ext uri="{FF2B5EF4-FFF2-40B4-BE49-F238E27FC236}">
              <a16:creationId xmlns:a16="http://schemas.microsoft.com/office/drawing/2014/main" id="{5B389340-D3F8-E63B-08E2-A9C4CDE19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1"/>
        <a:stretch>
          <a:fillRect/>
        </a:stretch>
      </xdr:blipFill>
      <xdr:spPr>
        <a:xfrm>
          <a:off x="14649449" y="72923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174</xdr:row>
      <xdr:rowOff>419099</xdr:rowOff>
    </xdr:from>
    <xdr:to>
      <xdr:col>12</xdr:col>
      <xdr:colOff>536574</xdr:colOff>
      <xdr:row>178</xdr:row>
      <xdr:rowOff>12699</xdr:rowOff>
    </xdr:to>
    <xdr:pic>
      <xdr:nvPicPr>
        <xdr:cNvPr id="349" name="Imagen 348">
          <a:extLst>
            <a:ext uri="{FF2B5EF4-FFF2-40B4-BE49-F238E27FC236}">
              <a16:creationId xmlns:a16="http://schemas.microsoft.com/office/drawing/2014/main" id="{20DBD5CD-C5FC-3CB9-FE2D-AAD1D80B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2"/>
        <a:stretch>
          <a:fillRect/>
        </a:stretch>
      </xdr:blipFill>
      <xdr:spPr>
        <a:xfrm>
          <a:off x="14649449" y="73342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175</xdr:row>
      <xdr:rowOff>419099</xdr:rowOff>
    </xdr:from>
    <xdr:to>
      <xdr:col>12</xdr:col>
      <xdr:colOff>536574</xdr:colOff>
      <xdr:row>179</xdr:row>
      <xdr:rowOff>12699</xdr:rowOff>
    </xdr:to>
    <xdr:pic>
      <xdr:nvPicPr>
        <xdr:cNvPr id="351" name="Imagen 350">
          <a:extLst>
            <a:ext uri="{FF2B5EF4-FFF2-40B4-BE49-F238E27FC236}">
              <a16:creationId xmlns:a16="http://schemas.microsoft.com/office/drawing/2014/main" id="{A2DD638E-5CB8-ADEA-7E6F-E0748013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3"/>
        <a:stretch>
          <a:fillRect/>
        </a:stretch>
      </xdr:blipFill>
      <xdr:spPr>
        <a:xfrm>
          <a:off x="14649449" y="73761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176</xdr:row>
      <xdr:rowOff>419099</xdr:rowOff>
    </xdr:from>
    <xdr:to>
      <xdr:col>12</xdr:col>
      <xdr:colOff>536574</xdr:colOff>
      <xdr:row>180</xdr:row>
      <xdr:rowOff>12699</xdr:rowOff>
    </xdr:to>
    <xdr:pic>
      <xdr:nvPicPr>
        <xdr:cNvPr id="353" name="Imagen 352">
          <a:extLst>
            <a:ext uri="{FF2B5EF4-FFF2-40B4-BE49-F238E27FC236}">
              <a16:creationId xmlns:a16="http://schemas.microsoft.com/office/drawing/2014/main" id="{6E63A1B8-030F-1784-1C44-2AC6E9E5C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4"/>
        <a:stretch>
          <a:fillRect/>
        </a:stretch>
      </xdr:blipFill>
      <xdr:spPr>
        <a:xfrm>
          <a:off x="14649449" y="74180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177</xdr:row>
      <xdr:rowOff>419099</xdr:rowOff>
    </xdr:from>
    <xdr:to>
      <xdr:col>12</xdr:col>
      <xdr:colOff>536574</xdr:colOff>
      <xdr:row>181</xdr:row>
      <xdr:rowOff>12699</xdr:rowOff>
    </xdr:to>
    <xdr:pic>
      <xdr:nvPicPr>
        <xdr:cNvPr id="355" name="Imagen 354">
          <a:extLst>
            <a:ext uri="{FF2B5EF4-FFF2-40B4-BE49-F238E27FC236}">
              <a16:creationId xmlns:a16="http://schemas.microsoft.com/office/drawing/2014/main" id="{62B77DFA-8C8F-A07B-44F2-82C5166B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5"/>
        <a:stretch>
          <a:fillRect/>
        </a:stretch>
      </xdr:blipFill>
      <xdr:spPr>
        <a:xfrm>
          <a:off x="14649449" y="74599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178</xdr:row>
      <xdr:rowOff>419099</xdr:rowOff>
    </xdr:from>
    <xdr:to>
      <xdr:col>12</xdr:col>
      <xdr:colOff>536574</xdr:colOff>
      <xdr:row>182</xdr:row>
      <xdr:rowOff>12699</xdr:rowOff>
    </xdr:to>
    <xdr:pic>
      <xdr:nvPicPr>
        <xdr:cNvPr id="357" name="Imagen 356">
          <a:extLst>
            <a:ext uri="{FF2B5EF4-FFF2-40B4-BE49-F238E27FC236}">
              <a16:creationId xmlns:a16="http://schemas.microsoft.com/office/drawing/2014/main" id="{54A95AE6-3D47-F57D-5B49-962D34F8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6"/>
        <a:stretch>
          <a:fillRect/>
        </a:stretch>
      </xdr:blipFill>
      <xdr:spPr>
        <a:xfrm>
          <a:off x="14649449" y="75018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179</xdr:row>
      <xdr:rowOff>419099</xdr:rowOff>
    </xdr:from>
    <xdr:to>
      <xdr:col>12</xdr:col>
      <xdr:colOff>536574</xdr:colOff>
      <xdr:row>183</xdr:row>
      <xdr:rowOff>12699</xdr:rowOff>
    </xdr:to>
    <xdr:pic>
      <xdr:nvPicPr>
        <xdr:cNvPr id="359" name="Imagen 358">
          <a:extLst>
            <a:ext uri="{FF2B5EF4-FFF2-40B4-BE49-F238E27FC236}">
              <a16:creationId xmlns:a16="http://schemas.microsoft.com/office/drawing/2014/main" id="{847FF9C8-79DC-D768-7C11-2EC833FC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7"/>
        <a:stretch>
          <a:fillRect/>
        </a:stretch>
      </xdr:blipFill>
      <xdr:spPr>
        <a:xfrm>
          <a:off x="14649449" y="75437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180</xdr:row>
      <xdr:rowOff>419099</xdr:rowOff>
    </xdr:from>
    <xdr:to>
      <xdr:col>12</xdr:col>
      <xdr:colOff>536574</xdr:colOff>
      <xdr:row>184</xdr:row>
      <xdr:rowOff>12699</xdr:rowOff>
    </xdr:to>
    <xdr:pic>
      <xdr:nvPicPr>
        <xdr:cNvPr id="361" name="Imagen 360">
          <a:extLst>
            <a:ext uri="{FF2B5EF4-FFF2-40B4-BE49-F238E27FC236}">
              <a16:creationId xmlns:a16="http://schemas.microsoft.com/office/drawing/2014/main" id="{FC4419C1-AB30-3FFA-339F-C78EB7C6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8"/>
        <a:stretch>
          <a:fillRect/>
        </a:stretch>
      </xdr:blipFill>
      <xdr:spPr>
        <a:xfrm>
          <a:off x="14649449" y="75857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181</xdr:row>
      <xdr:rowOff>419099</xdr:rowOff>
    </xdr:from>
    <xdr:to>
      <xdr:col>12</xdr:col>
      <xdr:colOff>536574</xdr:colOff>
      <xdr:row>185</xdr:row>
      <xdr:rowOff>12699</xdr:rowOff>
    </xdr:to>
    <xdr:pic>
      <xdr:nvPicPr>
        <xdr:cNvPr id="363" name="Imagen 362">
          <a:extLst>
            <a:ext uri="{FF2B5EF4-FFF2-40B4-BE49-F238E27FC236}">
              <a16:creationId xmlns:a16="http://schemas.microsoft.com/office/drawing/2014/main" id="{F7E42BF7-8F0B-3054-44DA-77EF6B86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9"/>
        <a:stretch>
          <a:fillRect/>
        </a:stretch>
      </xdr:blipFill>
      <xdr:spPr>
        <a:xfrm>
          <a:off x="14649449" y="76276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182</xdr:row>
      <xdr:rowOff>419099</xdr:rowOff>
    </xdr:from>
    <xdr:to>
      <xdr:col>12</xdr:col>
      <xdr:colOff>536574</xdr:colOff>
      <xdr:row>186</xdr:row>
      <xdr:rowOff>12699</xdr:rowOff>
    </xdr:to>
    <xdr:pic>
      <xdr:nvPicPr>
        <xdr:cNvPr id="365" name="Imagen 364">
          <a:extLst>
            <a:ext uri="{FF2B5EF4-FFF2-40B4-BE49-F238E27FC236}">
              <a16:creationId xmlns:a16="http://schemas.microsoft.com/office/drawing/2014/main" id="{02F4DB4D-4FCA-74F7-7D45-8E9179C1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0"/>
        <a:stretch>
          <a:fillRect/>
        </a:stretch>
      </xdr:blipFill>
      <xdr:spPr>
        <a:xfrm>
          <a:off x="14649449" y="76695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183</xdr:row>
      <xdr:rowOff>419099</xdr:rowOff>
    </xdr:from>
    <xdr:to>
      <xdr:col>12</xdr:col>
      <xdr:colOff>536574</xdr:colOff>
      <xdr:row>187</xdr:row>
      <xdr:rowOff>12699</xdr:rowOff>
    </xdr:to>
    <xdr:pic>
      <xdr:nvPicPr>
        <xdr:cNvPr id="367" name="Imagen 366">
          <a:extLst>
            <a:ext uri="{FF2B5EF4-FFF2-40B4-BE49-F238E27FC236}">
              <a16:creationId xmlns:a16="http://schemas.microsoft.com/office/drawing/2014/main" id="{51DA2DBF-3CED-5CDC-D2F2-8246EE1C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1"/>
        <a:stretch>
          <a:fillRect/>
        </a:stretch>
      </xdr:blipFill>
      <xdr:spPr>
        <a:xfrm>
          <a:off x="14649449" y="77114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184</xdr:row>
      <xdr:rowOff>419099</xdr:rowOff>
    </xdr:from>
    <xdr:to>
      <xdr:col>12</xdr:col>
      <xdr:colOff>536574</xdr:colOff>
      <xdr:row>188</xdr:row>
      <xdr:rowOff>12699</xdr:rowOff>
    </xdr:to>
    <xdr:pic>
      <xdr:nvPicPr>
        <xdr:cNvPr id="369" name="Imagen 368">
          <a:extLst>
            <a:ext uri="{FF2B5EF4-FFF2-40B4-BE49-F238E27FC236}">
              <a16:creationId xmlns:a16="http://schemas.microsoft.com/office/drawing/2014/main" id="{5AE5DB7B-0AC0-6886-E433-1D61B4B4D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2"/>
        <a:stretch>
          <a:fillRect/>
        </a:stretch>
      </xdr:blipFill>
      <xdr:spPr>
        <a:xfrm>
          <a:off x="14649449" y="77533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185</xdr:row>
      <xdr:rowOff>419099</xdr:rowOff>
    </xdr:from>
    <xdr:to>
      <xdr:col>12</xdr:col>
      <xdr:colOff>536574</xdr:colOff>
      <xdr:row>189</xdr:row>
      <xdr:rowOff>12699</xdr:rowOff>
    </xdr:to>
    <xdr:pic>
      <xdr:nvPicPr>
        <xdr:cNvPr id="371" name="Imagen 370">
          <a:extLst>
            <a:ext uri="{FF2B5EF4-FFF2-40B4-BE49-F238E27FC236}">
              <a16:creationId xmlns:a16="http://schemas.microsoft.com/office/drawing/2014/main" id="{673CED50-1A03-06C3-9A41-27341D26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3"/>
        <a:stretch>
          <a:fillRect/>
        </a:stretch>
      </xdr:blipFill>
      <xdr:spPr>
        <a:xfrm>
          <a:off x="14649449" y="77952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186</xdr:row>
      <xdr:rowOff>419099</xdr:rowOff>
    </xdr:from>
    <xdr:to>
      <xdr:col>12</xdr:col>
      <xdr:colOff>536574</xdr:colOff>
      <xdr:row>190</xdr:row>
      <xdr:rowOff>12699</xdr:rowOff>
    </xdr:to>
    <xdr:pic>
      <xdr:nvPicPr>
        <xdr:cNvPr id="373" name="Imagen 372">
          <a:extLst>
            <a:ext uri="{FF2B5EF4-FFF2-40B4-BE49-F238E27FC236}">
              <a16:creationId xmlns:a16="http://schemas.microsoft.com/office/drawing/2014/main" id="{5BD67428-9EA5-14C6-1F66-419DDB9D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4"/>
        <a:stretch>
          <a:fillRect/>
        </a:stretch>
      </xdr:blipFill>
      <xdr:spPr>
        <a:xfrm>
          <a:off x="14649449" y="78371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187</xdr:row>
      <xdr:rowOff>419099</xdr:rowOff>
    </xdr:from>
    <xdr:to>
      <xdr:col>12</xdr:col>
      <xdr:colOff>536574</xdr:colOff>
      <xdr:row>191</xdr:row>
      <xdr:rowOff>12699</xdr:rowOff>
    </xdr:to>
    <xdr:pic>
      <xdr:nvPicPr>
        <xdr:cNvPr id="375" name="Imagen 374">
          <a:extLst>
            <a:ext uri="{FF2B5EF4-FFF2-40B4-BE49-F238E27FC236}">
              <a16:creationId xmlns:a16="http://schemas.microsoft.com/office/drawing/2014/main" id="{F5091AE5-6AD2-A58C-A2D4-F916EEC5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5"/>
        <a:stretch>
          <a:fillRect/>
        </a:stretch>
      </xdr:blipFill>
      <xdr:spPr>
        <a:xfrm>
          <a:off x="14649449" y="78790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188</xdr:row>
      <xdr:rowOff>419099</xdr:rowOff>
    </xdr:from>
    <xdr:to>
      <xdr:col>12</xdr:col>
      <xdr:colOff>536574</xdr:colOff>
      <xdr:row>192</xdr:row>
      <xdr:rowOff>12699</xdr:rowOff>
    </xdr:to>
    <xdr:pic>
      <xdr:nvPicPr>
        <xdr:cNvPr id="377" name="Imagen 376">
          <a:extLst>
            <a:ext uri="{FF2B5EF4-FFF2-40B4-BE49-F238E27FC236}">
              <a16:creationId xmlns:a16="http://schemas.microsoft.com/office/drawing/2014/main" id="{CDA055C9-852E-519F-ED5C-5A80C2B4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6"/>
        <a:stretch>
          <a:fillRect/>
        </a:stretch>
      </xdr:blipFill>
      <xdr:spPr>
        <a:xfrm>
          <a:off x="14649449" y="79209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189</xdr:row>
      <xdr:rowOff>419099</xdr:rowOff>
    </xdr:from>
    <xdr:to>
      <xdr:col>12</xdr:col>
      <xdr:colOff>536574</xdr:colOff>
      <xdr:row>193</xdr:row>
      <xdr:rowOff>12699</xdr:rowOff>
    </xdr:to>
    <xdr:pic>
      <xdr:nvPicPr>
        <xdr:cNvPr id="379" name="Imagen 378">
          <a:extLst>
            <a:ext uri="{FF2B5EF4-FFF2-40B4-BE49-F238E27FC236}">
              <a16:creationId xmlns:a16="http://schemas.microsoft.com/office/drawing/2014/main" id="{99942945-30CB-A59F-0BEC-38C67C231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7"/>
        <a:stretch>
          <a:fillRect/>
        </a:stretch>
      </xdr:blipFill>
      <xdr:spPr>
        <a:xfrm>
          <a:off x="14649449" y="79628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190</xdr:row>
      <xdr:rowOff>419099</xdr:rowOff>
    </xdr:from>
    <xdr:to>
      <xdr:col>12</xdr:col>
      <xdr:colOff>536574</xdr:colOff>
      <xdr:row>194</xdr:row>
      <xdr:rowOff>12699</xdr:rowOff>
    </xdr:to>
    <xdr:pic>
      <xdr:nvPicPr>
        <xdr:cNvPr id="381" name="Imagen 380">
          <a:extLst>
            <a:ext uri="{FF2B5EF4-FFF2-40B4-BE49-F238E27FC236}">
              <a16:creationId xmlns:a16="http://schemas.microsoft.com/office/drawing/2014/main" id="{05E0FFB9-1412-EACF-68B4-7AFFEE53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8"/>
        <a:stretch>
          <a:fillRect/>
        </a:stretch>
      </xdr:blipFill>
      <xdr:spPr>
        <a:xfrm>
          <a:off x="14649449" y="80048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191</xdr:row>
      <xdr:rowOff>419099</xdr:rowOff>
    </xdr:from>
    <xdr:to>
      <xdr:col>12</xdr:col>
      <xdr:colOff>536574</xdr:colOff>
      <xdr:row>195</xdr:row>
      <xdr:rowOff>12699</xdr:rowOff>
    </xdr:to>
    <xdr:pic>
      <xdr:nvPicPr>
        <xdr:cNvPr id="383" name="Imagen 382">
          <a:extLst>
            <a:ext uri="{FF2B5EF4-FFF2-40B4-BE49-F238E27FC236}">
              <a16:creationId xmlns:a16="http://schemas.microsoft.com/office/drawing/2014/main" id="{0F09396B-EE2F-8999-DE92-AEA86BC3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9"/>
        <a:stretch>
          <a:fillRect/>
        </a:stretch>
      </xdr:blipFill>
      <xdr:spPr>
        <a:xfrm>
          <a:off x="14649449" y="80467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192</xdr:row>
      <xdr:rowOff>419099</xdr:rowOff>
    </xdr:from>
    <xdr:to>
      <xdr:col>12</xdr:col>
      <xdr:colOff>536574</xdr:colOff>
      <xdr:row>196</xdr:row>
      <xdr:rowOff>12699</xdr:rowOff>
    </xdr:to>
    <xdr:pic>
      <xdr:nvPicPr>
        <xdr:cNvPr id="385" name="Imagen 384">
          <a:extLst>
            <a:ext uri="{FF2B5EF4-FFF2-40B4-BE49-F238E27FC236}">
              <a16:creationId xmlns:a16="http://schemas.microsoft.com/office/drawing/2014/main" id="{4414E8D5-5109-2F28-E67D-190BE8FD2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0"/>
        <a:stretch>
          <a:fillRect/>
        </a:stretch>
      </xdr:blipFill>
      <xdr:spPr>
        <a:xfrm>
          <a:off x="14649449" y="80886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193</xdr:row>
      <xdr:rowOff>419099</xdr:rowOff>
    </xdr:from>
    <xdr:to>
      <xdr:col>12</xdr:col>
      <xdr:colOff>536574</xdr:colOff>
      <xdr:row>197</xdr:row>
      <xdr:rowOff>12699</xdr:rowOff>
    </xdr:to>
    <xdr:pic>
      <xdr:nvPicPr>
        <xdr:cNvPr id="387" name="Imagen 386">
          <a:extLst>
            <a:ext uri="{FF2B5EF4-FFF2-40B4-BE49-F238E27FC236}">
              <a16:creationId xmlns:a16="http://schemas.microsoft.com/office/drawing/2014/main" id="{A83162FD-07AE-96B7-9316-23A7957BF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1"/>
        <a:stretch>
          <a:fillRect/>
        </a:stretch>
      </xdr:blipFill>
      <xdr:spPr>
        <a:xfrm>
          <a:off x="14649449" y="81305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194</xdr:row>
      <xdr:rowOff>419099</xdr:rowOff>
    </xdr:from>
    <xdr:to>
      <xdr:col>12</xdr:col>
      <xdr:colOff>536574</xdr:colOff>
      <xdr:row>198</xdr:row>
      <xdr:rowOff>12699</xdr:rowOff>
    </xdr:to>
    <xdr:pic>
      <xdr:nvPicPr>
        <xdr:cNvPr id="389" name="Imagen 388">
          <a:extLst>
            <a:ext uri="{FF2B5EF4-FFF2-40B4-BE49-F238E27FC236}">
              <a16:creationId xmlns:a16="http://schemas.microsoft.com/office/drawing/2014/main" id="{DCF7086A-C3DD-B16B-0638-79B07921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2"/>
        <a:stretch>
          <a:fillRect/>
        </a:stretch>
      </xdr:blipFill>
      <xdr:spPr>
        <a:xfrm>
          <a:off x="14649449" y="81724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195</xdr:row>
      <xdr:rowOff>419099</xdr:rowOff>
    </xdr:from>
    <xdr:to>
      <xdr:col>12</xdr:col>
      <xdr:colOff>536574</xdr:colOff>
      <xdr:row>199</xdr:row>
      <xdr:rowOff>12699</xdr:rowOff>
    </xdr:to>
    <xdr:pic>
      <xdr:nvPicPr>
        <xdr:cNvPr id="391" name="Imagen 390">
          <a:extLst>
            <a:ext uri="{FF2B5EF4-FFF2-40B4-BE49-F238E27FC236}">
              <a16:creationId xmlns:a16="http://schemas.microsoft.com/office/drawing/2014/main" id="{E43479C5-51F6-FEE8-7BB0-85700FA74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3"/>
        <a:stretch>
          <a:fillRect/>
        </a:stretch>
      </xdr:blipFill>
      <xdr:spPr>
        <a:xfrm>
          <a:off x="14649449" y="82143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196</xdr:row>
      <xdr:rowOff>419099</xdr:rowOff>
    </xdr:from>
    <xdr:to>
      <xdr:col>12</xdr:col>
      <xdr:colOff>536574</xdr:colOff>
      <xdr:row>200</xdr:row>
      <xdr:rowOff>12699</xdr:rowOff>
    </xdr:to>
    <xdr:pic>
      <xdr:nvPicPr>
        <xdr:cNvPr id="393" name="Imagen 392">
          <a:extLst>
            <a:ext uri="{FF2B5EF4-FFF2-40B4-BE49-F238E27FC236}">
              <a16:creationId xmlns:a16="http://schemas.microsoft.com/office/drawing/2014/main" id="{881C3111-F384-E21E-B956-EA2C14FB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4"/>
        <a:stretch>
          <a:fillRect/>
        </a:stretch>
      </xdr:blipFill>
      <xdr:spPr>
        <a:xfrm>
          <a:off x="14649449" y="82562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197</xdr:row>
      <xdr:rowOff>419099</xdr:rowOff>
    </xdr:from>
    <xdr:to>
      <xdr:col>12</xdr:col>
      <xdr:colOff>536574</xdr:colOff>
      <xdr:row>201</xdr:row>
      <xdr:rowOff>12699</xdr:rowOff>
    </xdr:to>
    <xdr:pic>
      <xdr:nvPicPr>
        <xdr:cNvPr id="395" name="Imagen 394">
          <a:extLst>
            <a:ext uri="{FF2B5EF4-FFF2-40B4-BE49-F238E27FC236}">
              <a16:creationId xmlns:a16="http://schemas.microsoft.com/office/drawing/2014/main" id="{5D1C3FFC-21A4-17F9-D9B8-A83FD95B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5"/>
        <a:stretch>
          <a:fillRect/>
        </a:stretch>
      </xdr:blipFill>
      <xdr:spPr>
        <a:xfrm>
          <a:off x="14649449" y="82981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198</xdr:row>
      <xdr:rowOff>419099</xdr:rowOff>
    </xdr:from>
    <xdr:to>
      <xdr:col>12</xdr:col>
      <xdr:colOff>536574</xdr:colOff>
      <xdr:row>202</xdr:row>
      <xdr:rowOff>12699</xdr:rowOff>
    </xdr:to>
    <xdr:pic>
      <xdr:nvPicPr>
        <xdr:cNvPr id="397" name="Imagen 396">
          <a:extLst>
            <a:ext uri="{FF2B5EF4-FFF2-40B4-BE49-F238E27FC236}">
              <a16:creationId xmlns:a16="http://schemas.microsoft.com/office/drawing/2014/main" id="{4D9D4DA6-28D4-30F3-86D1-C324C5D0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6"/>
        <a:stretch>
          <a:fillRect/>
        </a:stretch>
      </xdr:blipFill>
      <xdr:spPr>
        <a:xfrm>
          <a:off x="14649449" y="83400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199</xdr:row>
      <xdr:rowOff>419099</xdr:rowOff>
    </xdr:from>
    <xdr:to>
      <xdr:col>12</xdr:col>
      <xdr:colOff>536574</xdr:colOff>
      <xdr:row>203</xdr:row>
      <xdr:rowOff>12699</xdr:rowOff>
    </xdr:to>
    <xdr:pic>
      <xdr:nvPicPr>
        <xdr:cNvPr id="399" name="Imagen 398">
          <a:extLst>
            <a:ext uri="{FF2B5EF4-FFF2-40B4-BE49-F238E27FC236}">
              <a16:creationId xmlns:a16="http://schemas.microsoft.com/office/drawing/2014/main" id="{0B3B2E61-F5D2-B84A-EEF3-CB4C46AC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7"/>
        <a:stretch>
          <a:fillRect/>
        </a:stretch>
      </xdr:blipFill>
      <xdr:spPr>
        <a:xfrm>
          <a:off x="14649449" y="83819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200</xdr:row>
      <xdr:rowOff>419099</xdr:rowOff>
    </xdr:from>
    <xdr:to>
      <xdr:col>12</xdr:col>
      <xdr:colOff>536574</xdr:colOff>
      <xdr:row>204</xdr:row>
      <xdr:rowOff>12699</xdr:rowOff>
    </xdr:to>
    <xdr:pic>
      <xdr:nvPicPr>
        <xdr:cNvPr id="401" name="Imagen 400">
          <a:extLst>
            <a:ext uri="{FF2B5EF4-FFF2-40B4-BE49-F238E27FC236}">
              <a16:creationId xmlns:a16="http://schemas.microsoft.com/office/drawing/2014/main" id="{D6D9AAD4-8FEC-C141-C0A5-D8D5AE33B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8"/>
        <a:stretch>
          <a:fillRect/>
        </a:stretch>
      </xdr:blipFill>
      <xdr:spPr>
        <a:xfrm>
          <a:off x="14649449" y="84239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201</xdr:row>
      <xdr:rowOff>419099</xdr:rowOff>
    </xdr:from>
    <xdr:to>
      <xdr:col>12</xdr:col>
      <xdr:colOff>536574</xdr:colOff>
      <xdr:row>205</xdr:row>
      <xdr:rowOff>12699</xdr:rowOff>
    </xdr:to>
    <xdr:pic>
      <xdr:nvPicPr>
        <xdr:cNvPr id="403" name="Imagen 402">
          <a:extLst>
            <a:ext uri="{FF2B5EF4-FFF2-40B4-BE49-F238E27FC236}">
              <a16:creationId xmlns:a16="http://schemas.microsoft.com/office/drawing/2014/main" id="{E04732CE-685E-6653-79A1-6670E759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9"/>
        <a:stretch>
          <a:fillRect/>
        </a:stretch>
      </xdr:blipFill>
      <xdr:spPr>
        <a:xfrm>
          <a:off x="14649449" y="84658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202</xdr:row>
      <xdr:rowOff>419099</xdr:rowOff>
    </xdr:from>
    <xdr:to>
      <xdr:col>12</xdr:col>
      <xdr:colOff>536574</xdr:colOff>
      <xdr:row>206</xdr:row>
      <xdr:rowOff>12699</xdr:rowOff>
    </xdr:to>
    <xdr:pic>
      <xdr:nvPicPr>
        <xdr:cNvPr id="405" name="Imagen 404">
          <a:extLst>
            <a:ext uri="{FF2B5EF4-FFF2-40B4-BE49-F238E27FC236}">
              <a16:creationId xmlns:a16="http://schemas.microsoft.com/office/drawing/2014/main" id="{D03D0874-7E34-7687-3339-A68689EED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0"/>
        <a:stretch>
          <a:fillRect/>
        </a:stretch>
      </xdr:blipFill>
      <xdr:spPr>
        <a:xfrm>
          <a:off x="14649449" y="85077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203</xdr:row>
      <xdr:rowOff>419099</xdr:rowOff>
    </xdr:from>
    <xdr:to>
      <xdr:col>12</xdr:col>
      <xdr:colOff>536574</xdr:colOff>
      <xdr:row>207</xdr:row>
      <xdr:rowOff>12699</xdr:rowOff>
    </xdr:to>
    <xdr:pic>
      <xdr:nvPicPr>
        <xdr:cNvPr id="407" name="Imagen 406">
          <a:extLst>
            <a:ext uri="{FF2B5EF4-FFF2-40B4-BE49-F238E27FC236}">
              <a16:creationId xmlns:a16="http://schemas.microsoft.com/office/drawing/2014/main" id="{AE1427D6-5318-0502-52FE-10A0BC564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1"/>
        <a:stretch>
          <a:fillRect/>
        </a:stretch>
      </xdr:blipFill>
      <xdr:spPr>
        <a:xfrm>
          <a:off x="14649449" y="85496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204</xdr:row>
      <xdr:rowOff>419099</xdr:rowOff>
    </xdr:from>
    <xdr:to>
      <xdr:col>12</xdr:col>
      <xdr:colOff>536574</xdr:colOff>
      <xdr:row>208</xdr:row>
      <xdr:rowOff>12699</xdr:rowOff>
    </xdr:to>
    <xdr:pic>
      <xdr:nvPicPr>
        <xdr:cNvPr id="409" name="Imagen 408">
          <a:extLst>
            <a:ext uri="{FF2B5EF4-FFF2-40B4-BE49-F238E27FC236}">
              <a16:creationId xmlns:a16="http://schemas.microsoft.com/office/drawing/2014/main" id="{56940527-EB64-7294-8282-759EA14B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2"/>
        <a:stretch>
          <a:fillRect/>
        </a:stretch>
      </xdr:blipFill>
      <xdr:spPr>
        <a:xfrm>
          <a:off x="14649449" y="85915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205</xdr:row>
      <xdr:rowOff>419099</xdr:rowOff>
    </xdr:from>
    <xdr:to>
      <xdr:col>12</xdr:col>
      <xdr:colOff>536574</xdr:colOff>
      <xdr:row>209</xdr:row>
      <xdr:rowOff>12699</xdr:rowOff>
    </xdr:to>
    <xdr:pic>
      <xdr:nvPicPr>
        <xdr:cNvPr id="411" name="Imagen 410">
          <a:extLst>
            <a:ext uri="{FF2B5EF4-FFF2-40B4-BE49-F238E27FC236}">
              <a16:creationId xmlns:a16="http://schemas.microsoft.com/office/drawing/2014/main" id="{2BE1583D-4A1C-F49F-F85A-21BA9A87E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3"/>
        <a:stretch>
          <a:fillRect/>
        </a:stretch>
      </xdr:blipFill>
      <xdr:spPr>
        <a:xfrm>
          <a:off x="14649449" y="86334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206</xdr:row>
      <xdr:rowOff>419099</xdr:rowOff>
    </xdr:from>
    <xdr:to>
      <xdr:col>12</xdr:col>
      <xdr:colOff>536574</xdr:colOff>
      <xdr:row>210</xdr:row>
      <xdr:rowOff>12699</xdr:rowOff>
    </xdr:to>
    <xdr:pic>
      <xdr:nvPicPr>
        <xdr:cNvPr id="413" name="Imagen 412">
          <a:extLst>
            <a:ext uri="{FF2B5EF4-FFF2-40B4-BE49-F238E27FC236}">
              <a16:creationId xmlns:a16="http://schemas.microsoft.com/office/drawing/2014/main" id="{E4C6F597-FECE-7C17-4109-839BFBCD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4"/>
        <a:stretch>
          <a:fillRect/>
        </a:stretch>
      </xdr:blipFill>
      <xdr:spPr>
        <a:xfrm>
          <a:off x="14649449" y="86753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207</xdr:row>
      <xdr:rowOff>419099</xdr:rowOff>
    </xdr:from>
    <xdr:to>
      <xdr:col>12</xdr:col>
      <xdr:colOff>536574</xdr:colOff>
      <xdr:row>211</xdr:row>
      <xdr:rowOff>12699</xdr:rowOff>
    </xdr:to>
    <xdr:pic>
      <xdr:nvPicPr>
        <xdr:cNvPr id="415" name="Imagen 414">
          <a:extLst>
            <a:ext uri="{FF2B5EF4-FFF2-40B4-BE49-F238E27FC236}">
              <a16:creationId xmlns:a16="http://schemas.microsoft.com/office/drawing/2014/main" id="{146CE069-DE9F-DA4D-4586-15C8569E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5"/>
        <a:stretch>
          <a:fillRect/>
        </a:stretch>
      </xdr:blipFill>
      <xdr:spPr>
        <a:xfrm>
          <a:off x="14649449" y="87172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208</xdr:row>
      <xdr:rowOff>419099</xdr:rowOff>
    </xdr:from>
    <xdr:to>
      <xdr:col>12</xdr:col>
      <xdr:colOff>536574</xdr:colOff>
      <xdr:row>212</xdr:row>
      <xdr:rowOff>12699</xdr:rowOff>
    </xdr:to>
    <xdr:pic>
      <xdr:nvPicPr>
        <xdr:cNvPr id="417" name="Imagen 416">
          <a:extLst>
            <a:ext uri="{FF2B5EF4-FFF2-40B4-BE49-F238E27FC236}">
              <a16:creationId xmlns:a16="http://schemas.microsoft.com/office/drawing/2014/main" id="{835EDB75-583D-0EC8-349F-3E9739EF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6"/>
        <a:stretch>
          <a:fillRect/>
        </a:stretch>
      </xdr:blipFill>
      <xdr:spPr>
        <a:xfrm>
          <a:off x="14649449" y="87591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209</xdr:row>
      <xdr:rowOff>419099</xdr:rowOff>
    </xdr:from>
    <xdr:to>
      <xdr:col>12</xdr:col>
      <xdr:colOff>536574</xdr:colOff>
      <xdr:row>213</xdr:row>
      <xdr:rowOff>12699</xdr:rowOff>
    </xdr:to>
    <xdr:pic>
      <xdr:nvPicPr>
        <xdr:cNvPr id="419" name="Imagen 418">
          <a:extLst>
            <a:ext uri="{FF2B5EF4-FFF2-40B4-BE49-F238E27FC236}">
              <a16:creationId xmlns:a16="http://schemas.microsoft.com/office/drawing/2014/main" id="{24B88390-570C-9D64-854C-AA2A425D4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7"/>
        <a:stretch>
          <a:fillRect/>
        </a:stretch>
      </xdr:blipFill>
      <xdr:spPr>
        <a:xfrm>
          <a:off x="14649449" y="88010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210</xdr:row>
      <xdr:rowOff>419099</xdr:rowOff>
    </xdr:from>
    <xdr:to>
      <xdr:col>12</xdr:col>
      <xdr:colOff>536574</xdr:colOff>
      <xdr:row>214</xdr:row>
      <xdr:rowOff>12699</xdr:rowOff>
    </xdr:to>
    <xdr:pic>
      <xdr:nvPicPr>
        <xdr:cNvPr id="421" name="Imagen 420">
          <a:extLst>
            <a:ext uri="{FF2B5EF4-FFF2-40B4-BE49-F238E27FC236}">
              <a16:creationId xmlns:a16="http://schemas.microsoft.com/office/drawing/2014/main" id="{E6CDF356-81B2-F9BC-87B4-8AB59F9D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8"/>
        <a:stretch>
          <a:fillRect/>
        </a:stretch>
      </xdr:blipFill>
      <xdr:spPr>
        <a:xfrm>
          <a:off x="14649449" y="88430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211</xdr:row>
      <xdr:rowOff>419099</xdr:rowOff>
    </xdr:from>
    <xdr:to>
      <xdr:col>12</xdr:col>
      <xdr:colOff>536574</xdr:colOff>
      <xdr:row>215</xdr:row>
      <xdr:rowOff>12699</xdr:rowOff>
    </xdr:to>
    <xdr:pic>
      <xdr:nvPicPr>
        <xdr:cNvPr id="423" name="Imagen 422">
          <a:extLst>
            <a:ext uri="{FF2B5EF4-FFF2-40B4-BE49-F238E27FC236}">
              <a16:creationId xmlns:a16="http://schemas.microsoft.com/office/drawing/2014/main" id="{0F0022C9-B884-A11E-9DF1-51358CD25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9"/>
        <a:stretch>
          <a:fillRect/>
        </a:stretch>
      </xdr:blipFill>
      <xdr:spPr>
        <a:xfrm>
          <a:off x="14649449" y="88849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212</xdr:row>
      <xdr:rowOff>419099</xdr:rowOff>
    </xdr:from>
    <xdr:to>
      <xdr:col>12</xdr:col>
      <xdr:colOff>536574</xdr:colOff>
      <xdr:row>216</xdr:row>
      <xdr:rowOff>12699</xdr:rowOff>
    </xdr:to>
    <xdr:pic>
      <xdr:nvPicPr>
        <xdr:cNvPr id="425" name="Imagen 424">
          <a:extLst>
            <a:ext uri="{FF2B5EF4-FFF2-40B4-BE49-F238E27FC236}">
              <a16:creationId xmlns:a16="http://schemas.microsoft.com/office/drawing/2014/main" id="{A8F017E0-BFD5-77D7-DC62-28E244E4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0"/>
        <a:stretch>
          <a:fillRect/>
        </a:stretch>
      </xdr:blipFill>
      <xdr:spPr>
        <a:xfrm>
          <a:off x="14649449" y="89268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213</xdr:row>
      <xdr:rowOff>419099</xdr:rowOff>
    </xdr:from>
    <xdr:to>
      <xdr:col>12</xdr:col>
      <xdr:colOff>536574</xdr:colOff>
      <xdr:row>217</xdr:row>
      <xdr:rowOff>12699</xdr:rowOff>
    </xdr:to>
    <xdr:pic>
      <xdr:nvPicPr>
        <xdr:cNvPr id="427" name="Imagen 426">
          <a:extLst>
            <a:ext uri="{FF2B5EF4-FFF2-40B4-BE49-F238E27FC236}">
              <a16:creationId xmlns:a16="http://schemas.microsoft.com/office/drawing/2014/main" id="{67481D8D-80F7-E68C-03BF-A2B376B8C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1"/>
        <a:stretch>
          <a:fillRect/>
        </a:stretch>
      </xdr:blipFill>
      <xdr:spPr>
        <a:xfrm>
          <a:off x="14649449" y="89687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214</xdr:row>
      <xdr:rowOff>419099</xdr:rowOff>
    </xdr:from>
    <xdr:to>
      <xdr:col>12</xdr:col>
      <xdr:colOff>536574</xdr:colOff>
      <xdr:row>218</xdr:row>
      <xdr:rowOff>12699</xdr:rowOff>
    </xdr:to>
    <xdr:pic>
      <xdr:nvPicPr>
        <xdr:cNvPr id="429" name="Imagen 428">
          <a:extLst>
            <a:ext uri="{FF2B5EF4-FFF2-40B4-BE49-F238E27FC236}">
              <a16:creationId xmlns:a16="http://schemas.microsoft.com/office/drawing/2014/main" id="{56B3D478-47D1-214C-A143-EE8E58280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2"/>
        <a:stretch>
          <a:fillRect/>
        </a:stretch>
      </xdr:blipFill>
      <xdr:spPr>
        <a:xfrm>
          <a:off x="14649449" y="90106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215</xdr:row>
      <xdr:rowOff>419099</xdr:rowOff>
    </xdr:from>
    <xdr:to>
      <xdr:col>12</xdr:col>
      <xdr:colOff>536574</xdr:colOff>
      <xdr:row>219</xdr:row>
      <xdr:rowOff>12699</xdr:rowOff>
    </xdr:to>
    <xdr:pic>
      <xdr:nvPicPr>
        <xdr:cNvPr id="431" name="Imagen 430">
          <a:extLst>
            <a:ext uri="{FF2B5EF4-FFF2-40B4-BE49-F238E27FC236}">
              <a16:creationId xmlns:a16="http://schemas.microsoft.com/office/drawing/2014/main" id="{066E5296-D4C2-1DF3-652F-8286CDA01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3"/>
        <a:stretch>
          <a:fillRect/>
        </a:stretch>
      </xdr:blipFill>
      <xdr:spPr>
        <a:xfrm>
          <a:off x="14649449" y="90525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216</xdr:row>
      <xdr:rowOff>419099</xdr:rowOff>
    </xdr:from>
    <xdr:to>
      <xdr:col>12</xdr:col>
      <xdr:colOff>536574</xdr:colOff>
      <xdr:row>220</xdr:row>
      <xdr:rowOff>12699</xdr:rowOff>
    </xdr:to>
    <xdr:pic>
      <xdr:nvPicPr>
        <xdr:cNvPr id="433" name="Imagen 432">
          <a:extLst>
            <a:ext uri="{FF2B5EF4-FFF2-40B4-BE49-F238E27FC236}">
              <a16:creationId xmlns:a16="http://schemas.microsoft.com/office/drawing/2014/main" id="{9DA0B87E-9ACA-6A37-C181-3A7BE3BB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4"/>
        <a:stretch>
          <a:fillRect/>
        </a:stretch>
      </xdr:blipFill>
      <xdr:spPr>
        <a:xfrm>
          <a:off x="14649449" y="90944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217</xdr:row>
      <xdr:rowOff>419099</xdr:rowOff>
    </xdr:from>
    <xdr:to>
      <xdr:col>12</xdr:col>
      <xdr:colOff>536574</xdr:colOff>
      <xdr:row>221</xdr:row>
      <xdr:rowOff>12699</xdr:rowOff>
    </xdr:to>
    <xdr:pic>
      <xdr:nvPicPr>
        <xdr:cNvPr id="435" name="Imagen 434">
          <a:extLst>
            <a:ext uri="{FF2B5EF4-FFF2-40B4-BE49-F238E27FC236}">
              <a16:creationId xmlns:a16="http://schemas.microsoft.com/office/drawing/2014/main" id="{BAE9CBD2-16B3-00AC-8229-E233E3C96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5"/>
        <a:stretch>
          <a:fillRect/>
        </a:stretch>
      </xdr:blipFill>
      <xdr:spPr>
        <a:xfrm>
          <a:off x="14649449" y="91363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218</xdr:row>
      <xdr:rowOff>419099</xdr:rowOff>
    </xdr:from>
    <xdr:to>
      <xdr:col>12</xdr:col>
      <xdr:colOff>536574</xdr:colOff>
      <xdr:row>222</xdr:row>
      <xdr:rowOff>12699</xdr:rowOff>
    </xdr:to>
    <xdr:pic>
      <xdr:nvPicPr>
        <xdr:cNvPr id="437" name="Imagen 436">
          <a:extLst>
            <a:ext uri="{FF2B5EF4-FFF2-40B4-BE49-F238E27FC236}">
              <a16:creationId xmlns:a16="http://schemas.microsoft.com/office/drawing/2014/main" id="{60BA98EE-8DBB-F833-7910-614479175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6"/>
        <a:stretch>
          <a:fillRect/>
        </a:stretch>
      </xdr:blipFill>
      <xdr:spPr>
        <a:xfrm>
          <a:off x="14649449" y="91782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219</xdr:row>
      <xdr:rowOff>419099</xdr:rowOff>
    </xdr:from>
    <xdr:to>
      <xdr:col>12</xdr:col>
      <xdr:colOff>536574</xdr:colOff>
      <xdr:row>223</xdr:row>
      <xdr:rowOff>12699</xdr:rowOff>
    </xdr:to>
    <xdr:pic>
      <xdr:nvPicPr>
        <xdr:cNvPr id="439" name="Imagen 438">
          <a:extLst>
            <a:ext uri="{FF2B5EF4-FFF2-40B4-BE49-F238E27FC236}">
              <a16:creationId xmlns:a16="http://schemas.microsoft.com/office/drawing/2014/main" id="{19082119-CB2A-209A-D907-B583FD338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7"/>
        <a:stretch>
          <a:fillRect/>
        </a:stretch>
      </xdr:blipFill>
      <xdr:spPr>
        <a:xfrm>
          <a:off x="14649449" y="92201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220</xdr:row>
      <xdr:rowOff>419099</xdr:rowOff>
    </xdr:from>
    <xdr:to>
      <xdr:col>12</xdr:col>
      <xdr:colOff>536574</xdr:colOff>
      <xdr:row>224</xdr:row>
      <xdr:rowOff>12699</xdr:rowOff>
    </xdr:to>
    <xdr:pic>
      <xdr:nvPicPr>
        <xdr:cNvPr id="441" name="Imagen 440">
          <a:extLst>
            <a:ext uri="{FF2B5EF4-FFF2-40B4-BE49-F238E27FC236}">
              <a16:creationId xmlns:a16="http://schemas.microsoft.com/office/drawing/2014/main" id="{8060194F-15BC-2707-6B1E-0308A276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8"/>
        <a:stretch>
          <a:fillRect/>
        </a:stretch>
      </xdr:blipFill>
      <xdr:spPr>
        <a:xfrm>
          <a:off x="14649449" y="92621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221</xdr:row>
      <xdr:rowOff>419099</xdr:rowOff>
    </xdr:from>
    <xdr:to>
      <xdr:col>12</xdr:col>
      <xdr:colOff>536574</xdr:colOff>
      <xdr:row>225</xdr:row>
      <xdr:rowOff>12699</xdr:rowOff>
    </xdr:to>
    <xdr:pic>
      <xdr:nvPicPr>
        <xdr:cNvPr id="443" name="Imagen 442">
          <a:extLst>
            <a:ext uri="{FF2B5EF4-FFF2-40B4-BE49-F238E27FC236}">
              <a16:creationId xmlns:a16="http://schemas.microsoft.com/office/drawing/2014/main" id="{8D460FA0-6921-7FEB-D4ED-355788EFB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9"/>
        <a:stretch>
          <a:fillRect/>
        </a:stretch>
      </xdr:blipFill>
      <xdr:spPr>
        <a:xfrm>
          <a:off x="14649449" y="93040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222</xdr:row>
      <xdr:rowOff>419099</xdr:rowOff>
    </xdr:from>
    <xdr:to>
      <xdr:col>12</xdr:col>
      <xdr:colOff>536574</xdr:colOff>
      <xdr:row>226</xdr:row>
      <xdr:rowOff>12699</xdr:rowOff>
    </xdr:to>
    <xdr:pic>
      <xdr:nvPicPr>
        <xdr:cNvPr id="445" name="Imagen 444">
          <a:extLst>
            <a:ext uri="{FF2B5EF4-FFF2-40B4-BE49-F238E27FC236}">
              <a16:creationId xmlns:a16="http://schemas.microsoft.com/office/drawing/2014/main" id="{F0B4C640-641B-EA70-E9BD-8BCC398F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0"/>
        <a:stretch>
          <a:fillRect/>
        </a:stretch>
      </xdr:blipFill>
      <xdr:spPr>
        <a:xfrm>
          <a:off x="14649449" y="93459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223</xdr:row>
      <xdr:rowOff>419099</xdr:rowOff>
    </xdr:from>
    <xdr:to>
      <xdr:col>12</xdr:col>
      <xdr:colOff>536574</xdr:colOff>
      <xdr:row>227</xdr:row>
      <xdr:rowOff>12699</xdr:rowOff>
    </xdr:to>
    <xdr:pic>
      <xdr:nvPicPr>
        <xdr:cNvPr id="447" name="Imagen 446">
          <a:extLst>
            <a:ext uri="{FF2B5EF4-FFF2-40B4-BE49-F238E27FC236}">
              <a16:creationId xmlns:a16="http://schemas.microsoft.com/office/drawing/2014/main" id="{94FF8B5F-1DED-46AF-E172-90EFF109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1"/>
        <a:stretch>
          <a:fillRect/>
        </a:stretch>
      </xdr:blipFill>
      <xdr:spPr>
        <a:xfrm>
          <a:off x="14649449" y="93878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224</xdr:row>
      <xdr:rowOff>419099</xdr:rowOff>
    </xdr:from>
    <xdr:to>
      <xdr:col>12</xdr:col>
      <xdr:colOff>536574</xdr:colOff>
      <xdr:row>228</xdr:row>
      <xdr:rowOff>12699</xdr:rowOff>
    </xdr:to>
    <xdr:pic>
      <xdr:nvPicPr>
        <xdr:cNvPr id="449" name="Imagen 448">
          <a:extLst>
            <a:ext uri="{FF2B5EF4-FFF2-40B4-BE49-F238E27FC236}">
              <a16:creationId xmlns:a16="http://schemas.microsoft.com/office/drawing/2014/main" id="{D5274797-3411-6A28-85C4-4B861B876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2"/>
        <a:stretch>
          <a:fillRect/>
        </a:stretch>
      </xdr:blipFill>
      <xdr:spPr>
        <a:xfrm>
          <a:off x="14649449" y="94297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225</xdr:row>
      <xdr:rowOff>419099</xdr:rowOff>
    </xdr:from>
    <xdr:to>
      <xdr:col>12</xdr:col>
      <xdr:colOff>536574</xdr:colOff>
      <xdr:row>229</xdr:row>
      <xdr:rowOff>12699</xdr:rowOff>
    </xdr:to>
    <xdr:pic>
      <xdr:nvPicPr>
        <xdr:cNvPr id="451" name="Imagen 450">
          <a:extLst>
            <a:ext uri="{FF2B5EF4-FFF2-40B4-BE49-F238E27FC236}">
              <a16:creationId xmlns:a16="http://schemas.microsoft.com/office/drawing/2014/main" id="{3406D728-5553-0B68-7DD1-CB511EF23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3"/>
        <a:stretch>
          <a:fillRect/>
        </a:stretch>
      </xdr:blipFill>
      <xdr:spPr>
        <a:xfrm>
          <a:off x="14649449" y="94716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226</xdr:row>
      <xdr:rowOff>419099</xdr:rowOff>
    </xdr:from>
    <xdr:to>
      <xdr:col>12</xdr:col>
      <xdr:colOff>536574</xdr:colOff>
      <xdr:row>230</xdr:row>
      <xdr:rowOff>12699</xdr:rowOff>
    </xdr:to>
    <xdr:pic>
      <xdr:nvPicPr>
        <xdr:cNvPr id="453" name="Imagen 452">
          <a:extLst>
            <a:ext uri="{FF2B5EF4-FFF2-40B4-BE49-F238E27FC236}">
              <a16:creationId xmlns:a16="http://schemas.microsoft.com/office/drawing/2014/main" id="{70B51310-E302-CF3D-F93D-0DF4C38D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4"/>
        <a:stretch>
          <a:fillRect/>
        </a:stretch>
      </xdr:blipFill>
      <xdr:spPr>
        <a:xfrm>
          <a:off x="14649449" y="95135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227</xdr:row>
      <xdr:rowOff>419099</xdr:rowOff>
    </xdr:from>
    <xdr:to>
      <xdr:col>12</xdr:col>
      <xdr:colOff>536574</xdr:colOff>
      <xdr:row>231</xdr:row>
      <xdr:rowOff>12699</xdr:rowOff>
    </xdr:to>
    <xdr:pic>
      <xdr:nvPicPr>
        <xdr:cNvPr id="455" name="Imagen 454">
          <a:extLst>
            <a:ext uri="{FF2B5EF4-FFF2-40B4-BE49-F238E27FC236}">
              <a16:creationId xmlns:a16="http://schemas.microsoft.com/office/drawing/2014/main" id="{670F74AA-A4C3-8962-425D-51A0D241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5"/>
        <a:stretch>
          <a:fillRect/>
        </a:stretch>
      </xdr:blipFill>
      <xdr:spPr>
        <a:xfrm>
          <a:off x="14649449" y="95554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228</xdr:row>
      <xdr:rowOff>419099</xdr:rowOff>
    </xdr:from>
    <xdr:to>
      <xdr:col>12</xdr:col>
      <xdr:colOff>536574</xdr:colOff>
      <xdr:row>232</xdr:row>
      <xdr:rowOff>12699</xdr:rowOff>
    </xdr:to>
    <xdr:pic>
      <xdr:nvPicPr>
        <xdr:cNvPr id="457" name="Imagen 456">
          <a:extLst>
            <a:ext uri="{FF2B5EF4-FFF2-40B4-BE49-F238E27FC236}">
              <a16:creationId xmlns:a16="http://schemas.microsoft.com/office/drawing/2014/main" id="{127AD75A-5B08-E963-95CE-0D875DE17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6"/>
        <a:stretch>
          <a:fillRect/>
        </a:stretch>
      </xdr:blipFill>
      <xdr:spPr>
        <a:xfrm>
          <a:off x="14649449" y="95973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229</xdr:row>
      <xdr:rowOff>419099</xdr:rowOff>
    </xdr:from>
    <xdr:to>
      <xdr:col>12</xdr:col>
      <xdr:colOff>536574</xdr:colOff>
      <xdr:row>233</xdr:row>
      <xdr:rowOff>12699</xdr:rowOff>
    </xdr:to>
    <xdr:pic>
      <xdr:nvPicPr>
        <xdr:cNvPr id="459" name="Imagen 458">
          <a:extLst>
            <a:ext uri="{FF2B5EF4-FFF2-40B4-BE49-F238E27FC236}">
              <a16:creationId xmlns:a16="http://schemas.microsoft.com/office/drawing/2014/main" id="{ABAE5FCA-D4CD-43CD-C0C0-24C97B442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0"/>
        <a:stretch>
          <a:fillRect/>
        </a:stretch>
      </xdr:blipFill>
      <xdr:spPr>
        <a:xfrm>
          <a:off x="14649449" y="96392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230</xdr:row>
      <xdr:rowOff>419099</xdr:rowOff>
    </xdr:from>
    <xdr:to>
      <xdr:col>12</xdr:col>
      <xdr:colOff>536574</xdr:colOff>
      <xdr:row>234</xdr:row>
      <xdr:rowOff>12699</xdr:rowOff>
    </xdr:to>
    <xdr:pic>
      <xdr:nvPicPr>
        <xdr:cNvPr id="461" name="Imagen 460">
          <a:extLst>
            <a:ext uri="{FF2B5EF4-FFF2-40B4-BE49-F238E27FC236}">
              <a16:creationId xmlns:a16="http://schemas.microsoft.com/office/drawing/2014/main" id="{69F6AF12-6081-E547-9A88-4895BD53F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7"/>
        <a:stretch>
          <a:fillRect/>
        </a:stretch>
      </xdr:blipFill>
      <xdr:spPr>
        <a:xfrm>
          <a:off x="14649449" y="96812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231</xdr:row>
      <xdr:rowOff>419099</xdr:rowOff>
    </xdr:from>
    <xdr:to>
      <xdr:col>12</xdr:col>
      <xdr:colOff>536574</xdr:colOff>
      <xdr:row>235</xdr:row>
      <xdr:rowOff>12699</xdr:rowOff>
    </xdr:to>
    <xdr:pic>
      <xdr:nvPicPr>
        <xdr:cNvPr id="463" name="Imagen 462">
          <a:extLst>
            <a:ext uri="{FF2B5EF4-FFF2-40B4-BE49-F238E27FC236}">
              <a16:creationId xmlns:a16="http://schemas.microsoft.com/office/drawing/2014/main" id="{3EC98F7E-30B9-D01A-B9A4-0BC8E66D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8"/>
        <a:stretch>
          <a:fillRect/>
        </a:stretch>
      </xdr:blipFill>
      <xdr:spPr>
        <a:xfrm>
          <a:off x="14649449" y="97231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232</xdr:row>
      <xdr:rowOff>419099</xdr:rowOff>
    </xdr:from>
    <xdr:to>
      <xdr:col>12</xdr:col>
      <xdr:colOff>536574</xdr:colOff>
      <xdr:row>236</xdr:row>
      <xdr:rowOff>12699</xdr:rowOff>
    </xdr:to>
    <xdr:pic>
      <xdr:nvPicPr>
        <xdr:cNvPr id="465" name="Imagen 464">
          <a:extLst>
            <a:ext uri="{FF2B5EF4-FFF2-40B4-BE49-F238E27FC236}">
              <a16:creationId xmlns:a16="http://schemas.microsoft.com/office/drawing/2014/main" id="{7CE43BED-B1BA-5529-395F-7D77CDD4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9"/>
        <a:stretch>
          <a:fillRect/>
        </a:stretch>
      </xdr:blipFill>
      <xdr:spPr>
        <a:xfrm>
          <a:off x="14649449" y="97650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233</xdr:row>
      <xdr:rowOff>419099</xdr:rowOff>
    </xdr:from>
    <xdr:to>
      <xdr:col>12</xdr:col>
      <xdr:colOff>536574</xdr:colOff>
      <xdr:row>237</xdr:row>
      <xdr:rowOff>12699</xdr:rowOff>
    </xdr:to>
    <xdr:pic>
      <xdr:nvPicPr>
        <xdr:cNvPr id="467" name="Imagen 466">
          <a:extLst>
            <a:ext uri="{FF2B5EF4-FFF2-40B4-BE49-F238E27FC236}">
              <a16:creationId xmlns:a16="http://schemas.microsoft.com/office/drawing/2014/main" id="{0AD8083A-0574-764B-EE61-68B42F28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0"/>
        <a:stretch>
          <a:fillRect/>
        </a:stretch>
      </xdr:blipFill>
      <xdr:spPr>
        <a:xfrm>
          <a:off x="14649449" y="98069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234</xdr:row>
      <xdr:rowOff>419099</xdr:rowOff>
    </xdr:from>
    <xdr:to>
      <xdr:col>12</xdr:col>
      <xdr:colOff>536574</xdr:colOff>
      <xdr:row>238</xdr:row>
      <xdr:rowOff>12699</xdr:rowOff>
    </xdr:to>
    <xdr:pic>
      <xdr:nvPicPr>
        <xdr:cNvPr id="469" name="Imagen 468">
          <a:extLst>
            <a:ext uri="{FF2B5EF4-FFF2-40B4-BE49-F238E27FC236}">
              <a16:creationId xmlns:a16="http://schemas.microsoft.com/office/drawing/2014/main" id="{9CD7567D-1885-3592-39DF-5B7DC58D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1"/>
        <a:stretch>
          <a:fillRect/>
        </a:stretch>
      </xdr:blipFill>
      <xdr:spPr>
        <a:xfrm>
          <a:off x="14649449" y="98488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235</xdr:row>
      <xdr:rowOff>419099</xdr:rowOff>
    </xdr:from>
    <xdr:to>
      <xdr:col>12</xdr:col>
      <xdr:colOff>536574</xdr:colOff>
      <xdr:row>239</xdr:row>
      <xdr:rowOff>12699</xdr:rowOff>
    </xdr:to>
    <xdr:pic>
      <xdr:nvPicPr>
        <xdr:cNvPr id="471" name="Imagen 470">
          <a:extLst>
            <a:ext uri="{FF2B5EF4-FFF2-40B4-BE49-F238E27FC236}">
              <a16:creationId xmlns:a16="http://schemas.microsoft.com/office/drawing/2014/main" id="{019C3250-2DFF-81CE-43DB-D1E00F822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2"/>
        <a:stretch>
          <a:fillRect/>
        </a:stretch>
      </xdr:blipFill>
      <xdr:spPr>
        <a:xfrm>
          <a:off x="14649449" y="98907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236</xdr:row>
      <xdr:rowOff>419099</xdr:rowOff>
    </xdr:from>
    <xdr:to>
      <xdr:col>12</xdr:col>
      <xdr:colOff>536574</xdr:colOff>
      <xdr:row>240</xdr:row>
      <xdr:rowOff>12699</xdr:rowOff>
    </xdr:to>
    <xdr:pic>
      <xdr:nvPicPr>
        <xdr:cNvPr id="473" name="Imagen 472">
          <a:extLst>
            <a:ext uri="{FF2B5EF4-FFF2-40B4-BE49-F238E27FC236}">
              <a16:creationId xmlns:a16="http://schemas.microsoft.com/office/drawing/2014/main" id="{3A3D39D8-D7E4-89CB-130D-8C63B55F7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3"/>
        <a:stretch>
          <a:fillRect/>
        </a:stretch>
      </xdr:blipFill>
      <xdr:spPr>
        <a:xfrm>
          <a:off x="14649449" y="99326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237</xdr:row>
      <xdr:rowOff>419099</xdr:rowOff>
    </xdr:from>
    <xdr:to>
      <xdr:col>12</xdr:col>
      <xdr:colOff>536574</xdr:colOff>
      <xdr:row>241</xdr:row>
      <xdr:rowOff>12699</xdr:rowOff>
    </xdr:to>
    <xdr:pic>
      <xdr:nvPicPr>
        <xdr:cNvPr id="475" name="Imagen 474">
          <a:extLst>
            <a:ext uri="{FF2B5EF4-FFF2-40B4-BE49-F238E27FC236}">
              <a16:creationId xmlns:a16="http://schemas.microsoft.com/office/drawing/2014/main" id="{BA8494E9-BF5E-2720-6D06-4175DE175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4"/>
        <a:stretch>
          <a:fillRect/>
        </a:stretch>
      </xdr:blipFill>
      <xdr:spPr>
        <a:xfrm>
          <a:off x="14649449" y="99745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238</xdr:row>
      <xdr:rowOff>419099</xdr:rowOff>
    </xdr:from>
    <xdr:to>
      <xdr:col>12</xdr:col>
      <xdr:colOff>536574</xdr:colOff>
      <xdr:row>242</xdr:row>
      <xdr:rowOff>12699</xdr:rowOff>
    </xdr:to>
    <xdr:pic>
      <xdr:nvPicPr>
        <xdr:cNvPr id="477" name="Imagen 476">
          <a:extLst>
            <a:ext uri="{FF2B5EF4-FFF2-40B4-BE49-F238E27FC236}">
              <a16:creationId xmlns:a16="http://schemas.microsoft.com/office/drawing/2014/main" id="{0F11A089-BDB5-D153-0C09-1FA7FE9EC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5"/>
        <a:stretch>
          <a:fillRect/>
        </a:stretch>
      </xdr:blipFill>
      <xdr:spPr>
        <a:xfrm>
          <a:off x="14649449" y="100164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239</xdr:row>
      <xdr:rowOff>419099</xdr:rowOff>
    </xdr:from>
    <xdr:to>
      <xdr:col>12</xdr:col>
      <xdr:colOff>536574</xdr:colOff>
      <xdr:row>243</xdr:row>
      <xdr:rowOff>12699</xdr:rowOff>
    </xdr:to>
    <xdr:pic>
      <xdr:nvPicPr>
        <xdr:cNvPr id="479" name="Imagen 478">
          <a:extLst>
            <a:ext uri="{FF2B5EF4-FFF2-40B4-BE49-F238E27FC236}">
              <a16:creationId xmlns:a16="http://schemas.microsoft.com/office/drawing/2014/main" id="{6F7B2B6C-9EC3-12AF-77AF-786CA46E5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6"/>
        <a:stretch>
          <a:fillRect/>
        </a:stretch>
      </xdr:blipFill>
      <xdr:spPr>
        <a:xfrm>
          <a:off x="14649449" y="100583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240</xdr:row>
      <xdr:rowOff>419099</xdr:rowOff>
    </xdr:from>
    <xdr:to>
      <xdr:col>12</xdr:col>
      <xdr:colOff>536574</xdr:colOff>
      <xdr:row>244</xdr:row>
      <xdr:rowOff>12699</xdr:rowOff>
    </xdr:to>
    <xdr:pic>
      <xdr:nvPicPr>
        <xdr:cNvPr id="481" name="Imagen 480">
          <a:extLst>
            <a:ext uri="{FF2B5EF4-FFF2-40B4-BE49-F238E27FC236}">
              <a16:creationId xmlns:a16="http://schemas.microsoft.com/office/drawing/2014/main" id="{BAC4F398-8CBE-4039-326A-31525D32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7"/>
        <a:stretch>
          <a:fillRect/>
        </a:stretch>
      </xdr:blipFill>
      <xdr:spPr>
        <a:xfrm>
          <a:off x="14649449" y="101003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241</xdr:row>
      <xdr:rowOff>419099</xdr:rowOff>
    </xdr:from>
    <xdr:to>
      <xdr:col>12</xdr:col>
      <xdr:colOff>536574</xdr:colOff>
      <xdr:row>245</xdr:row>
      <xdr:rowOff>12699</xdr:rowOff>
    </xdr:to>
    <xdr:pic>
      <xdr:nvPicPr>
        <xdr:cNvPr id="483" name="Imagen 482">
          <a:extLst>
            <a:ext uri="{FF2B5EF4-FFF2-40B4-BE49-F238E27FC236}">
              <a16:creationId xmlns:a16="http://schemas.microsoft.com/office/drawing/2014/main" id="{EA5B73CE-5688-898E-3F57-A24954C85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8"/>
        <a:stretch>
          <a:fillRect/>
        </a:stretch>
      </xdr:blipFill>
      <xdr:spPr>
        <a:xfrm>
          <a:off x="14649449" y="101422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242</xdr:row>
      <xdr:rowOff>419099</xdr:rowOff>
    </xdr:from>
    <xdr:to>
      <xdr:col>12</xdr:col>
      <xdr:colOff>536574</xdr:colOff>
      <xdr:row>246</xdr:row>
      <xdr:rowOff>12699</xdr:rowOff>
    </xdr:to>
    <xdr:pic>
      <xdr:nvPicPr>
        <xdr:cNvPr id="485" name="Imagen 484">
          <a:extLst>
            <a:ext uri="{FF2B5EF4-FFF2-40B4-BE49-F238E27FC236}">
              <a16:creationId xmlns:a16="http://schemas.microsoft.com/office/drawing/2014/main" id="{08F35469-3B4E-CEC4-ECC2-0B59C422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9"/>
        <a:stretch>
          <a:fillRect/>
        </a:stretch>
      </xdr:blipFill>
      <xdr:spPr>
        <a:xfrm>
          <a:off x="14649449" y="101841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243</xdr:row>
      <xdr:rowOff>419099</xdr:rowOff>
    </xdr:from>
    <xdr:to>
      <xdr:col>12</xdr:col>
      <xdr:colOff>536574</xdr:colOff>
      <xdr:row>247</xdr:row>
      <xdr:rowOff>12699</xdr:rowOff>
    </xdr:to>
    <xdr:pic>
      <xdr:nvPicPr>
        <xdr:cNvPr id="487" name="Imagen 486">
          <a:extLst>
            <a:ext uri="{FF2B5EF4-FFF2-40B4-BE49-F238E27FC236}">
              <a16:creationId xmlns:a16="http://schemas.microsoft.com/office/drawing/2014/main" id="{259702DA-FB41-C54F-CF73-D8170BB9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0"/>
        <a:stretch>
          <a:fillRect/>
        </a:stretch>
      </xdr:blipFill>
      <xdr:spPr>
        <a:xfrm>
          <a:off x="14649449" y="102260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244</xdr:row>
      <xdr:rowOff>419099</xdr:rowOff>
    </xdr:from>
    <xdr:to>
      <xdr:col>12</xdr:col>
      <xdr:colOff>536574</xdr:colOff>
      <xdr:row>248</xdr:row>
      <xdr:rowOff>12699</xdr:rowOff>
    </xdr:to>
    <xdr:pic>
      <xdr:nvPicPr>
        <xdr:cNvPr id="489" name="Imagen 488">
          <a:extLst>
            <a:ext uri="{FF2B5EF4-FFF2-40B4-BE49-F238E27FC236}">
              <a16:creationId xmlns:a16="http://schemas.microsoft.com/office/drawing/2014/main" id="{E85A96A8-2D22-55DB-65DD-6493AA07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1"/>
        <a:stretch>
          <a:fillRect/>
        </a:stretch>
      </xdr:blipFill>
      <xdr:spPr>
        <a:xfrm>
          <a:off x="14649449" y="102679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245</xdr:row>
      <xdr:rowOff>419099</xdr:rowOff>
    </xdr:from>
    <xdr:to>
      <xdr:col>12</xdr:col>
      <xdr:colOff>536574</xdr:colOff>
      <xdr:row>249</xdr:row>
      <xdr:rowOff>12699</xdr:rowOff>
    </xdr:to>
    <xdr:pic>
      <xdr:nvPicPr>
        <xdr:cNvPr id="491" name="Imagen 490">
          <a:extLst>
            <a:ext uri="{FF2B5EF4-FFF2-40B4-BE49-F238E27FC236}">
              <a16:creationId xmlns:a16="http://schemas.microsoft.com/office/drawing/2014/main" id="{AEF7B937-5E34-759F-C294-97C01ABC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2"/>
        <a:stretch>
          <a:fillRect/>
        </a:stretch>
      </xdr:blipFill>
      <xdr:spPr>
        <a:xfrm>
          <a:off x="14649449" y="103098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246</xdr:row>
      <xdr:rowOff>419099</xdr:rowOff>
    </xdr:from>
    <xdr:to>
      <xdr:col>12</xdr:col>
      <xdr:colOff>536574</xdr:colOff>
      <xdr:row>250</xdr:row>
      <xdr:rowOff>12699</xdr:rowOff>
    </xdr:to>
    <xdr:pic>
      <xdr:nvPicPr>
        <xdr:cNvPr id="493" name="Imagen 492">
          <a:extLst>
            <a:ext uri="{FF2B5EF4-FFF2-40B4-BE49-F238E27FC236}">
              <a16:creationId xmlns:a16="http://schemas.microsoft.com/office/drawing/2014/main" id="{284414DB-3847-DD25-6D68-F26FFB766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3"/>
        <a:stretch>
          <a:fillRect/>
        </a:stretch>
      </xdr:blipFill>
      <xdr:spPr>
        <a:xfrm>
          <a:off x="14649449" y="103517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247</xdr:row>
      <xdr:rowOff>419099</xdr:rowOff>
    </xdr:from>
    <xdr:to>
      <xdr:col>12</xdr:col>
      <xdr:colOff>536574</xdr:colOff>
      <xdr:row>251</xdr:row>
      <xdr:rowOff>12699</xdr:rowOff>
    </xdr:to>
    <xdr:pic>
      <xdr:nvPicPr>
        <xdr:cNvPr id="495" name="Imagen 494">
          <a:extLst>
            <a:ext uri="{FF2B5EF4-FFF2-40B4-BE49-F238E27FC236}">
              <a16:creationId xmlns:a16="http://schemas.microsoft.com/office/drawing/2014/main" id="{15676EE7-D9B7-9AAB-0157-1E9AA5E2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4"/>
        <a:stretch>
          <a:fillRect/>
        </a:stretch>
      </xdr:blipFill>
      <xdr:spPr>
        <a:xfrm>
          <a:off x="14649449" y="103936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248</xdr:row>
      <xdr:rowOff>419099</xdr:rowOff>
    </xdr:from>
    <xdr:to>
      <xdr:col>12</xdr:col>
      <xdr:colOff>536574</xdr:colOff>
      <xdr:row>252</xdr:row>
      <xdr:rowOff>12699</xdr:rowOff>
    </xdr:to>
    <xdr:pic>
      <xdr:nvPicPr>
        <xdr:cNvPr id="497" name="Imagen 496">
          <a:extLst>
            <a:ext uri="{FF2B5EF4-FFF2-40B4-BE49-F238E27FC236}">
              <a16:creationId xmlns:a16="http://schemas.microsoft.com/office/drawing/2014/main" id="{35CCE20D-D548-5EC8-74B8-48E3A0E67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5"/>
        <a:stretch>
          <a:fillRect/>
        </a:stretch>
      </xdr:blipFill>
      <xdr:spPr>
        <a:xfrm>
          <a:off x="14649449" y="104355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249</xdr:row>
      <xdr:rowOff>419099</xdr:rowOff>
    </xdr:from>
    <xdr:to>
      <xdr:col>12</xdr:col>
      <xdr:colOff>536574</xdr:colOff>
      <xdr:row>253</xdr:row>
      <xdr:rowOff>12699</xdr:rowOff>
    </xdr:to>
    <xdr:pic>
      <xdr:nvPicPr>
        <xdr:cNvPr id="499" name="Imagen 498">
          <a:extLst>
            <a:ext uri="{FF2B5EF4-FFF2-40B4-BE49-F238E27FC236}">
              <a16:creationId xmlns:a16="http://schemas.microsoft.com/office/drawing/2014/main" id="{908D0701-E7C3-D1CF-BF1A-0DD7E9E1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6"/>
        <a:stretch>
          <a:fillRect/>
        </a:stretch>
      </xdr:blipFill>
      <xdr:spPr>
        <a:xfrm>
          <a:off x="14649449" y="104774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250</xdr:row>
      <xdr:rowOff>419099</xdr:rowOff>
    </xdr:from>
    <xdr:to>
      <xdr:col>12</xdr:col>
      <xdr:colOff>536574</xdr:colOff>
      <xdr:row>254</xdr:row>
      <xdr:rowOff>12699</xdr:rowOff>
    </xdr:to>
    <xdr:pic>
      <xdr:nvPicPr>
        <xdr:cNvPr id="501" name="Imagen 500">
          <a:extLst>
            <a:ext uri="{FF2B5EF4-FFF2-40B4-BE49-F238E27FC236}">
              <a16:creationId xmlns:a16="http://schemas.microsoft.com/office/drawing/2014/main" id="{EA14C245-1EF5-C8EF-1333-5F87595CA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7"/>
        <a:stretch>
          <a:fillRect/>
        </a:stretch>
      </xdr:blipFill>
      <xdr:spPr>
        <a:xfrm>
          <a:off x="14649449" y="105194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251</xdr:row>
      <xdr:rowOff>419099</xdr:rowOff>
    </xdr:from>
    <xdr:to>
      <xdr:col>12</xdr:col>
      <xdr:colOff>536574</xdr:colOff>
      <xdr:row>255</xdr:row>
      <xdr:rowOff>12699</xdr:rowOff>
    </xdr:to>
    <xdr:pic>
      <xdr:nvPicPr>
        <xdr:cNvPr id="503" name="Imagen 502">
          <a:extLst>
            <a:ext uri="{FF2B5EF4-FFF2-40B4-BE49-F238E27FC236}">
              <a16:creationId xmlns:a16="http://schemas.microsoft.com/office/drawing/2014/main" id="{61C78562-E3B0-A8CD-BA21-AC2525FB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8"/>
        <a:stretch>
          <a:fillRect/>
        </a:stretch>
      </xdr:blipFill>
      <xdr:spPr>
        <a:xfrm>
          <a:off x="14649449" y="105613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252</xdr:row>
      <xdr:rowOff>419099</xdr:rowOff>
    </xdr:from>
    <xdr:to>
      <xdr:col>12</xdr:col>
      <xdr:colOff>536574</xdr:colOff>
      <xdr:row>256</xdr:row>
      <xdr:rowOff>12699</xdr:rowOff>
    </xdr:to>
    <xdr:pic>
      <xdr:nvPicPr>
        <xdr:cNvPr id="505" name="Imagen 504">
          <a:extLst>
            <a:ext uri="{FF2B5EF4-FFF2-40B4-BE49-F238E27FC236}">
              <a16:creationId xmlns:a16="http://schemas.microsoft.com/office/drawing/2014/main" id="{D3BFF38B-7360-5499-AC45-961B1B17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9"/>
        <a:stretch>
          <a:fillRect/>
        </a:stretch>
      </xdr:blipFill>
      <xdr:spPr>
        <a:xfrm>
          <a:off x="14649449" y="106032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253</xdr:row>
      <xdr:rowOff>419099</xdr:rowOff>
    </xdr:from>
    <xdr:to>
      <xdr:col>12</xdr:col>
      <xdr:colOff>536574</xdr:colOff>
      <xdr:row>257</xdr:row>
      <xdr:rowOff>12699</xdr:rowOff>
    </xdr:to>
    <xdr:pic>
      <xdr:nvPicPr>
        <xdr:cNvPr id="507" name="Imagen 506">
          <a:extLst>
            <a:ext uri="{FF2B5EF4-FFF2-40B4-BE49-F238E27FC236}">
              <a16:creationId xmlns:a16="http://schemas.microsoft.com/office/drawing/2014/main" id="{571F2B22-5C1B-84D1-4D04-D95399B2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0"/>
        <a:stretch>
          <a:fillRect/>
        </a:stretch>
      </xdr:blipFill>
      <xdr:spPr>
        <a:xfrm>
          <a:off x="14649449" y="106451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254</xdr:row>
      <xdr:rowOff>419099</xdr:rowOff>
    </xdr:from>
    <xdr:to>
      <xdr:col>12</xdr:col>
      <xdr:colOff>536574</xdr:colOff>
      <xdr:row>258</xdr:row>
      <xdr:rowOff>12699</xdr:rowOff>
    </xdr:to>
    <xdr:pic>
      <xdr:nvPicPr>
        <xdr:cNvPr id="509" name="Imagen 508">
          <a:extLst>
            <a:ext uri="{FF2B5EF4-FFF2-40B4-BE49-F238E27FC236}">
              <a16:creationId xmlns:a16="http://schemas.microsoft.com/office/drawing/2014/main" id="{83151B63-B7C4-56C5-305E-26D6C2DA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1"/>
        <a:stretch>
          <a:fillRect/>
        </a:stretch>
      </xdr:blipFill>
      <xdr:spPr>
        <a:xfrm>
          <a:off x="14649449" y="106870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255</xdr:row>
      <xdr:rowOff>419099</xdr:rowOff>
    </xdr:from>
    <xdr:to>
      <xdr:col>12</xdr:col>
      <xdr:colOff>536574</xdr:colOff>
      <xdr:row>259</xdr:row>
      <xdr:rowOff>12699</xdr:rowOff>
    </xdr:to>
    <xdr:pic>
      <xdr:nvPicPr>
        <xdr:cNvPr id="511" name="Imagen 510">
          <a:extLst>
            <a:ext uri="{FF2B5EF4-FFF2-40B4-BE49-F238E27FC236}">
              <a16:creationId xmlns:a16="http://schemas.microsoft.com/office/drawing/2014/main" id="{701AE293-79D9-3088-F93D-CD4E754F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2"/>
        <a:stretch>
          <a:fillRect/>
        </a:stretch>
      </xdr:blipFill>
      <xdr:spPr>
        <a:xfrm>
          <a:off x="14649449" y="107289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256</xdr:row>
      <xdr:rowOff>419099</xdr:rowOff>
    </xdr:from>
    <xdr:to>
      <xdr:col>12</xdr:col>
      <xdr:colOff>536574</xdr:colOff>
      <xdr:row>260</xdr:row>
      <xdr:rowOff>12699</xdr:rowOff>
    </xdr:to>
    <xdr:pic>
      <xdr:nvPicPr>
        <xdr:cNvPr id="513" name="Imagen 512">
          <a:extLst>
            <a:ext uri="{FF2B5EF4-FFF2-40B4-BE49-F238E27FC236}">
              <a16:creationId xmlns:a16="http://schemas.microsoft.com/office/drawing/2014/main" id="{72DB4FC5-4CA5-7A3C-3131-95D27D18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3"/>
        <a:stretch>
          <a:fillRect/>
        </a:stretch>
      </xdr:blipFill>
      <xdr:spPr>
        <a:xfrm>
          <a:off x="14649449" y="107708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257</xdr:row>
      <xdr:rowOff>419099</xdr:rowOff>
    </xdr:from>
    <xdr:to>
      <xdr:col>12</xdr:col>
      <xdr:colOff>536574</xdr:colOff>
      <xdr:row>261</xdr:row>
      <xdr:rowOff>12699</xdr:rowOff>
    </xdr:to>
    <xdr:pic>
      <xdr:nvPicPr>
        <xdr:cNvPr id="515" name="Imagen 514">
          <a:extLst>
            <a:ext uri="{FF2B5EF4-FFF2-40B4-BE49-F238E27FC236}">
              <a16:creationId xmlns:a16="http://schemas.microsoft.com/office/drawing/2014/main" id="{59FB25C1-0055-9943-4FDC-A0DF68A01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4"/>
        <a:stretch>
          <a:fillRect/>
        </a:stretch>
      </xdr:blipFill>
      <xdr:spPr>
        <a:xfrm>
          <a:off x="14649449" y="108127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258</xdr:row>
      <xdr:rowOff>419099</xdr:rowOff>
    </xdr:from>
    <xdr:to>
      <xdr:col>12</xdr:col>
      <xdr:colOff>536574</xdr:colOff>
      <xdr:row>262</xdr:row>
      <xdr:rowOff>12699</xdr:rowOff>
    </xdr:to>
    <xdr:pic>
      <xdr:nvPicPr>
        <xdr:cNvPr id="517" name="Imagen 516">
          <a:extLst>
            <a:ext uri="{FF2B5EF4-FFF2-40B4-BE49-F238E27FC236}">
              <a16:creationId xmlns:a16="http://schemas.microsoft.com/office/drawing/2014/main" id="{66904225-C24F-C4F4-9A9D-3B0C037A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5"/>
        <a:stretch>
          <a:fillRect/>
        </a:stretch>
      </xdr:blipFill>
      <xdr:spPr>
        <a:xfrm>
          <a:off x="14649449" y="108546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259</xdr:row>
      <xdr:rowOff>419099</xdr:rowOff>
    </xdr:from>
    <xdr:to>
      <xdr:col>12</xdr:col>
      <xdr:colOff>536574</xdr:colOff>
      <xdr:row>263</xdr:row>
      <xdr:rowOff>12699</xdr:rowOff>
    </xdr:to>
    <xdr:pic>
      <xdr:nvPicPr>
        <xdr:cNvPr id="519" name="Imagen 518">
          <a:extLst>
            <a:ext uri="{FF2B5EF4-FFF2-40B4-BE49-F238E27FC236}">
              <a16:creationId xmlns:a16="http://schemas.microsoft.com/office/drawing/2014/main" id="{FF4DF6E6-DC79-22F9-9FEA-A175DAD88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6"/>
        <a:stretch>
          <a:fillRect/>
        </a:stretch>
      </xdr:blipFill>
      <xdr:spPr>
        <a:xfrm>
          <a:off x="14649449" y="108965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260</xdr:row>
      <xdr:rowOff>419099</xdr:rowOff>
    </xdr:from>
    <xdr:to>
      <xdr:col>12</xdr:col>
      <xdr:colOff>536574</xdr:colOff>
      <xdr:row>264</xdr:row>
      <xdr:rowOff>12699</xdr:rowOff>
    </xdr:to>
    <xdr:pic>
      <xdr:nvPicPr>
        <xdr:cNvPr id="521" name="Imagen 520">
          <a:extLst>
            <a:ext uri="{FF2B5EF4-FFF2-40B4-BE49-F238E27FC236}">
              <a16:creationId xmlns:a16="http://schemas.microsoft.com/office/drawing/2014/main" id="{8438C27B-406F-71A0-3045-E3ECD0CD0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7"/>
        <a:stretch>
          <a:fillRect/>
        </a:stretch>
      </xdr:blipFill>
      <xdr:spPr>
        <a:xfrm>
          <a:off x="14649449" y="109385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261</xdr:row>
      <xdr:rowOff>419099</xdr:rowOff>
    </xdr:from>
    <xdr:to>
      <xdr:col>12</xdr:col>
      <xdr:colOff>536574</xdr:colOff>
      <xdr:row>265</xdr:row>
      <xdr:rowOff>12699</xdr:rowOff>
    </xdr:to>
    <xdr:pic>
      <xdr:nvPicPr>
        <xdr:cNvPr id="523" name="Imagen 522">
          <a:extLst>
            <a:ext uri="{FF2B5EF4-FFF2-40B4-BE49-F238E27FC236}">
              <a16:creationId xmlns:a16="http://schemas.microsoft.com/office/drawing/2014/main" id="{5277C7F7-AFB5-54C8-25F3-7033A630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8"/>
        <a:stretch>
          <a:fillRect/>
        </a:stretch>
      </xdr:blipFill>
      <xdr:spPr>
        <a:xfrm>
          <a:off x="14649449" y="109804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262</xdr:row>
      <xdr:rowOff>419099</xdr:rowOff>
    </xdr:from>
    <xdr:to>
      <xdr:col>12</xdr:col>
      <xdr:colOff>536574</xdr:colOff>
      <xdr:row>266</xdr:row>
      <xdr:rowOff>12699</xdr:rowOff>
    </xdr:to>
    <xdr:pic>
      <xdr:nvPicPr>
        <xdr:cNvPr id="525" name="Imagen 524">
          <a:extLst>
            <a:ext uri="{FF2B5EF4-FFF2-40B4-BE49-F238E27FC236}">
              <a16:creationId xmlns:a16="http://schemas.microsoft.com/office/drawing/2014/main" id="{A3350614-661A-AFEC-94A5-B5459748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9"/>
        <a:stretch>
          <a:fillRect/>
        </a:stretch>
      </xdr:blipFill>
      <xdr:spPr>
        <a:xfrm>
          <a:off x="14649449" y="110223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263</xdr:row>
      <xdr:rowOff>419099</xdr:rowOff>
    </xdr:from>
    <xdr:to>
      <xdr:col>12</xdr:col>
      <xdr:colOff>536574</xdr:colOff>
      <xdr:row>267</xdr:row>
      <xdr:rowOff>12699</xdr:rowOff>
    </xdr:to>
    <xdr:pic>
      <xdr:nvPicPr>
        <xdr:cNvPr id="527" name="Imagen 526">
          <a:extLst>
            <a:ext uri="{FF2B5EF4-FFF2-40B4-BE49-F238E27FC236}">
              <a16:creationId xmlns:a16="http://schemas.microsoft.com/office/drawing/2014/main" id="{01D2B00C-D74C-A813-5A78-F7F84F35B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0"/>
        <a:stretch>
          <a:fillRect/>
        </a:stretch>
      </xdr:blipFill>
      <xdr:spPr>
        <a:xfrm>
          <a:off x="14649449" y="110642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264</xdr:row>
      <xdr:rowOff>419099</xdr:rowOff>
    </xdr:from>
    <xdr:to>
      <xdr:col>12</xdr:col>
      <xdr:colOff>536574</xdr:colOff>
      <xdr:row>268</xdr:row>
      <xdr:rowOff>12699</xdr:rowOff>
    </xdr:to>
    <xdr:pic>
      <xdr:nvPicPr>
        <xdr:cNvPr id="529" name="Imagen 528">
          <a:extLst>
            <a:ext uri="{FF2B5EF4-FFF2-40B4-BE49-F238E27FC236}">
              <a16:creationId xmlns:a16="http://schemas.microsoft.com/office/drawing/2014/main" id="{2D7D9084-2982-1CE9-6C73-AA86D456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1"/>
        <a:stretch>
          <a:fillRect/>
        </a:stretch>
      </xdr:blipFill>
      <xdr:spPr>
        <a:xfrm>
          <a:off x="14649449" y="111061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265</xdr:row>
      <xdr:rowOff>419099</xdr:rowOff>
    </xdr:from>
    <xdr:to>
      <xdr:col>12</xdr:col>
      <xdr:colOff>536574</xdr:colOff>
      <xdr:row>269</xdr:row>
      <xdr:rowOff>12699</xdr:rowOff>
    </xdr:to>
    <xdr:pic>
      <xdr:nvPicPr>
        <xdr:cNvPr id="531" name="Imagen 530">
          <a:extLst>
            <a:ext uri="{FF2B5EF4-FFF2-40B4-BE49-F238E27FC236}">
              <a16:creationId xmlns:a16="http://schemas.microsoft.com/office/drawing/2014/main" id="{75897CC2-628B-5D40-6CD5-186484522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2"/>
        <a:stretch>
          <a:fillRect/>
        </a:stretch>
      </xdr:blipFill>
      <xdr:spPr>
        <a:xfrm>
          <a:off x="14649449" y="111480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266</xdr:row>
      <xdr:rowOff>419099</xdr:rowOff>
    </xdr:from>
    <xdr:to>
      <xdr:col>12</xdr:col>
      <xdr:colOff>536574</xdr:colOff>
      <xdr:row>270</xdr:row>
      <xdr:rowOff>12699</xdr:rowOff>
    </xdr:to>
    <xdr:pic>
      <xdr:nvPicPr>
        <xdr:cNvPr id="533" name="Imagen 532">
          <a:extLst>
            <a:ext uri="{FF2B5EF4-FFF2-40B4-BE49-F238E27FC236}">
              <a16:creationId xmlns:a16="http://schemas.microsoft.com/office/drawing/2014/main" id="{167BCE28-9184-A94C-C0CD-05857A1D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3"/>
        <a:stretch>
          <a:fillRect/>
        </a:stretch>
      </xdr:blipFill>
      <xdr:spPr>
        <a:xfrm>
          <a:off x="14649449" y="111899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267</xdr:row>
      <xdr:rowOff>419099</xdr:rowOff>
    </xdr:from>
    <xdr:to>
      <xdr:col>12</xdr:col>
      <xdr:colOff>536574</xdr:colOff>
      <xdr:row>271</xdr:row>
      <xdr:rowOff>12699</xdr:rowOff>
    </xdr:to>
    <xdr:pic>
      <xdr:nvPicPr>
        <xdr:cNvPr id="535" name="Imagen 534">
          <a:extLst>
            <a:ext uri="{FF2B5EF4-FFF2-40B4-BE49-F238E27FC236}">
              <a16:creationId xmlns:a16="http://schemas.microsoft.com/office/drawing/2014/main" id="{39F36A4A-025B-390B-587C-EDE8E9BF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4"/>
        <a:stretch>
          <a:fillRect/>
        </a:stretch>
      </xdr:blipFill>
      <xdr:spPr>
        <a:xfrm>
          <a:off x="14649449" y="112318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268</xdr:row>
      <xdr:rowOff>419099</xdr:rowOff>
    </xdr:from>
    <xdr:to>
      <xdr:col>12</xdr:col>
      <xdr:colOff>536574</xdr:colOff>
      <xdr:row>272</xdr:row>
      <xdr:rowOff>12699</xdr:rowOff>
    </xdr:to>
    <xdr:pic>
      <xdr:nvPicPr>
        <xdr:cNvPr id="537" name="Imagen 536">
          <a:extLst>
            <a:ext uri="{FF2B5EF4-FFF2-40B4-BE49-F238E27FC236}">
              <a16:creationId xmlns:a16="http://schemas.microsoft.com/office/drawing/2014/main" id="{69216B0D-FE90-7B0D-471C-8FB31F12E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5"/>
        <a:stretch>
          <a:fillRect/>
        </a:stretch>
      </xdr:blipFill>
      <xdr:spPr>
        <a:xfrm>
          <a:off x="14649449" y="112737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269</xdr:row>
      <xdr:rowOff>419099</xdr:rowOff>
    </xdr:from>
    <xdr:to>
      <xdr:col>12</xdr:col>
      <xdr:colOff>536574</xdr:colOff>
      <xdr:row>273</xdr:row>
      <xdr:rowOff>12699</xdr:rowOff>
    </xdr:to>
    <xdr:pic>
      <xdr:nvPicPr>
        <xdr:cNvPr id="539" name="Imagen 538">
          <a:extLst>
            <a:ext uri="{FF2B5EF4-FFF2-40B4-BE49-F238E27FC236}">
              <a16:creationId xmlns:a16="http://schemas.microsoft.com/office/drawing/2014/main" id="{2C471EE0-4401-4825-BC36-7B9F22AD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6"/>
        <a:stretch>
          <a:fillRect/>
        </a:stretch>
      </xdr:blipFill>
      <xdr:spPr>
        <a:xfrm>
          <a:off x="14649449" y="113156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270</xdr:row>
      <xdr:rowOff>419099</xdr:rowOff>
    </xdr:from>
    <xdr:to>
      <xdr:col>12</xdr:col>
      <xdr:colOff>536574</xdr:colOff>
      <xdr:row>274</xdr:row>
      <xdr:rowOff>12699</xdr:rowOff>
    </xdr:to>
    <xdr:pic>
      <xdr:nvPicPr>
        <xdr:cNvPr id="541" name="Imagen 540">
          <a:extLst>
            <a:ext uri="{FF2B5EF4-FFF2-40B4-BE49-F238E27FC236}">
              <a16:creationId xmlns:a16="http://schemas.microsoft.com/office/drawing/2014/main" id="{7ADDA5A8-0476-FF9F-8631-74BB9A0C6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7"/>
        <a:stretch>
          <a:fillRect/>
        </a:stretch>
      </xdr:blipFill>
      <xdr:spPr>
        <a:xfrm>
          <a:off x="14649449" y="113576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271</xdr:row>
      <xdr:rowOff>419099</xdr:rowOff>
    </xdr:from>
    <xdr:to>
      <xdr:col>12</xdr:col>
      <xdr:colOff>536574</xdr:colOff>
      <xdr:row>275</xdr:row>
      <xdr:rowOff>12699</xdr:rowOff>
    </xdr:to>
    <xdr:pic>
      <xdr:nvPicPr>
        <xdr:cNvPr id="543" name="Imagen 542">
          <a:extLst>
            <a:ext uri="{FF2B5EF4-FFF2-40B4-BE49-F238E27FC236}">
              <a16:creationId xmlns:a16="http://schemas.microsoft.com/office/drawing/2014/main" id="{CB1D0EE8-3E5A-7F4D-7B07-4F8651C40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8"/>
        <a:stretch>
          <a:fillRect/>
        </a:stretch>
      </xdr:blipFill>
      <xdr:spPr>
        <a:xfrm>
          <a:off x="14649449" y="113995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272</xdr:row>
      <xdr:rowOff>419099</xdr:rowOff>
    </xdr:from>
    <xdr:to>
      <xdr:col>12</xdr:col>
      <xdr:colOff>536574</xdr:colOff>
      <xdr:row>276</xdr:row>
      <xdr:rowOff>12699</xdr:rowOff>
    </xdr:to>
    <xdr:pic>
      <xdr:nvPicPr>
        <xdr:cNvPr id="545" name="Imagen 544">
          <a:extLst>
            <a:ext uri="{FF2B5EF4-FFF2-40B4-BE49-F238E27FC236}">
              <a16:creationId xmlns:a16="http://schemas.microsoft.com/office/drawing/2014/main" id="{1C0B4F60-2F78-1953-0BF8-24AE485B8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9"/>
        <a:stretch>
          <a:fillRect/>
        </a:stretch>
      </xdr:blipFill>
      <xdr:spPr>
        <a:xfrm>
          <a:off x="14649449" y="114414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273</xdr:row>
      <xdr:rowOff>419099</xdr:rowOff>
    </xdr:from>
    <xdr:to>
      <xdr:col>12</xdr:col>
      <xdr:colOff>536574</xdr:colOff>
      <xdr:row>277</xdr:row>
      <xdr:rowOff>12699</xdr:rowOff>
    </xdr:to>
    <xdr:pic>
      <xdr:nvPicPr>
        <xdr:cNvPr id="547" name="Imagen 546">
          <a:extLst>
            <a:ext uri="{FF2B5EF4-FFF2-40B4-BE49-F238E27FC236}">
              <a16:creationId xmlns:a16="http://schemas.microsoft.com/office/drawing/2014/main" id="{932C30FD-DF7B-5F79-DFCA-FF7FA225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0"/>
        <a:stretch>
          <a:fillRect/>
        </a:stretch>
      </xdr:blipFill>
      <xdr:spPr>
        <a:xfrm>
          <a:off x="14649449" y="114833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274</xdr:row>
      <xdr:rowOff>419099</xdr:rowOff>
    </xdr:from>
    <xdr:to>
      <xdr:col>12</xdr:col>
      <xdr:colOff>536574</xdr:colOff>
      <xdr:row>278</xdr:row>
      <xdr:rowOff>12699</xdr:rowOff>
    </xdr:to>
    <xdr:pic>
      <xdr:nvPicPr>
        <xdr:cNvPr id="549" name="Imagen 548">
          <a:extLst>
            <a:ext uri="{FF2B5EF4-FFF2-40B4-BE49-F238E27FC236}">
              <a16:creationId xmlns:a16="http://schemas.microsoft.com/office/drawing/2014/main" id="{DC4732C7-BD41-6FD2-CFC7-AAE580C2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1"/>
        <a:stretch>
          <a:fillRect/>
        </a:stretch>
      </xdr:blipFill>
      <xdr:spPr>
        <a:xfrm>
          <a:off x="14649449" y="115252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275</xdr:row>
      <xdr:rowOff>419099</xdr:rowOff>
    </xdr:from>
    <xdr:to>
      <xdr:col>12</xdr:col>
      <xdr:colOff>536574</xdr:colOff>
      <xdr:row>279</xdr:row>
      <xdr:rowOff>12699</xdr:rowOff>
    </xdr:to>
    <xdr:pic>
      <xdr:nvPicPr>
        <xdr:cNvPr id="551" name="Imagen 550">
          <a:extLst>
            <a:ext uri="{FF2B5EF4-FFF2-40B4-BE49-F238E27FC236}">
              <a16:creationId xmlns:a16="http://schemas.microsoft.com/office/drawing/2014/main" id="{67340690-87FB-5832-8E2A-54398AD63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2"/>
        <a:stretch>
          <a:fillRect/>
        </a:stretch>
      </xdr:blipFill>
      <xdr:spPr>
        <a:xfrm>
          <a:off x="14649449" y="115671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276</xdr:row>
      <xdr:rowOff>419099</xdr:rowOff>
    </xdr:from>
    <xdr:to>
      <xdr:col>12</xdr:col>
      <xdr:colOff>536574</xdr:colOff>
      <xdr:row>280</xdr:row>
      <xdr:rowOff>12699</xdr:rowOff>
    </xdr:to>
    <xdr:pic>
      <xdr:nvPicPr>
        <xdr:cNvPr id="553" name="Imagen 552">
          <a:extLst>
            <a:ext uri="{FF2B5EF4-FFF2-40B4-BE49-F238E27FC236}">
              <a16:creationId xmlns:a16="http://schemas.microsoft.com/office/drawing/2014/main" id="{A60FABF2-F017-2C31-80D2-9105485D4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3"/>
        <a:stretch>
          <a:fillRect/>
        </a:stretch>
      </xdr:blipFill>
      <xdr:spPr>
        <a:xfrm>
          <a:off x="14649449" y="116090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277</xdr:row>
      <xdr:rowOff>419099</xdr:rowOff>
    </xdr:from>
    <xdr:to>
      <xdr:col>12</xdr:col>
      <xdr:colOff>536574</xdr:colOff>
      <xdr:row>281</xdr:row>
      <xdr:rowOff>12699</xdr:rowOff>
    </xdr:to>
    <xdr:pic>
      <xdr:nvPicPr>
        <xdr:cNvPr id="555" name="Imagen 554">
          <a:extLst>
            <a:ext uri="{FF2B5EF4-FFF2-40B4-BE49-F238E27FC236}">
              <a16:creationId xmlns:a16="http://schemas.microsoft.com/office/drawing/2014/main" id="{86FE7313-71D2-6050-0268-E4ADE7877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4"/>
        <a:stretch>
          <a:fillRect/>
        </a:stretch>
      </xdr:blipFill>
      <xdr:spPr>
        <a:xfrm>
          <a:off x="14649449" y="116509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278</xdr:row>
      <xdr:rowOff>419099</xdr:rowOff>
    </xdr:from>
    <xdr:to>
      <xdr:col>12</xdr:col>
      <xdr:colOff>536574</xdr:colOff>
      <xdr:row>282</xdr:row>
      <xdr:rowOff>12699</xdr:rowOff>
    </xdr:to>
    <xdr:pic>
      <xdr:nvPicPr>
        <xdr:cNvPr id="557" name="Imagen 556">
          <a:extLst>
            <a:ext uri="{FF2B5EF4-FFF2-40B4-BE49-F238E27FC236}">
              <a16:creationId xmlns:a16="http://schemas.microsoft.com/office/drawing/2014/main" id="{BFFBF002-47DE-89AF-1837-A57F4BC1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5"/>
        <a:stretch>
          <a:fillRect/>
        </a:stretch>
      </xdr:blipFill>
      <xdr:spPr>
        <a:xfrm>
          <a:off x="14649449" y="116928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279</xdr:row>
      <xdr:rowOff>419099</xdr:rowOff>
    </xdr:from>
    <xdr:to>
      <xdr:col>12</xdr:col>
      <xdr:colOff>536574</xdr:colOff>
      <xdr:row>283</xdr:row>
      <xdr:rowOff>12699</xdr:rowOff>
    </xdr:to>
    <xdr:pic>
      <xdr:nvPicPr>
        <xdr:cNvPr id="559" name="Imagen 558">
          <a:extLst>
            <a:ext uri="{FF2B5EF4-FFF2-40B4-BE49-F238E27FC236}">
              <a16:creationId xmlns:a16="http://schemas.microsoft.com/office/drawing/2014/main" id="{C33377D1-7F70-12C1-2256-120E0E4F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6"/>
        <a:stretch>
          <a:fillRect/>
        </a:stretch>
      </xdr:blipFill>
      <xdr:spPr>
        <a:xfrm>
          <a:off x="14649449" y="117347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280</xdr:row>
      <xdr:rowOff>419099</xdr:rowOff>
    </xdr:from>
    <xdr:to>
      <xdr:col>12</xdr:col>
      <xdr:colOff>536574</xdr:colOff>
      <xdr:row>284</xdr:row>
      <xdr:rowOff>12699</xdr:rowOff>
    </xdr:to>
    <xdr:pic>
      <xdr:nvPicPr>
        <xdr:cNvPr id="561" name="Imagen 560">
          <a:extLst>
            <a:ext uri="{FF2B5EF4-FFF2-40B4-BE49-F238E27FC236}">
              <a16:creationId xmlns:a16="http://schemas.microsoft.com/office/drawing/2014/main" id="{2BFECBFD-293D-45C0-D854-DAF9D1F47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3"/>
        <a:stretch>
          <a:fillRect/>
        </a:stretch>
      </xdr:blipFill>
      <xdr:spPr>
        <a:xfrm>
          <a:off x="14649449" y="117767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281</xdr:row>
      <xdr:rowOff>419099</xdr:rowOff>
    </xdr:from>
    <xdr:to>
      <xdr:col>12</xdr:col>
      <xdr:colOff>536574</xdr:colOff>
      <xdr:row>285</xdr:row>
      <xdr:rowOff>12699</xdr:rowOff>
    </xdr:to>
    <xdr:pic>
      <xdr:nvPicPr>
        <xdr:cNvPr id="563" name="Imagen 562">
          <a:extLst>
            <a:ext uri="{FF2B5EF4-FFF2-40B4-BE49-F238E27FC236}">
              <a16:creationId xmlns:a16="http://schemas.microsoft.com/office/drawing/2014/main" id="{B3623CF5-95D9-D72D-05FE-BF40F2A5A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7"/>
        <a:stretch>
          <a:fillRect/>
        </a:stretch>
      </xdr:blipFill>
      <xdr:spPr>
        <a:xfrm>
          <a:off x="14649449" y="118186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282</xdr:row>
      <xdr:rowOff>419099</xdr:rowOff>
    </xdr:from>
    <xdr:to>
      <xdr:col>12</xdr:col>
      <xdr:colOff>536574</xdr:colOff>
      <xdr:row>286</xdr:row>
      <xdr:rowOff>12699</xdr:rowOff>
    </xdr:to>
    <xdr:pic>
      <xdr:nvPicPr>
        <xdr:cNvPr id="565" name="Imagen 564">
          <a:extLst>
            <a:ext uri="{FF2B5EF4-FFF2-40B4-BE49-F238E27FC236}">
              <a16:creationId xmlns:a16="http://schemas.microsoft.com/office/drawing/2014/main" id="{E8381E4D-9B4B-3C3C-C4A9-FA257A6CD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8"/>
        <a:stretch>
          <a:fillRect/>
        </a:stretch>
      </xdr:blipFill>
      <xdr:spPr>
        <a:xfrm>
          <a:off x="14649449" y="118605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283</xdr:row>
      <xdr:rowOff>419099</xdr:rowOff>
    </xdr:from>
    <xdr:to>
      <xdr:col>12</xdr:col>
      <xdr:colOff>536574</xdr:colOff>
      <xdr:row>287</xdr:row>
      <xdr:rowOff>12699</xdr:rowOff>
    </xdr:to>
    <xdr:pic>
      <xdr:nvPicPr>
        <xdr:cNvPr id="567" name="Imagen 566">
          <a:extLst>
            <a:ext uri="{FF2B5EF4-FFF2-40B4-BE49-F238E27FC236}">
              <a16:creationId xmlns:a16="http://schemas.microsoft.com/office/drawing/2014/main" id="{1A8754CD-9CDB-0956-B987-C94DD9932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9"/>
        <a:stretch>
          <a:fillRect/>
        </a:stretch>
      </xdr:blipFill>
      <xdr:spPr>
        <a:xfrm>
          <a:off x="14649449" y="119024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284</xdr:row>
      <xdr:rowOff>419099</xdr:rowOff>
    </xdr:from>
    <xdr:to>
      <xdr:col>12</xdr:col>
      <xdr:colOff>536574</xdr:colOff>
      <xdr:row>288</xdr:row>
      <xdr:rowOff>12699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814F90AA-69CE-0F62-C1B1-E75EE47A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0"/>
        <a:stretch>
          <a:fillRect/>
        </a:stretch>
      </xdr:blipFill>
      <xdr:spPr>
        <a:xfrm>
          <a:off x="14649449" y="119443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285</xdr:row>
      <xdr:rowOff>419099</xdr:rowOff>
    </xdr:from>
    <xdr:to>
      <xdr:col>12</xdr:col>
      <xdr:colOff>536574</xdr:colOff>
      <xdr:row>289</xdr:row>
      <xdr:rowOff>12699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318EB19C-6F79-3DA9-C3D2-0DD1FF0B9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1"/>
        <a:stretch>
          <a:fillRect/>
        </a:stretch>
      </xdr:blipFill>
      <xdr:spPr>
        <a:xfrm>
          <a:off x="14649449" y="119862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286</xdr:row>
      <xdr:rowOff>419099</xdr:rowOff>
    </xdr:from>
    <xdr:to>
      <xdr:col>12</xdr:col>
      <xdr:colOff>536574</xdr:colOff>
      <xdr:row>290</xdr:row>
      <xdr:rowOff>12699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415422E1-CD4A-5BA1-EDE8-1DBA148DF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2"/>
        <a:stretch>
          <a:fillRect/>
        </a:stretch>
      </xdr:blipFill>
      <xdr:spPr>
        <a:xfrm>
          <a:off x="14649449" y="120281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287</xdr:row>
      <xdr:rowOff>419099</xdr:rowOff>
    </xdr:from>
    <xdr:to>
      <xdr:col>12</xdr:col>
      <xdr:colOff>536574</xdr:colOff>
      <xdr:row>291</xdr:row>
      <xdr:rowOff>12699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5681ACF2-045D-ECB6-8DD7-9B8A65EE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3"/>
        <a:stretch>
          <a:fillRect/>
        </a:stretch>
      </xdr:blipFill>
      <xdr:spPr>
        <a:xfrm>
          <a:off x="14649449" y="120700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288</xdr:row>
      <xdr:rowOff>419099</xdr:rowOff>
    </xdr:from>
    <xdr:to>
      <xdr:col>12</xdr:col>
      <xdr:colOff>536574</xdr:colOff>
      <xdr:row>292</xdr:row>
      <xdr:rowOff>12699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EAD39CDF-7AAE-0749-9FE4-F1DE39E9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4"/>
        <a:stretch>
          <a:fillRect/>
        </a:stretch>
      </xdr:blipFill>
      <xdr:spPr>
        <a:xfrm>
          <a:off x="14649449" y="121119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289</xdr:row>
      <xdr:rowOff>419099</xdr:rowOff>
    </xdr:from>
    <xdr:to>
      <xdr:col>12</xdr:col>
      <xdr:colOff>536574</xdr:colOff>
      <xdr:row>293</xdr:row>
      <xdr:rowOff>12699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8F304B0A-3ECC-8978-43E9-F0C455FB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5"/>
        <a:stretch>
          <a:fillRect/>
        </a:stretch>
      </xdr:blipFill>
      <xdr:spPr>
        <a:xfrm>
          <a:off x="14649449" y="121538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290</xdr:row>
      <xdr:rowOff>419099</xdr:rowOff>
    </xdr:from>
    <xdr:to>
      <xdr:col>12</xdr:col>
      <xdr:colOff>536574</xdr:colOff>
      <xdr:row>294</xdr:row>
      <xdr:rowOff>12699</xdr:rowOff>
    </xdr:to>
    <xdr:pic>
      <xdr:nvPicPr>
        <xdr:cNvPr id="581" name="Imagen 580">
          <a:extLst>
            <a:ext uri="{FF2B5EF4-FFF2-40B4-BE49-F238E27FC236}">
              <a16:creationId xmlns:a16="http://schemas.microsoft.com/office/drawing/2014/main" id="{441D3F38-102B-2791-72F2-A6F7F17CE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6"/>
        <a:stretch>
          <a:fillRect/>
        </a:stretch>
      </xdr:blipFill>
      <xdr:spPr>
        <a:xfrm>
          <a:off x="14649449" y="121958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291</xdr:row>
      <xdr:rowOff>419099</xdr:rowOff>
    </xdr:from>
    <xdr:to>
      <xdr:col>12</xdr:col>
      <xdr:colOff>536574</xdr:colOff>
      <xdr:row>295</xdr:row>
      <xdr:rowOff>12699</xdr:rowOff>
    </xdr:to>
    <xdr:pic>
      <xdr:nvPicPr>
        <xdr:cNvPr id="583" name="Imagen 582">
          <a:extLst>
            <a:ext uri="{FF2B5EF4-FFF2-40B4-BE49-F238E27FC236}">
              <a16:creationId xmlns:a16="http://schemas.microsoft.com/office/drawing/2014/main" id="{CB3D7F13-0ABD-8641-CDAE-84CC02A9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7"/>
        <a:stretch>
          <a:fillRect/>
        </a:stretch>
      </xdr:blipFill>
      <xdr:spPr>
        <a:xfrm>
          <a:off x="14649449" y="122377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292</xdr:row>
      <xdr:rowOff>419099</xdr:rowOff>
    </xdr:from>
    <xdr:to>
      <xdr:col>12</xdr:col>
      <xdr:colOff>536574</xdr:colOff>
      <xdr:row>296</xdr:row>
      <xdr:rowOff>12699</xdr:rowOff>
    </xdr:to>
    <xdr:pic>
      <xdr:nvPicPr>
        <xdr:cNvPr id="585" name="Imagen 584">
          <a:extLst>
            <a:ext uri="{FF2B5EF4-FFF2-40B4-BE49-F238E27FC236}">
              <a16:creationId xmlns:a16="http://schemas.microsoft.com/office/drawing/2014/main" id="{9F017295-CF82-8525-E013-2E28ADF58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8"/>
        <a:stretch>
          <a:fillRect/>
        </a:stretch>
      </xdr:blipFill>
      <xdr:spPr>
        <a:xfrm>
          <a:off x="14649449" y="122796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293</xdr:row>
      <xdr:rowOff>419099</xdr:rowOff>
    </xdr:from>
    <xdr:to>
      <xdr:col>12</xdr:col>
      <xdr:colOff>536574</xdr:colOff>
      <xdr:row>297</xdr:row>
      <xdr:rowOff>12699</xdr:rowOff>
    </xdr:to>
    <xdr:pic>
      <xdr:nvPicPr>
        <xdr:cNvPr id="587" name="Imagen 586">
          <a:extLst>
            <a:ext uri="{FF2B5EF4-FFF2-40B4-BE49-F238E27FC236}">
              <a16:creationId xmlns:a16="http://schemas.microsoft.com/office/drawing/2014/main" id="{EB46638C-F377-5749-F806-61F71F9A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9"/>
        <a:stretch>
          <a:fillRect/>
        </a:stretch>
      </xdr:blipFill>
      <xdr:spPr>
        <a:xfrm>
          <a:off x="14649449" y="123215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294</xdr:row>
      <xdr:rowOff>419099</xdr:rowOff>
    </xdr:from>
    <xdr:to>
      <xdr:col>12</xdr:col>
      <xdr:colOff>536574</xdr:colOff>
      <xdr:row>298</xdr:row>
      <xdr:rowOff>12699</xdr:rowOff>
    </xdr:to>
    <xdr:pic>
      <xdr:nvPicPr>
        <xdr:cNvPr id="589" name="Imagen 588">
          <a:extLst>
            <a:ext uri="{FF2B5EF4-FFF2-40B4-BE49-F238E27FC236}">
              <a16:creationId xmlns:a16="http://schemas.microsoft.com/office/drawing/2014/main" id="{225FD091-5B06-8BE2-1894-4377FC09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0"/>
        <a:stretch>
          <a:fillRect/>
        </a:stretch>
      </xdr:blipFill>
      <xdr:spPr>
        <a:xfrm>
          <a:off x="14649449" y="123634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295</xdr:row>
      <xdr:rowOff>419099</xdr:rowOff>
    </xdr:from>
    <xdr:to>
      <xdr:col>12</xdr:col>
      <xdr:colOff>536574</xdr:colOff>
      <xdr:row>299</xdr:row>
      <xdr:rowOff>12699</xdr:rowOff>
    </xdr:to>
    <xdr:pic>
      <xdr:nvPicPr>
        <xdr:cNvPr id="591" name="Imagen 590">
          <a:extLst>
            <a:ext uri="{FF2B5EF4-FFF2-40B4-BE49-F238E27FC236}">
              <a16:creationId xmlns:a16="http://schemas.microsoft.com/office/drawing/2014/main" id="{434D843B-DDC1-B87E-5F82-DEFC293BF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1"/>
        <a:stretch>
          <a:fillRect/>
        </a:stretch>
      </xdr:blipFill>
      <xdr:spPr>
        <a:xfrm>
          <a:off x="14649449" y="124053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296</xdr:row>
      <xdr:rowOff>419099</xdr:rowOff>
    </xdr:from>
    <xdr:to>
      <xdr:col>12</xdr:col>
      <xdr:colOff>536574</xdr:colOff>
      <xdr:row>300</xdr:row>
      <xdr:rowOff>12699</xdr:rowOff>
    </xdr:to>
    <xdr:pic>
      <xdr:nvPicPr>
        <xdr:cNvPr id="593" name="Imagen 592">
          <a:extLst>
            <a:ext uri="{FF2B5EF4-FFF2-40B4-BE49-F238E27FC236}">
              <a16:creationId xmlns:a16="http://schemas.microsoft.com/office/drawing/2014/main" id="{834A6358-9D66-CDA0-BFF9-CB846353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2"/>
        <a:stretch>
          <a:fillRect/>
        </a:stretch>
      </xdr:blipFill>
      <xdr:spPr>
        <a:xfrm>
          <a:off x="14649449" y="124472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297</xdr:row>
      <xdr:rowOff>419099</xdr:rowOff>
    </xdr:from>
    <xdr:to>
      <xdr:col>12</xdr:col>
      <xdr:colOff>536574</xdr:colOff>
      <xdr:row>301</xdr:row>
      <xdr:rowOff>12699</xdr:rowOff>
    </xdr:to>
    <xdr:pic>
      <xdr:nvPicPr>
        <xdr:cNvPr id="595" name="Imagen 594">
          <a:extLst>
            <a:ext uri="{FF2B5EF4-FFF2-40B4-BE49-F238E27FC236}">
              <a16:creationId xmlns:a16="http://schemas.microsoft.com/office/drawing/2014/main" id="{01946F6D-B312-633E-B170-730835F8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3"/>
        <a:stretch>
          <a:fillRect/>
        </a:stretch>
      </xdr:blipFill>
      <xdr:spPr>
        <a:xfrm>
          <a:off x="14649449" y="124891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298</xdr:row>
      <xdr:rowOff>419099</xdr:rowOff>
    </xdr:from>
    <xdr:to>
      <xdr:col>12</xdr:col>
      <xdr:colOff>536574</xdr:colOff>
      <xdr:row>302</xdr:row>
      <xdr:rowOff>12699</xdr:rowOff>
    </xdr:to>
    <xdr:pic>
      <xdr:nvPicPr>
        <xdr:cNvPr id="597" name="Imagen 596">
          <a:extLst>
            <a:ext uri="{FF2B5EF4-FFF2-40B4-BE49-F238E27FC236}">
              <a16:creationId xmlns:a16="http://schemas.microsoft.com/office/drawing/2014/main" id="{81E980AA-1A66-65D3-323C-7400A53A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4"/>
        <a:stretch>
          <a:fillRect/>
        </a:stretch>
      </xdr:blipFill>
      <xdr:spPr>
        <a:xfrm>
          <a:off x="14649449" y="125310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299</xdr:row>
      <xdr:rowOff>419099</xdr:rowOff>
    </xdr:from>
    <xdr:to>
      <xdr:col>12</xdr:col>
      <xdr:colOff>536574</xdr:colOff>
      <xdr:row>303</xdr:row>
      <xdr:rowOff>12699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B4DBAC12-032A-965A-D961-67B0CF010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5"/>
        <a:stretch>
          <a:fillRect/>
        </a:stretch>
      </xdr:blipFill>
      <xdr:spPr>
        <a:xfrm>
          <a:off x="14649449" y="125729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300</xdr:row>
      <xdr:rowOff>419099</xdr:rowOff>
    </xdr:from>
    <xdr:to>
      <xdr:col>12</xdr:col>
      <xdr:colOff>536574</xdr:colOff>
      <xdr:row>304</xdr:row>
      <xdr:rowOff>12699</xdr:rowOff>
    </xdr:to>
    <xdr:pic>
      <xdr:nvPicPr>
        <xdr:cNvPr id="601" name="Imagen 600">
          <a:extLst>
            <a:ext uri="{FF2B5EF4-FFF2-40B4-BE49-F238E27FC236}">
              <a16:creationId xmlns:a16="http://schemas.microsoft.com/office/drawing/2014/main" id="{D450261B-6ACA-4C5D-2E3E-DF2640755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6"/>
        <a:stretch>
          <a:fillRect/>
        </a:stretch>
      </xdr:blipFill>
      <xdr:spPr>
        <a:xfrm>
          <a:off x="14649449" y="126149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301</xdr:row>
      <xdr:rowOff>419099</xdr:rowOff>
    </xdr:from>
    <xdr:to>
      <xdr:col>12</xdr:col>
      <xdr:colOff>536574</xdr:colOff>
      <xdr:row>305</xdr:row>
      <xdr:rowOff>12699</xdr:rowOff>
    </xdr:to>
    <xdr:pic>
      <xdr:nvPicPr>
        <xdr:cNvPr id="603" name="Imagen 602">
          <a:extLst>
            <a:ext uri="{FF2B5EF4-FFF2-40B4-BE49-F238E27FC236}">
              <a16:creationId xmlns:a16="http://schemas.microsoft.com/office/drawing/2014/main" id="{82274F46-373E-5942-484A-D1E18C90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7"/>
        <a:stretch>
          <a:fillRect/>
        </a:stretch>
      </xdr:blipFill>
      <xdr:spPr>
        <a:xfrm>
          <a:off x="14649449" y="126568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302</xdr:row>
      <xdr:rowOff>419099</xdr:rowOff>
    </xdr:from>
    <xdr:to>
      <xdr:col>12</xdr:col>
      <xdr:colOff>536574</xdr:colOff>
      <xdr:row>306</xdr:row>
      <xdr:rowOff>12699</xdr:rowOff>
    </xdr:to>
    <xdr:pic>
      <xdr:nvPicPr>
        <xdr:cNvPr id="605" name="Imagen 604">
          <a:extLst>
            <a:ext uri="{FF2B5EF4-FFF2-40B4-BE49-F238E27FC236}">
              <a16:creationId xmlns:a16="http://schemas.microsoft.com/office/drawing/2014/main" id="{B553D748-56F1-AF2A-7B32-C545CE0B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8"/>
        <a:stretch>
          <a:fillRect/>
        </a:stretch>
      </xdr:blipFill>
      <xdr:spPr>
        <a:xfrm>
          <a:off x="14649449" y="126987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303</xdr:row>
      <xdr:rowOff>419099</xdr:rowOff>
    </xdr:from>
    <xdr:to>
      <xdr:col>12</xdr:col>
      <xdr:colOff>536574</xdr:colOff>
      <xdr:row>307</xdr:row>
      <xdr:rowOff>12699</xdr:rowOff>
    </xdr:to>
    <xdr:pic>
      <xdr:nvPicPr>
        <xdr:cNvPr id="607" name="Imagen 606">
          <a:extLst>
            <a:ext uri="{FF2B5EF4-FFF2-40B4-BE49-F238E27FC236}">
              <a16:creationId xmlns:a16="http://schemas.microsoft.com/office/drawing/2014/main" id="{59F8110B-56F6-F282-2FA1-91257DB7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9"/>
        <a:stretch>
          <a:fillRect/>
        </a:stretch>
      </xdr:blipFill>
      <xdr:spPr>
        <a:xfrm>
          <a:off x="14649449" y="127406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304</xdr:row>
      <xdr:rowOff>419099</xdr:rowOff>
    </xdr:from>
    <xdr:to>
      <xdr:col>12</xdr:col>
      <xdr:colOff>536574</xdr:colOff>
      <xdr:row>308</xdr:row>
      <xdr:rowOff>12699</xdr:rowOff>
    </xdr:to>
    <xdr:pic>
      <xdr:nvPicPr>
        <xdr:cNvPr id="609" name="Imagen 608">
          <a:extLst>
            <a:ext uri="{FF2B5EF4-FFF2-40B4-BE49-F238E27FC236}">
              <a16:creationId xmlns:a16="http://schemas.microsoft.com/office/drawing/2014/main" id="{8F784FB7-D4CF-EADA-985A-325869D49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0"/>
        <a:stretch>
          <a:fillRect/>
        </a:stretch>
      </xdr:blipFill>
      <xdr:spPr>
        <a:xfrm>
          <a:off x="14649449" y="127825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305</xdr:row>
      <xdr:rowOff>419099</xdr:rowOff>
    </xdr:from>
    <xdr:to>
      <xdr:col>12</xdr:col>
      <xdr:colOff>536574</xdr:colOff>
      <xdr:row>309</xdr:row>
      <xdr:rowOff>12699</xdr:rowOff>
    </xdr:to>
    <xdr:pic>
      <xdr:nvPicPr>
        <xdr:cNvPr id="611" name="Imagen 610">
          <a:extLst>
            <a:ext uri="{FF2B5EF4-FFF2-40B4-BE49-F238E27FC236}">
              <a16:creationId xmlns:a16="http://schemas.microsoft.com/office/drawing/2014/main" id="{6EF478BB-7077-2E0F-5289-A2B8F060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1"/>
        <a:stretch>
          <a:fillRect/>
        </a:stretch>
      </xdr:blipFill>
      <xdr:spPr>
        <a:xfrm>
          <a:off x="14649449" y="128244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306</xdr:row>
      <xdr:rowOff>419099</xdr:rowOff>
    </xdr:from>
    <xdr:to>
      <xdr:col>12</xdr:col>
      <xdr:colOff>536574</xdr:colOff>
      <xdr:row>310</xdr:row>
      <xdr:rowOff>12699</xdr:rowOff>
    </xdr:to>
    <xdr:pic>
      <xdr:nvPicPr>
        <xdr:cNvPr id="613" name="Imagen 612">
          <a:extLst>
            <a:ext uri="{FF2B5EF4-FFF2-40B4-BE49-F238E27FC236}">
              <a16:creationId xmlns:a16="http://schemas.microsoft.com/office/drawing/2014/main" id="{A9075BEE-BF72-C42F-E4DB-A8336587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2"/>
        <a:stretch>
          <a:fillRect/>
        </a:stretch>
      </xdr:blipFill>
      <xdr:spPr>
        <a:xfrm>
          <a:off x="14649449" y="128663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307</xdr:row>
      <xdr:rowOff>419099</xdr:rowOff>
    </xdr:from>
    <xdr:to>
      <xdr:col>12</xdr:col>
      <xdr:colOff>536574</xdr:colOff>
      <xdr:row>311</xdr:row>
      <xdr:rowOff>12699</xdr:rowOff>
    </xdr:to>
    <xdr:pic>
      <xdr:nvPicPr>
        <xdr:cNvPr id="615" name="Imagen 614">
          <a:extLst>
            <a:ext uri="{FF2B5EF4-FFF2-40B4-BE49-F238E27FC236}">
              <a16:creationId xmlns:a16="http://schemas.microsoft.com/office/drawing/2014/main" id="{E3851162-C1F5-D15E-A8F5-50F58ABF7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3"/>
        <a:stretch>
          <a:fillRect/>
        </a:stretch>
      </xdr:blipFill>
      <xdr:spPr>
        <a:xfrm>
          <a:off x="14649449" y="129082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308</xdr:row>
      <xdr:rowOff>419099</xdr:rowOff>
    </xdr:from>
    <xdr:to>
      <xdr:col>12</xdr:col>
      <xdr:colOff>536574</xdr:colOff>
      <xdr:row>312</xdr:row>
      <xdr:rowOff>12699</xdr:rowOff>
    </xdr:to>
    <xdr:pic>
      <xdr:nvPicPr>
        <xdr:cNvPr id="617" name="Imagen 616">
          <a:extLst>
            <a:ext uri="{FF2B5EF4-FFF2-40B4-BE49-F238E27FC236}">
              <a16:creationId xmlns:a16="http://schemas.microsoft.com/office/drawing/2014/main" id="{61057C2C-5319-9BFB-2BC9-1003F7672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4"/>
        <a:stretch>
          <a:fillRect/>
        </a:stretch>
      </xdr:blipFill>
      <xdr:spPr>
        <a:xfrm>
          <a:off x="14649449" y="129501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309</xdr:row>
      <xdr:rowOff>419099</xdr:rowOff>
    </xdr:from>
    <xdr:to>
      <xdr:col>12</xdr:col>
      <xdr:colOff>536574</xdr:colOff>
      <xdr:row>313</xdr:row>
      <xdr:rowOff>12699</xdr:rowOff>
    </xdr:to>
    <xdr:pic>
      <xdr:nvPicPr>
        <xdr:cNvPr id="619" name="Imagen 618">
          <a:extLst>
            <a:ext uri="{FF2B5EF4-FFF2-40B4-BE49-F238E27FC236}">
              <a16:creationId xmlns:a16="http://schemas.microsoft.com/office/drawing/2014/main" id="{1B8A92EC-C1CF-69E1-ADDC-46B19AD61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5"/>
        <a:stretch>
          <a:fillRect/>
        </a:stretch>
      </xdr:blipFill>
      <xdr:spPr>
        <a:xfrm>
          <a:off x="14649449" y="129920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310</xdr:row>
      <xdr:rowOff>419099</xdr:rowOff>
    </xdr:from>
    <xdr:to>
      <xdr:col>12</xdr:col>
      <xdr:colOff>536574</xdr:colOff>
      <xdr:row>314</xdr:row>
      <xdr:rowOff>12699</xdr:rowOff>
    </xdr:to>
    <xdr:pic>
      <xdr:nvPicPr>
        <xdr:cNvPr id="621" name="Imagen 620">
          <a:extLst>
            <a:ext uri="{FF2B5EF4-FFF2-40B4-BE49-F238E27FC236}">
              <a16:creationId xmlns:a16="http://schemas.microsoft.com/office/drawing/2014/main" id="{A0A57501-EFEF-FC2A-5FD2-5FBBF213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6"/>
        <a:stretch>
          <a:fillRect/>
        </a:stretch>
      </xdr:blipFill>
      <xdr:spPr>
        <a:xfrm>
          <a:off x="14649449" y="130340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311</xdr:row>
      <xdr:rowOff>419099</xdr:rowOff>
    </xdr:from>
    <xdr:to>
      <xdr:col>12</xdr:col>
      <xdr:colOff>536574</xdr:colOff>
      <xdr:row>315</xdr:row>
      <xdr:rowOff>12699</xdr:rowOff>
    </xdr:to>
    <xdr:pic>
      <xdr:nvPicPr>
        <xdr:cNvPr id="623" name="Imagen 622">
          <a:extLst>
            <a:ext uri="{FF2B5EF4-FFF2-40B4-BE49-F238E27FC236}">
              <a16:creationId xmlns:a16="http://schemas.microsoft.com/office/drawing/2014/main" id="{1F8EFC88-71A3-7894-BAD3-523A6C4F7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0"/>
        <a:stretch>
          <a:fillRect/>
        </a:stretch>
      </xdr:blipFill>
      <xdr:spPr>
        <a:xfrm>
          <a:off x="14649449" y="130759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312</xdr:row>
      <xdr:rowOff>419099</xdr:rowOff>
    </xdr:from>
    <xdr:to>
      <xdr:col>12</xdr:col>
      <xdr:colOff>536574</xdr:colOff>
      <xdr:row>316</xdr:row>
      <xdr:rowOff>12699</xdr:rowOff>
    </xdr:to>
    <xdr:pic>
      <xdr:nvPicPr>
        <xdr:cNvPr id="625" name="Imagen 624">
          <a:extLst>
            <a:ext uri="{FF2B5EF4-FFF2-40B4-BE49-F238E27FC236}">
              <a16:creationId xmlns:a16="http://schemas.microsoft.com/office/drawing/2014/main" id="{1436BC21-6458-87D1-C7D6-A164A421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7"/>
        <a:stretch>
          <a:fillRect/>
        </a:stretch>
      </xdr:blipFill>
      <xdr:spPr>
        <a:xfrm>
          <a:off x="14649449" y="131178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313</xdr:row>
      <xdr:rowOff>419099</xdr:rowOff>
    </xdr:from>
    <xdr:to>
      <xdr:col>12</xdr:col>
      <xdr:colOff>536574</xdr:colOff>
      <xdr:row>317</xdr:row>
      <xdr:rowOff>12699</xdr:rowOff>
    </xdr:to>
    <xdr:pic>
      <xdr:nvPicPr>
        <xdr:cNvPr id="627" name="Imagen 626">
          <a:extLst>
            <a:ext uri="{FF2B5EF4-FFF2-40B4-BE49-F238E27FC236}">
              <a16:creationId xmlns:a16="http://schemas.microsoft.com/office/drawing/2014/main" id="{7C1A782D-D248-ADDF-E6D2-749BA14A4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8"/>
        <a:stretch>
          <a:fillRect/>
        </a:stretch>
      </xdr:blipFill>
      <xdr:spPr>
        <a:xfrm>
          <a:off x="14649449" y="131597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314</xdr:row>
      <xdr:rowOff>419099</xdr:rowOff>
    </xdr:from>
    <xdr:to>
      <xdr:col>12</xdr:col>
      <xdr:colOff>536574</xdr:colOff>
      <xdr:row>318</xdr:row>
      <xdr:rowOff>12699</xdr:rowOff>
    </xdr:to>
    <xdr:pic>
      <xdr:nvPicPr>
        <xdr:cNvPr id="629" name="Imagen 628">
          <a:extLst>
            <a:ext uri="{FF2B5EF4-FFF2-40B4-BE49-F238E27FC236}">
              <a16:creationId xmlns:a16="http://schemas.microsoft.com/office/drawing/2014/main" id="{9CBD3458-926A-E629-770E-27852E2C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9"/>
        <a:stretch>
          <a:fillRect/>
        </a:stretch>
      </xdr:blipFill>
      <xdr:spPr>
        <a:xfrm>
          <a:off x="14649449" y="132016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315</xdr:row>
      <xdr:rowOff>419099</xdr:rowOff>
    </xdr:from>
    <xdr:to>
      <xdr:col>12</xdr:col>
      <xdr:colOff>536574</xdr:colOff>
      <xdr:row>319</xdr:row>
      <xdr:rowOff>12699</xdr:rowOff>
    </xdr:to>
    <xdr:pic>
      <xdr:nvPicPr>
        <xdr:cNvPr id="631" name="Imagen 630">
          <a:extLst>
            <a:ext uri="{FF2B5EF4-FFF2-40B4-BE49-F238E27FC236}">
              <a16:creationId xmlns:a16="http://schemas.microsoft.com/office/drawing/2014/main" id="{EC21662E-1593-32E9-7CC4-06705480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0"/>
        <a:stretch>
          <a:fillRect/>
        </a:stretch>
      </xdr:blipFill>
      <xdr:spPr>
        <a:xfrm>
          <a:off x="14649449" y="132435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316</xdr:row>
      <xdr:rowOff>419099</xdr:rowOff>
    </xdr:from>
    <xdr:to>
      <xdr:col>12</xdr:col>
      <xdr:colOff>536574</xdr:colOff>
      <xdr:row>320</xdr:row>
      <xdr:rowOff>12699</xdr:rowOff>
    </xdr:to>
    <xdr:pic>
      <xdr:nvPicPr>
        <xdr:cNvPr id="633" name="Imagen 632">
          <a:extLst>
            <a:ext uri="{FF2B5EF4-FFF2-40B4-BE49-F238E27FC236}">
              <a16:creationId xmlns:a16="http://schemas.microsoft.com/office/drawing/2014/main" id="{AE98E23B-E869-A95A-006A-6166227E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1"/>
        <a:stretch>
          <a:fillRect/>
        </a:stretch>
      </xdr:blipFill>
      <xdr:spPr>
        <a:xfrm>
          <a:off x="14649449" y="132854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317</xdr:row>
      <xdr:rowOff>419099</xdr:rowOff>
    </xdr:from>
    <xdr:to>
      <xdr:col>12</xdr:col>
      <xdr:colOff>536574</xdr:colOff>
      <xdr:row>321</xdr:row>
      <xdr:rowOff>12699</xdr:rowOff>
    </xdr:to>
    <xdr:pic>
      <xdr:nvPicPr>
        <xdr:cNvPr id="635" name="Imagen 634">
          <a:extLst>
            <a:ext uri="{FF2B5EF4-FFF2-40B4-BE49-F238E27FC236}">
              <a16:creationId xmlns:a16="http://schemas.microsoft.com/office/drawing/2014/main" id="{7859B3AF-5B29-72D8-A373-B606F0D9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2"/>
        <a:stretch>
          <a:fillRect/>
        </a:stretch>
      </xdr:blipFill>
      <xdr:spPr>
        <a:xfrm>
          <a:off x="14649449" y="133273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318</xdr:row>
      <xdr:rowOff>419099</xdr:rowOff>
    </xdr:from>
    <xdr:to>
      <xdr:col>12</xdr:col>
      <xdr:colOff>536574</xdr:colOff>
      <xdr:row>322</xdr:row>
      <xdr:rowOff>12699</xdr:rowOff>
    </xdr:to>
    <xdr:pic>
      <xdr:nvPicPr>
        <xdr:cNvPr id="637" name="Imagen 636">
          <a:extLst>
            <a:ext uri="{FF2B5EF4-FFF2-40B4-BE49-F238E27FC236}">
              <a16:creationId xmlns:a16="http://schemas.microsoft.com/office/drawing/2014/main" id="{7CDA53DF-CDBF-E5BA-D1C7-43F226EB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3"/>
        <a:stretch>
          <a:fillRect/>
        </a:stretch>
      </xdr:blipFill>
      <xdr:spPr>
        <a:xfrm>
          <a:off x="14649449" y="133692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319</xdr:row>
      <xdr:rowOff>419099</xdr:rowOff>
    </xdr:from>
    <xdr:to>
      <xdr:col>12</xdr:col>
      <xdr:colOff>536574</xdr:colOff>
      <xdr:row>323</xdr:row>
      <xdr:rowOff>12699</xdr:rowOff>
    </xdr:to>
    <xdr:pic>
      <xdr:nvPicPr>
        <xdr:cNvPr id="639" name="Imagen 638">
          <a:extLst>
            <a:ext uri="{FF2B5EF4-FFF2-40B4-BE49-F238E27FC236}">
              <a16:creationId xmlns:a16="http://schemas.microsoft.com/office/drawing/2014/main" id="{578B474A-4116-9F29-03B8-1365AA2E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4"/>
        <a:stretch>
          <a:fillRect/>
        </a:stretch>
      </xdr:blipFill>
      <xdr:spPr>
        <a:xfrm>
          <a:off x="14649449" y="134111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320</xdr:row>
      <xdr:rowOff>419099</xdr:rowOff>
    </xdr:from>
    <xdr:to>
      <xdr:col>12</xdr:col>
      <xdr:colOff>536574</xdr:colOff>
      <xdr:row>324</xdr:row>
      <xdr:rowOff>12699</xdr:rowOff>
    </xdr:to>
    <xdr:pic>
      <xdr:nvPicPr>
        <xdr:cNvPr id="641" name="Imagen 640">
          <a:extLst>
            <a:ext uri="{FF2B5EF4-FFF2-40B4-BE49-F238E27FC236}">
              <a16:creationId xmlns:a16="http://schemas.microsoft.com/office/drawing/2014/main" id="{5FA3B8A4-8A1A-3EE9-5738-45FFA373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5"/>
        <a:stretch>
          <a:fillRect/>
        </a:stretch>
      </xdr:blipFill>
      <xdr:spPr>
        <a:xfrm>
          <a:off x="14649449" y="134531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321</xdr:row>
      <xdr:rowOff>419099</xdr:rowOff>
    </xdr:from>
    <xdr:to>
      <xdr:col>12</xdr:col>
      <xdr:colOff>536574</xdr:colOff>
      <xdr:row>325</xdr:row>
      <xdr:rowOff>12699</xdr:rowOff>
    </xdr:to>
    <xdr:pic>
      <xdr:nvPicPr>
        <xdr:cNvPr id="643" name="Imagen 642">
          <a:extLst>
            <a:ext uri="{FF2B5EF4-FFF2-40B4-BE49-F238E27FC236}">
              <a16:creationId xmlns:a16="http://schemas.microsoft.com/office/drawing/2014/main" id="{1284510B-CBBC-AF49-3110-B9C970DD9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6"/>
        <a:stretch>
          <a:fillRect/>
        </a:stretch>
      </xdr:blipFill>
      <xdr:spPr>
        <a:xfrm>
          <a:off x="14649449" y="134950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322</xdr:row>
      <xdr:rowOff>419099</xdr:rowOff>
    </xdr:from>
    <xdr:to>
      <xdr:col>12</xdr:col>
      <xdr:colOff>536574</xdr:colOff>
      <xdr:row>326</xdr:row>
      <xdr:rowOff>12699</xdr:rowOff>
    </xdr:to>
    <xdr:pic>
      <xdr:nvPicPr>
        <xdr:cNvPr id="645" name="Imagen 644">
          <a:extLst>
            <a:ext uri="{FF2B5EF4-FFF2-40B4-BE49-F238E27FC236}">
              <a16:creationId xmlns:a16="http://schemas.microsoft.com/office/drawing/2014/main" id="{9E31A779-2ED0-D0EE-8753-0331F4015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7"/>
        <a:stretch>
          <a:fillRect/>
        </a:stretch>
      </xdr:blipFill>
      <xdr:spPr>
        <a:xfrm>
          <a:off x="14649449" y="135369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323</xdr:row>
      <xdr:rowOff>419099</xdr:rowOff>
    </xdr:from>
    <xdr:to>
      <xdr:col>12</xdr:col>
      <xdr:colOff>536574</xdr:colOff>
      <xdr:row>327</xdr:row>
      <xdr:rowOff>12699</xdr:rowOff>
    </xdr:to>
    <xdr:pic>
      <xdr:nvPicPr>
        <xdr:cNvPr id="647" name="Imagen 646">
          <a:extLst>
            <a:ext uri="{FF2B5EF4-FFF2-40B4-BE49-F238E27FC236}">
              <a16:creationId xmlns:a16="http://schemas.microsoft.com/office/drawing/2014/main" id="{7588E437-2686-E891-1157-5C25B93EA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8"/>
        <a:stretch>
          <a:fillRect/>
        </a:stretch>
      </xdr:blipFill>
      <xdr:spPr>
        <a:xfrm>
          <a:off x="14649449" y="135788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324</xdr:row>
      <xdr:rowOff>419099</xdr:rowOff>
    </xdr:from>
    <xdr:to>
      <xdr:col>12</xdr:col>
      <xdr:colOff>536574</xdr:colOff>
      <xdr:row>328</xdr:row>
      <xdr:rowOff>12699</xdr:rowOff>
    </xdr:to>
    <xdr:pic>
      <xdr:nvPicPr>
        <xdr:cNvPr id="649" name="Imagen 648">
          <a:extLst>
            <a:ext uri="{FF2B5EF4-FFF2-40B4-BE49-F238E27FC236}">
              <a16:creationId xmlns:a16="http://schemas.microsoft.com/office/drawing/2014/main" id="{57EE2B95-7529-4A63-DE30-6C0CBA30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9"/>
        <a:stretch>
          <a:fillRect/>
        </a:stretch>
      </xdr:blipFill>
      <xdr:spPr>
        <a:xfrm>
          <a:off x="14649449" y="136207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325</xdr:row>
      <xdr:rowOff>419099</xdr:rowOff>
    </xdr:from>
    <xdr:to>
      <xdr:col>12</xdr:col>
      <xdr:colOff>536574</xdr:colOff>
      <xdr:row>329</xdr:row>
      <xdr:rowOff>12699</xdr:rowOff>
    </xdr:to>
    <xdr:pic>
      <xdr:nvPicPr>
        <xdr:cNvPr id="651" name="Imagen 650">
          <a:extLst>
            <a:ext uri="{FF2B5EF4-FFF2-40B4-BE49-F238E27FC236}">
              <a16:creationId xmlns:a16="http://schemas.microsoft.com/office/drawing/2014/main" id="{8A7EB7F0-461E-E99D-0774-AC2C05D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0"/>
        <a:stretch>
          <a:fillRect/>
        </a:stretch>
      </xdr:blipFill>
      <xdr:spPr>
        <a:xfrm>
          <a:off x="14649449" y="136626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326</xdr:row>
      <xdr:rowOff>419099</xdr:rowOff>
    </xdr:from>
    <xdr:to>
      <xdr:col>12</xdr:col>
      <xdr:colOff>536574</xdr:colOff>
      <xdr:row>330</xdr:row>
      <xdr:rowOff>12699</xdr:rowOff>
    </xdr:to>
    <xdr:pic>
      <xdr:nvPicPr>
        <xdr:cNvPr id="653" name="Imagen 652">
          <a:extLst>
            <a:ext uri="{FF2B5EF4-FFF2-40B4-BE49-F238E27FC236}">
              <a16:creationId xmlns:a16="http://schemas.microsoft.com/office/drawing/2014/main" id="{673DA7F1-641C-63DD-21FF-5E16AB1C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1"/>
        <a:stretch>
          <a:fillRect/>
        </a:stretch>
      </xdr:blipFill>
      <xdr:spPr>
        <a:xfrm>
          <a:off x="14649449" y="137045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327</xdr:row>
      <xdr:rowOff>419099</xdr:rowOff>
    </xdr:from>
    <xdr:to>
      <xdr:col>12</xdr:col>
      <xdr:colOff>536574</xdr:colOff>
      <xdr:row>331</xdr:row>
      <xdr:rowOff>12699</xdr:rowOff>
    </xdr:to>
    <xdr:pic>
      <xdr:nvPicPr>
        <xdr:cNvPr id="655" name="Imagen 654">
          <a:extLst>
            <a:ext uri="{FF2B5EF4-FFF2-40B4-BE49-F238E27FC236}">
              <a16:creationId xmlns:a16="http://schemas.microsoft.com/office/drawing/2014/main" id="{DA66C268-B040-B50E-EF31-E50476B74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2"/>
        <a:stretch>
          <a:fillRect/>
        </a:stretch>
      </xdr:blipFill>
      <xdr:spPr>
        <a:xfrm>
          <a:off x="14649449" y="137464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328</xdr:row>
      <xdr:rowOff>419099</xdr:rowOff>
    </xdr:from>
    <xdr:to>
      <xdr:col>12</xdr:col>
      <xdr:colOff>536574</xdr:colOff>
      <xdr:row>332</xdr:row>
      <xdr:rowOff>12699</xdr:rowOff>
    </xdr:to>
    <xdr:pic>
      <xdr:nvPicPr>
        <xdr:cNvPr id="657" name="Imagen 656">
          <a:extLst>
            <a:ext uri="{FF2B5EF4-FFF2-40B4-BE49-F238E27FC236}">
              <a16:creationId xmlns:a16="http://schemas.microsoft.com/office/drawing/2014/main" id="{074F46A9-381C-F91B-525D-84249D82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3"/>
        <a:stretch>
          <a:fillRect/>
        </a:stretch>
      </xdr:blipFill>
      <xdr:spPr>
        <a:xfrm>
          <a:off x="14649449" y="137883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329</xdr:row>
      <xdr:rowOff>419099</xdr:rowOff>
    </xdr:from>
    <xdr:to>
      <xdr:col>12</xdr:col>
      <xdr:colOff>536574</xdr:colOff>
      <xdr:row>333</xdr:row>
      <xdr:rowOff>12699</xdr:rowOff>
    </xdr:to>
    <xdr:pic>
      <xdr:nvPicPr>
        <xdr:cNvPr id="659" name="Imagen 658">
          <a:extLst>
            <a:ext uri="{FF2B5EF4-FFF2-40B4-BE49-F238E27FC236}">
              <a16:creationId xmlns:a16="http://schemas.microsoft.com/office/drawing/2014/main" id="{6343788F-1BF3-AF6F-0D44-1936EBD61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4"/>
        <a:stretch>
          <a:fillRect/>
        </a:stretch>
      </xdr:blipFill>
      <xdr:spPr>
        <a:xfrm>
          <a:off x="14649449" y="138302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330</xdr:row>
      <xdr:rowOff>419099</xdr:rowOff>
    </xdr:from>
    <xdr:to>
      <xdr:col>12</xdr:col>
      <xdr:colOff>536574</xdr:colOff>
      <xdr:row>334</xdr:row>
      <xdr:rowOff>12699</xdr:rowOff>
    </xdr:to>
    <xdr:pic>
      <xdr:nvPicPr>
        <xdr:cNvPr id="661" name="Imagen 660">
          <a:extLst>
            <a:ext uri="{FF2B5EF4-FFF2-40B4-BE49-F238E27FC236}">
              <a16:creationId xmlns:a16="http://schemas.microsoft.com/office/drawing/2014/main" id="{EA649E11-9DCB-646F-4CC9-4CFBBAEB9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5"/>
        <a:stretch>
          <a:fillRect/>
        </a:stretch>
      </xdr:blipFill>
      <xdr:spPr>
        <a:xfrm>
          <a:off x="14649449" y="138722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331</xdr:row>
      <xdr:rowOff>419099</xdr:rowOff>
    </xdr:from>
    <xdr:to>
      <xdr:col>12</xdr:col>
      <xdr:colOff>536574</xdr:colOff>
      <xdr:row>335</xdr:row>
      <xdr:rowOff>12699</xdr:rowOff>
    </xdr:to>
    <xdr:pic>
      <xdr:nvPicPr>
        <xdr:cNvPr id="663" name="Imagen 662">
          <a:extLst>
            <a:ext uri="{FF2B5EF4-FFF2-40B4-BE49-F238E27FC236}">
              <a16:creationId xmlns:a16="http://schemas.microsoft.com/office/drawing/2014/main" id="{D3D27681-FD54-C5BF-FC3F-597EE090D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6"/>
        <a:stretch>
          <a:fillRect/>
        </a:stretch>
      </xdr:blipFill>
      <xdr:spPr>
        <a:xfrm>
          <a:off x="14649449" y="139141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332</xdr:row>
      <xdr:rowOff>419099</xdr:rowOff>
    </xdr:from>
    <xdr:to>
      <xdr:col>12</xdr:col>
      <xdr:colOff>536574</xdr:colOff>
      <xdr:row>336</xdr:row>
      <xdr:rowOff>12699</xdr:rowOff>
    </xdr:to>
    <xdr:pic>
      <xdr:nvPicPr>
        <xdr:cNvPr id="665" name="Imagen 664">
          <a:extLst>
            <a:ext uri="{FF2B5EF4-FFF2-40B4-BE49-F238E27FC236}">
              <a16:creationId xmlns:a16="http://schemas.microsoft.com/office/drawing/2014/main" id="{84B9F12D-29D7-61F9-32F6-43DB1D6F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7"/>
        <a:stretch>
          <a:fillRect/>
        </a:stretch>
      </xdr:blipFill>
      <xdr:spPr>
        <a:xfrm>
          <a:off x="14649449" y="139560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333</xdr:row>
      <xdr:rowOff>419099</xdr:rowOff>
    </xdr:from>
    <xdr:to>
      <xdr:col>12</xdr:col>
      <xdr:colOff>536574</xdr:colOff>
      <xdr:row>337</xdr:row>
      <xdr:rowOff>12699</xdr:rowOff>
    </xdr:to>
    <xdr:pic>
      <xdr:nvPicPr>
        <xdr:cNvPr id="667" name="Imagen 666">
          <a:extLst>
            <a:ext uri="{FF2B5EF4-FFF2-40B4-BE49-F238E27FC236}">
              <a16:creationId xmlns:a16="http://schemas.microsoft.com/office/drawing/2014/main" id="{B4B4EECA-DF6C-C536-CBC9-D4446FF3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8"/>
        <a:stretch>
          <a:fillRect/>
        </a:stretch>
      </xdr:blipFill>
      <xdr:spPr>
        <a:xfrm>
          <a:off x="14649449" y="1399793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334</xdr:row>
      <xdr:rowOff>419099</xdr:rowOff>
    </xdr:from>
    <xdr:to>
      <xdr:col>12</xdr:col>
      <xdr:colOff>536574</xdr:colOff>
      <xdr:row>338</xdr:row>
      <xdr:rowOff>12699</xdr:rowOff>
    </xdr:to>
    <xdr:pic>
      <xdr:nvPicPr>
        <xdr:cNvPr id="669" name="Imagen 668">
          <a:extLst>
            <a:ext uri="{FF2B5EF4-FFF2-40B4-BE49-F238E27FC236}">
              <a16:creationId xmlns:a16="http://schemas.microsoft.com/office/drawing/2014/main" id="{5E395FD1-96AE-66E6-CAF9-8E630171F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9"/>
        <a:stretch>
          <a:fillRect/>
        </a:stretch>
      </xdr:blipFill>
      <xdr:spPr>
        <a:xfrm>
          <a:off x="14649449" y="1403984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335</xdr:row>
      <xdr:rowOff>419099</xdr:rowOff>
    </xdr:from>
    <xdr:to>
      <xdr:col>12</xdr:col>
      <xdr:colOff>536574</xdr:colOff>
      <xdr:row>339</xdr:row>
      <xdr:rowOff>12699</xdr:rowOff>
    </xdr:to>
    <xdr:pic>
      <xdr:nvPicPr>
        <xdr:cNvPr id="671" name="Imagen 670">
          <a:extLst>
            <a:ext uri="{FF2B5EF4-FFF2-40B4-BE49-F238E27FC236}">
              <a16:creationId xmlns:a16="http://schemas.microsoft.com/office/drawing/2014/main" id="{0003C5D7-7FDF-877A-E90B-ACFCA65BC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0"/>
        <a:stretch>
          <a:fillRect/>
        </a:stretch>
      </xdr:blipFill>
      <xdr:spPr>
        <a:xfrm>
          <a:off x="14649449" y="1408175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336</xdr:row>
      <xdr:rowOff>419099</xdr:rowOff>
    </xdr:from>
    <xdr:to>
      <xdr:col>12</xdr:col>
      <xdr:colOff>536574</xdr:colOff>
      <xdr:row>340</xdr:row>
      <xdr:rowOff>12699</xdr:rowOff>
    </xdr:to>
    <xdr:pic>
      <xdr:nvPicPr>
        <xdr:cNvPr id="673" name="Imagen 672">
          <a:extLst>
            <a:ext uri="{FF2B5EF4-FFF2-40B4-BE49-F238E27FC236}">
              <a16:creationId xmlns:a16="http://schemas.microsoft.com/office/drawing/2014/main" id="{6A5D8786-531E-32E0-577A-6FEF3924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1"/>
        <a:stretch>
          <a:fillRect/>
        </a:stretch>
      </xdr:blipFill>
      <xdr:spPr>
        <a:xfrm>
          <a:off x="14649449" y="1412366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337</xdr:row>
      <xdr:rowOff>419099</xdr:rowOff>
    </xdr:from>
    <xdr:to>
      <xdr:col>12</xdr:col>
      <xdr:colOff>536574</xdr:colOff>
      <xdr:row>341</xdr:row>
      <xdr:rowOff>12699</xdr:rowOff>
    </xdr:to>
    <xdr:pic>
      <xdr:nvPicPr>
        <xdr:cNvPr id="675" name="Imagen 674">
          <a:extLst>
            <a:ext uri="{FF2B5EF4-FFF2-40B4-BE49-F238E27FC236}">
              <a16:creationId xmlns:a16="http://schemas.microsoft.com/office/drawing/2014/main" id="{17CE8CC1-17FF-E080-35D2-11D8AD83A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2"/>
        <a:stretch>
          <a:fillRect/>
        </a:stretch>
      </xdr:blipFill>
      <xdr:spPr>
        <a:xfrm>
          <a:off x="14649449" y="1416557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338</xdr:row>
      <xdr:rowOff>419099</xdr:rowOff>
    </xdr:from>
    <xdr:to>
      <xdr:col>12</xdr:col>
      <xdr:colOff>536574</xdr:colOff>
      <xdr:row>342</xdr:row>
      <xdr:rowOff>12699</xdr:rowOff>
    </xdr:to>
    <xdr:pic>
      <xdr:nvPicPr>
        <xdr:cNvPr id="677" name="Imagen 676">
          <a:extLst>
            <a:ext uri="{FF2B5EF4-FFF2-40B4-BE49-F238E27FC236}">
              <a16:creationId xmlns:a16="http://schemas.microsoft.com/office/drawing/2014/main" id="{13276A76-F1B9-8B27-5B79-BEF53624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3"/>
        <a:stretch>
          <a:fillRect/>
        </a:stretch>
      </xdr:blipFill>
      <xdr:spPr>
        <a:xfrm>
          <a:off x="14649449" y="1420748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339</xdr:row>
      <xdr:rowOff>419099</xdr:rowOff>
    </xdr:from>
    <xdr:to>
      <xdr:col>12</xdr:col>
      <xdr:colOff>536574</xdr:colOff>
      <xdr:row>343</xdr:row>
      <xdr:rowOff>12699</xdr:rowOff>
    </xdr:to>
    <xdr:pic>
      <xdr:nvPicPr>
        <xdr:cNvPr id="679" name="Imagen 678">
          <a:extLst>
            <a:ext uri="{FF2B5EF4-FFF2-40B4-BE49-F238E27FC236}">
              <a16:creationId xmlns:a16="http://schemas.microsoft.com/office/drawing/2014/main" id="{DFF5F078-F079-8F7A-224B-52D4CFDFE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4"/>
        <a:stretch>
          <a:fillRect/>
        </a:stretch>
      </xdr:blipFill>
      <xdr:spPr>
        <a:xfrm>
          <a:off x="14649449" y="1424939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340</xdr:row>
      <xdr:rowOff>419099</xdr:rowOff>
    </xdr:from>
    <xdr:to>
      <xdr:col>12</xdr:col>
      <xdr:colOff>536574</xdr:colOff>
      <xdr:row>344</xdr:row>
      <xdr:rowOff>12699</xdr:rowOff>
    </xdr:to>
    <xdr:pic>
      <xdr:nvPicPr>
        <xdr:cNvPr id="681" name="Imagen 680">
          <a:extLst>
            <a:ext uri="{FF2B5EF4-FFF2-40B4-BE49-F238E27FC236}">
              <a16:creationId xmlns:a16="http://schemas.microsoft.com/office/drawing/2014/main" id="{A32031F0-BF69-11CE-0265-6FE2DFD06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5"/>
        <a:stretch>
          <a:fillRect/>
        </a:stretch>
      </xdr:blipFill>
      <xdr:spPr>
        <a:xfrm>
          <a:off x="14649449" y="1429130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341</xdr:row>
      <xdr:rowOff>419099</xdr:rowOff>
    </xdr:from>
    <xdr:to>
      <xdr:col>12</xdr:col>
      <xdr:colOff>536574</xdr:colOff>
      <xdr:row>345</xdr:row>
      <xdr:rowOff>12699</xdr:rowOff>
    </xdr:to>
    <xdr:pic>
      <xdr:nvPicPr>
        <xdr:cNvPr id="683" name="Imagen 682">
          <a:extLst>
            <a:ext uri="{FF2B5EF4-FFF2-40B4-BE49-F238E27FC236}">
              <a16:creationId xmlns:a16="http://schemas.microsoft.com/office/drawing/2014/main" id="{4D4CDD09-866E-DC34-3CD5-6E4F8539A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6"/>
        <a:stretch>
          <a:fillRect/>
        </a:stretch>
      </xdr:blipFill>
      <xdr:spPr>
        <a:xfrm>
          <a:off x="14649449" y="1433321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342</xdr:row>
      <xdr:rowOff>419099</xdr:rowOff>
    </xdr:from>
    <xdr:to>
      <xdr:col>12</xdr:col>
      <xdr:colOff>536574</xdr:colOff>
      <xdr:row>346</xdr:row>
      <xdr:rowOff>12699</xdr:rowOff>
    </xdr:to>
    <xdr:pic>
      <xdr:nvPicPr>
        <xdr:cNvPr id="685" name="Imagen 684">
          <a:extLst>
            <a:ext uri="{FF2B5EF4-FFF2-40B4-BE49-F238E27FC236}">
              <a16:creationId xmlns:a16="http://schemas.microsoft.com/office/drawing/2014/main" id="{B9CC5155-A68C-1147-0498-EADEFD94C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7"/>
        <a:stretch>
          <a:fillRect/>
        </a:stretch>
      </xdr:blipFill>
      <xdr:spPr>
        <a:xfrm>
          <a:off x="14649449" y="143751299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1457324</xdr:colOff>
      <xdr:row>343</xdr:row>
      <xdr:rowOff>419099</xdr:rowOff>
    </xdr:from>
    <xdr:to>
      <xdr:col>12</xdr:col>
      <xdr:colOff>536574</xdr:colOff>
      <xdr:row>347</xdr:row>
      <xdr:rowOff>12699</xdr:rowOff>
    </xdr:to>
    <xdr:pic>
      <xdr:nvPicPr>
        <xdr:cNvPr id="687" name="Imagen 686">
          <a:extLst>
            <a:ext uri="{FF2B5EF4-FFF2-40B4-BE49-F238E27FC236}">
              <a16:creationId xmlns:a16="http://schemas.microsoft.com/office/drawing/2014/main" id="{E0AD649C-6B4A-DA76-9EE8-CDB297E01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8"/>
        <a:stretch>
          <a:fillRect/>
        </a:stretch>
      </xdr:blipFill>
      <xdr:spPr>
        <a:xfrm>
          <a:off x="14649449" y="144170399"/>
          <a:ext cx="1270000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0</xdr:row>
      <xdr:rowOff>114300</xdr:rowOff>
    </xdr:from>
    <xdr:to>
      <xdr:col>7</xdr:col>
      <xdr:colOff>1323975</xdr:colOff>
      <xdr:row>0</xdr:row>
      <xdr:rowOff>409575</xdr:rowOff>
    </xdr:to>
    <xdr:sp macro="" textlink="">
      <xdr:nvSpPr>
        <xdr:cNvPr id="2" name="Diagrama de flujo: proceso alternativ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9D4DA3-3291-A884-1F2F-C67063EEE532}"/>
            </a:ext>
          </a:extLst>
        </xdr:cNvPr>
        <xdr:cNvSpPr/>
      </xdr:nvSpPr>
      <xdr:spPr>
        <a:xfrm>
          <a:off x="7181850" y="114300"/>
          <a:ext cx="2428875" cy="295275"/>
        </a:xfrm>
        <a:prstGeom prst="flowChartAlternate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ENTRADAS</a:t>
          </a:r>
        </a:p>
        <a:p>
          <a:pPr algn="ctr"/>
          <a:endParaRPr lang="es-CO" sz="1100"/>
        </a:p>
      </xdr:txBody>
    </xdr:sp>
    <xdr:clientData/>
  </xdr:twoCellAnchor>
  <xdr:twoCellAnchor>
    <xdr:from>
      <xdr:col>8</xdr:col>
      <xdr:colOff>28575</xdr:colOff>
      <xdr:row>0</xdr:row>
      <xdr:rowOff>114300</xdr:rowOff>
    </xdr:from>
    <xdr:to>
      <xdr:col>10</xdr:col>
      <xdr:colOff>247650</xdr:colOff>
      <xdr:row>0</xdr:row>
      <xdr:rowOff>409575</xdr:rowOff>
    </xdr:to>
    <xdr:sp macro="" textlink="">
      <xdr:nvSpPr>
        <xdr:cNvPr id="3" name="Diagrama de flujo: proceso alternativ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6F7810-FCDE-48FA-8128-128761D9AB22}"/>
            </a:ext>
          </a:extLst>
        </xdr:cNvPr>
        <xdr:cNvSpPr/>
      </xdr:nvSpPr>
      <xdr:spPr>
        <a:xfrm>
          <a:off x="9658350" y="114300"/>
          <a:ext cx="2428875" cy="295275"/>
        </a:xfrm>
        <a:prstGeom prst="flowChartAlternateProcess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SALIDAS</a:t>
          </a:r>
        </a:p>
        <a:p>
          <a:pPr algn="ctr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0</xdr:row>
          <xdr:rowOff>9525</xdr:rowOff>
        </xdr:from>
        <xdr:to>
          <xdr:col>1</xdr:col>
          <xdr:colOff>2200275</xdr:colOff>
          <xdr:row>0</xdr:row>
          <xdr:rowOff>457200</xdr:rowOff>
        </xdr:to>
        <xdr:sp macro="" textlink="">
          <xdr:nvSpPr>
            <xdr:cNvPr id="1029" name="TextBox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485775</xdr:colOff>
      <xdr:row>0</xdr:row>
      <xdr:rowOff>0</xdr:rowOff>
    </xdr:from>
    <xdr:to>
      <xdr:col>0</xdr:col>
      <xdr:colOff>971550</xdr:colOff>
      <xdr:row>1</xdr:row>
      <xdr:rowOff>19050</xdr:rowOff>
    </xdr:to>
    <xdr:pic>
      <xdr:nvPicPr>
        <xdr:cNvPr id="5" name="Gráfico 4" descr="Lupa">
          <a:extLst>
            <a:ext uri="{FF2B5EF4-FFF2-40B4-BE49-F238E27FC236}">
              <a16:creationId xmlns:a16="http://schemas.microsoft.com/office/drawing/2014/main" id="{74C681D0-FE50-53A3-6C1D-6A1AC7677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5775" y="0"/>
          <a:ext cx="4857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669835</xdr:colOff>
      <xdr:row>0</xdr:row>
      <xdr:rowOff>58088</xdr:rowOff>
    </xdr:from>
    <xdr:to>
      <xdr:col>9</xdr:col>
      <xdr:colOff>0</xdr:colOff>
      <xdr:row>0</xdr:row>
      <xdr:rowOff>386902</xdr:rowOff>
    </xdr:to>
    <xdr:sp macro="" textlink="">
      <xdr:nvSpPr>
        <xdr:cNvPr id="2" name="Diagrama de flujo: proceso alternativ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64E74A-5D66-42FC-8607-1E28352C9F24}"/>
            </a:ext>
          </a:extLst>
        </xdr:cNvPr>
        <xdr:cNvSpPr/>
      </xdr:nvSpPr>
      <xdr:spPr>
        <a:xfrm>
          <a:off x="10248497" y="58088"/>
          <a:ext cx="993686" cy="328814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INVENTARIO</a:t>
          </a:r>
        </a:p>
      </xdr:txBody>
    </xdr:sp>
    <xdr:clientData/>
  </xdr:twoCellAnchor>
  <xdr:twoCellAnchor>
    <xdr:from>
      <xdr:col>7</xdr:col>
      <xdr:colOff>650785</xdr:colOff>
      <xdr:row>0</xdr:row>
      <xdr:rowOff>367450</xdr:rowOff>
    </xdr:from>
    <xdr:to>
      <xdr:col>9</xdr:col>
      <xdr:colOff>0</xdr:colOff>
      <xdr:row>1</xdr:row>
      <xdr:rowOff>229136</xdr:rowOff>
    </xdr:to>
    <xdr:sp macro="" textlink="">
      <xdr:nvSpPr>
        <xdr:cNvPr id="3" name="Diagrama de flujo: proceso alternativ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592145-AA91-411C-A184-B4F552335E90}"/>
            </a:ext>
          </a:extLst>
        </xdr:cNvPr>
        <xdr:cNvSpPr/>
      </xdr:nvSpPr>
      <xdr:spPr>
        <a:xfrm>
          <a:off x="10229447" y="367450"/>
          <a:ext cx="1012736" cy="371475"/>
        </a:xfrm>
        <a:prstGeom prst="flowChartAlternate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ENTRADAS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28575</xdr:rowOff>
    </xdr:from>
    <xdr:to>
      <xdr:col>7</xdr:col>
      <xdr:colOff>571500</xdr:colOff>
      <xdr:row>2</xdr:row>
      <xdr:rowOff>0</xdr:rowOff>
    </xdr:to>
    <xdr:sp macro="" textlink="">
      <xdr:nvSpPr>
        <xdr:cNvPr id="2" name="Diagrama de flujo: proceso alternativ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12D0D-CB2E-691F-62E8-34F62EA573BF}"/>
            </a:ext>
          </a:extLst>
        </xdr:cNvPr>
        <xdr:cNvSpPr/>
      </xdr:nvSpPr>
      <xdr:spPr>
        <a:xfrm>
          <a:off x="8096250" y="428625"/>
          <a:ext cx="1333500" cy="371475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INVENTARIO</a:t>
          </a:r>
        </a:p>
      </xdr:txBody>
    </xdr:sp>
    <xdr:clientData/>
  </xdr:twoCellAnchor>
  <xdr:twoCellAnchor>
    <xdr:from>
      <xdr:col>6</xdr:col>
      <xdr:colOff>85725</xdr:colOff>
      <xdr:row>3</xdr:row>
      <xdr:rowOff>38100</xdr:rowOff>
    </xdr:from>
    <xdr:to>
      <xdr:col>7</xdr:col>
      <xdr:colOff>581025</xdr:colOff>
      <xdr:row>4</xdr:row>
      <xdr:rowOff>9525</xdr:rowOff>
    </xdr:to>
    <xdr:sp macro="" textlink="">
      <xdr:nvSpPr>
        <xdr:cNvPr id="3" name="Diagrama de flujo: proceso alternativ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3EE252-07DD-46B8-91D8-94117AFABA7F}"/>
            </a:ext>
          </a:extLst>
        </xdr:cNvPr>
        <xdr:cNvSpPr/>
      </xdr:nvSpPr>
      <xdr:spPr>
        <a:xfrm>
          <a:off x="8105775" y="838200"/>
          <a:ext cx="1333500" cy="371475"/>
        </a:xfrm>
        <a:prstGeom prst="flowChartAlternateProcess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SALIDAS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gaz\OneDrive\Work\Smartsheet_Publishing\Work%20in%20Progress\Free%20Estimate%20Templates\IC-Bid-Tabulation-925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ulation"/>
      <sheetName val="Bid Tabulation - BLANK"/>
      <sheetName val="- Disclaimer -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" displayName="Inventario" ref="A2:K437" totalsRowShown="0" headerRowDxfId="47" dataDxfId="45" headerRowBorderDxfId="46" tableBorderDxfId="44" totalsRowBorderDxfId="43" dataCellStyle="20% - Énfasis1">
  <autoFilter ref="A2:K437" xr:uid="{00000000-000C-0000-FFFF-FFFF00000000}">
    <filterColumn colId="1">
      <customFilters>
        <customFilter val="*bis*"/>
      </customFilters>
    </filterColumn>
  </autoFilter>
  <sortState xmlns:xlrd2="http://schemas.microsoft.com/office/spreadsheetml/2017/richdata2" ref="A3:K437">
    <sortCondition ref="B2:B437"/>
  </sortState>
  <tableColumns count="11">
    <tableColumn id="1" xr3:uid="{00000000-0010-0000-0000-000001000000}" name="CODIGO" dataDxfId="42" dataCellStyle="20% - Énfasis1"/>
    <tableColumn id="2" xr3:uid="{00000000-0010-0000-0000-000002000000}" name="NOMBRE" dataDxfId="41" dataCellStyle="20% - Énfasis1"/>
    <tableColumn id="3" xr3:uid="{00000000-0010-0000-0000-000003000000}" name="PROVEEDOR" dataDxfId="40" dataCellStyle="20% - Énfasis1"/>
    <tableColumn id="4" xr3:uid="{00000000-0010-0000-0000-000004000000}" name="DESCRIPCION" dataDxfId="39" dataCellStyle="20% - Énfasis1"/>
    <tableColumn id="5" xr3:uid="{00000000-0010-0000-0000-000005000000}" name="COSTO UNITARIO MAYORISTA " dataDxfId="38" dataCellStyle="20% - Énfasis1"/>
    <tableColumn id="6" xr3:uid="{00000000-0010-0000-0000-000006000000}" name="CANTIDAD" dataDxfId="37" dataCellStyle="20% - Énfasis1"/>
    <tableColumn id="7" xr3:uid="{00000000-0010-0000-0000-000007000000}" name="TOTAL" dataDxfId="36" dataCellStyle="20% - Énfasis1">
      <calculatedColumnFormula>Inventario[[#This Row],[COSTO UNITARIO MAYORISTA ]]*Inventario[[#This Row],[CANTIDAD]]</calculatedColumnFormula>
    </tableColumn>
    <tableColumn id="13" xr3:uid="{ECB4393C-D43E-4B29-BE6A-CB11EBBBA15B}" name="MARGEN DE UTILIDAD" dataDxfId="35" dataCellStyle="20% - Énfasis1">
      <calculatedColumnFormula>(Inventario[[#This Row],[TOTAL]]*20%)</calculatedColumnFormula>
    </tableColumn>
    <tableColumn id="8" xr3:uid="{00000000-0010-0000-0000-000008000000}" name="PRECIO DE VENTA" dataDxfId="34" dataCellStyle="20% - Énfasis1">
      <calculatedColumnFormula>Inventario[[#This Row],[COSTO UNITARIO MAYORISTA ]]/(1-Inventario[[#This Row],[MARGEN DE UTILIDAD]])</calculatedColumnFormula>
    </tableColumn>
    <tableColumn id="9" xr3:uid="{00000000-0010-0000-0000-000009000000}" name="PRECIO UTILIDAD" dataDxfId="33" dataCellStyle="20% - Énfasis1">
      <calculatedColumnFormula>Inventario[[#This Row],[PRECIO DE VENTA]]-Inventario[[#This Row],[COSTO UNITARIO MAYORISTA ]]</calculatedColumnFormula>
    </tableColumn>
    <tableColumn id="10" xr3:uid="{00000000-0010-0000-0000-00000A000000}" name="GANACIA COMPROBADA" dataDxfId="32" dataCellStyle="20% - Énfasis1">
      <calculatedColumnFormula>Inventario[[#This Row],[PRECIO UTILIDAD]]/Inventario[[#This Row],[PRECIO DE VENTA]]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DFDBC-E79B-44CD-9720-8C897AF85FFD}" name="Inventari_2" displayName="Inventari_2" ref="A2:J305" totalsRowShown="0" headerRowDxfId="29">
  <autoFilter ref="A2:J305" xr:uid="{F63DFDBC-E79B-44CD-9720-8C897AF85FFD}">
    <filterColumn colId="0">
      <customFilters>
        <customFilter val="**"/>
      </customFilters>
    </filterColumn>
    <filterColumn colId="1">
      <customFilters>
        <customFilter val="**"/>
      </customFilters>
    </filterColumn>
  </autoFilter>
  <sortState xmlns:xlrd2="http://schemas.microsoft.com/office/spreadsheetml/2017/richdata2" ref="A3:J293">
    <sortCondition ref="B2:B293"/>
  </sortState>
  <tableColumns count="10">
    <tableColumn id="1" xr3:uid="{B5EC966D-1728-4783-BBBF-F0CFC3511770}" name="CODIGO" dataDxfId="28" dataCellStyle="20% - Énfasis1"/>
    <tableColumn id="2" xr3:uid="{88E055BD-199E-4A88-A770-74867882E918}" name="DESCRIPCION" dataDxfId="27" dataCellStyle="20% - Énfasis1"/>
    <tableColumn id="9" xr3:uid="{9381D43D-0091-4AA9-A2FD-6BF480A53AA8}" name="PROVEDOR" dataDxfId="26" dataCellStyle="20% - Énfasis1"/>
    <tableColumn id="6" xr3:uid="{96D060A5-B265-41FC-86E3-F58924B516BA}" name="STOCK DE LLEGADA" dataDxfId="25" totalsRowDxfId="24" dataCellStyle="20% - Énfasis1"/>
    <tableColumn id="3" xr3:uid="{9BEBF8EA-6C05-427C-8BE4-F1B2EBB9F619}" name="ENTRADA " dataDxfId="23" totalsRowDxfId="22">
      <calculatedColumnFormula>SUMIF(Entrada[CODIGO],Inventari_2[[#This Row],[CODIGO]],Entrada[CANTIDAD])</calculatedColumnFormula>
    </tableColumn>
    <tableColumn id="4" xr3:uid="{DFA673BC-4BF9-498B-AA05-FB97D388228D}" name="SALIDA" dataDxfId="21" totalsRowDxfId="20">
      <calculatedColumnFormula>SUMIF(Salidas[[CODIGO ]],Inventari_2[[#This Row],[CODIGO]],Salidas[CANTIDAD])</calculatedColumnFormula>
    </tableColumn>
    <tableColumn id="5" xr3:uid="{B3E84039-8E1C-4EB1-BABB-7C7BEC1B8097}" name="STOCK ACTUAL" dataDxfId="19" totalsRowDxfId="18" dataCellStyle="20% - Énfasis1">
      <calculatedColumnFormula>Inventari_2[[#This Row],[STOCK DE LLEGADA]]+Inventari_2[[#This Row],[ENTRADA ]]-Inventari_2[[#This Row],[SALIDA]]</calculatedColumnFormula>
    </tableColumn>
    <tableColumn id="10" xr3:uid="{0FFD246F-AD79-4277-B5D3-35A8B1F59567}" name="COSTO UNITARIO" dataDxfId="17" totalsRowDxfId="16" dataCellStyle="20% - Énfasis1">
      <calculatedColumnFormula>VLOOKUP(Inventari_2[[#This Row],[CODIGO]],Inventario[#All],9,FALSE)</calculatedColumnFormula>
    </tableColumn>
    <tableColumn id="8" xr3:uid="{FF67FE68-1B72-4198-BDB6-3BEA091BDA98}" name="COD" dataDxfId="15" totalsRowDxfId="14" dataCellStyle="20% - Énfasis1">
      <calculatedColumnFormula>"*"&amp;Inventari_2[[#This Row],[CODIGO]]&amp;"*"</calculatedColumnFormula>
    </tableColumn>
    <tableColumn id="11" xr3:uid="{F57C9BA7-C982-4957-BEE9-843F3319FBB1}" name="CODIGO DE BARRAS" dataDxfId="13" totalsRowDxfId="12" dataCellStyle="20% - Énfasis1">
      <calculatedColumnFormula>Inventari_2[[#This Row],[COD]]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9A5A96-978B-48F0-9291-0428329AE087}" name="Salidas" displayName="Salidas" ref="A2:H783" totalsRowShown="0">
  <autoFilter ref="A2:H783" xr:uid="{929A5A96-978B-48F0-9291-0428329AE087}"/>
  <tableColumns count="8">
    <tableColumn id="1" xr3:uid="{5503407F-919B-4A07-AEB6-C19951A5FC80}" name="FACTURA DE VENTA" dataDxfId="11"/>
    <tableColumn id="2" xr3:uid="{ADE80BC7-4A33-4F73-ABA0-7AED400DE458}" name="FECHA" dataDxfId="10"/>
    <tableColumn id="3" xr3:uid="{EF79863C-4915-4042-B5DD-D7C98DC9516D}" name="CODIGO " dataDxfId="9">
      <calculatedColumnFormula>"*"&amp;Inventari_2[[#This Row],[CODIGO]]&amp;"*"</calculatedColumnFormula>
    </tableColumn>
    <tableColumn id="4" xr3:uid="{CA143268-F01B-4E4E-8171-391ADB9CD488}" name="DESCRIPCION" dataDxfId="8">
      <calculatedColumnFormula>IFERROR(INDEX(Inventari_2[#All],MATCH(Salidas[[#This Row],[CODIGO ]],Inventari_2[[#Headers],[#Data],[CODIGO]],0),2),"")</calculatedColumnFormula>
    </tableColumn>
    <tableColumn id="5" xr3:uid="{B5CBDAA3-33B2-4589-9C96-9B409153E48A}" name="CANTIDAD"/>
    <tableColumn id="7" xr3:uid="{CC85BED7-1CD4-4163-BB96-63D2177F9CE4}" name="PRECIO" dataDxfId="7" dataCellStyle="Moneda">
      <calculatedColumnFormula>VLOOKUP(Salidas[[#This Row],[CODIGO ]],Inventari_2[],8,FALSE)</calculatedColumnFormula>
    </tableColumn>
    <tableColumn id="8" xr3:uid="{FEE64D1E-2218-4C0A-8BE9-C4686E647667}" name="PRECIO TOTAL" dataDxfId="6">
      <calculatedColumnFormula>Salidas[[#This Row],[PRECIO]]*Salidas[[#This Row],[CANTIDAD]]</calculatedColumnFormula>
    </tableColumn>
    <tableColumn id="6" xr3:uid="{34E70F56-66FF-46FB-9A7A-7136C6B19A8D}" name="GANACIAS" dataDxfId="5">
      <calculatedColumnFormula>VLOOKUP(Salidas[[#This Row],[CODIGO ]],Inventario[],10,FALSE)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37827F-F2DF-4B35-B861-706CAB411E28}" name="Entrada" displayName="Entrada" ref="A2:F248" totalsRowShown="0">
  <autoFilter ref="A2:F248" xr:uid="{9437827F-F2DF-4B35-B861-706CAB411E28}"/>
  <sortState xmlns:xlrd2="http://schemas.microsoft.com/office/spreadsheetml/2017/richdata2" ref="A3:F3">
    <sortCondition ref="C2:C3"/>
  </sortState>
  <tableColumns count="6">
    <tableColumn id="5" xr3:uid="{FF7AA07F-EA43-4AAD-9707-A55C6F737E0D}" name="FACTURA DE COMPRA" dataDxfId="3"/>
    <tableColumn id="3" xr3:uid="{8144BF30-07DB-4086-A3A0-FC7141F52C8E}" name="FECHA" dataDxfId="2"/>
    <tableColumn id="1" xr3:uid="{38BEE7E9-FE1C-4575-BB22-04588658C1DE}" name="CODIGO"/>
    <tableColumn id="2" xr3:uid="{340621B4-219D-42CD-BE8F-2AD7E6218218}" name="DESCRIPCION" dataDxfId="1">
      <calculatedColumnFormula>INDEX(Inventari_2[[#Headers],[#Data]],MATCH(Entrada[[#This Row],[CODIGO]],Inventari_2[[#Headers],[#Data],[CODIGO]],0),2)</calculatedColumnFormula>
    </tableColumn>
    <tableColumn id="6" xr3:uid="{891C9001-CDC5-48B1-9231-D451AD342C0F}" name="PROVEDOR" dataDxfId="0">
      <calculatedColumnFormula>IFERROR(VLOOKUP(Entrada[[#This Row],[CODIGO]],Inventari_2[],3,FALSE),"-")</calculatedColumnFormula>
    </tableColumn>
    <tableColumn id="4" xr3:uid="{4AE3E5A1-6ED6-4FF8-873C-676D7765E2DD}" name="CA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C221F2A-AAD5-4982-83EC-7A66060D3CA3}">
  <we:reference id="wa200005271" version="1.1.0.0" store="es-E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FBA8AEC-1E2D-41DE-929D-7841F8926209}">
  <we:reference id="wa104380955" version="3.16.2.1" store="es-ES" storeType="OMEX"/>
  <we:alternateReferences>
    <we:reference id="WA104380955" version="3.16.2.1" store="WA10438095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39997558519241921"/>
    <pageSetUpPr fitToPage="1"/>
  </sheetPr>
  <dimension ref="A2:N437"/>
  <sheetViews>
    <sheetView showGridLines="0" tabSelected="1" topLeftCell="A345" zoomScaleNormal="100" zoomScalePageLayoutView="80" workbookViewId="0">
      <selection activeCell="D356" sqref="D356"/>
    </sheetView>
  </sheetViews>
  <sheetFormatPr baseColWidth="10" defaultColWidth="0" defaultRowHeight="33" customHeight="1"/>
  <cols>
    <col min="1" max="1" width="18.5" style="1" bestFit="1" customWidth="1"/>
    <col min="2" max="2" width="24.375" style="1" customWidth="1"/>
    <col min="3" max="3" width="16.75" style="1" customWidth="1"/>
    <col min="4" max="4" width="27.5" style="1" customWidth="1"/>
    <col min="5" max="5" width="14" style="2" customWidth="1"/>
    <col min="6" max="6" width="13.125" style="27" customWidth="1"/>
    <col min="7" max="8" width="13.625" style="1" customWidth="1"/>
    <col min="9" max="9" width="14.5" style="29" customWidth="1"/>
    <col min="10" max="10" width="17.125" style="3" customWidth="1"/>
    <col min="11" max="11" width="19.125" style="2" customWidth="1"/>
    <col min="12" max="12" width="9.625" style="1" customWidth="1"/>
    <col min="13" max="14" width="11" style="1" customWidth="1"/>
    <col min="15" max="16384" width="10.875" style="1" hidden="1"/>
  </cols>
  <sheetData>
    <row r="2" spans="1:11" s="4" customFormat="1" ht="33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25" t="s">
        <v>5</v>
      </c>
      <c r="G2" s="6" t="s">
        <v>6</v>
      </c>
      <c r="H2" s="8" t="s">
        <v>7</v>
      </c>
      <c r="I2" s="28" t="s">
        <v>8</v>
      </c>
      <c r="J2" s="6" t="s">
        <v>9</v>
      </c>
      <c r="K2" s="7" t="s">
        <v>10</v>
      </c>
    </row>
    <row r="3" spans="1:11" s="4" customFormat="1" ht="33" customHeight="1">
      <c r="A3" s="142">
        <v>1232022120117</v>
      </c>
      <c r="B3" s="142" t="s">
        <v>11</v>
      </c>
      <c r="C3" s="247" t="s">
        <v>12</v>
      </c>
      <c r="D3" s="142" t="s">
        <v>13</v>
      </c>
      <c r="E3" s="11">
        <v>10000</v>
      </c>
      <c r="F3" s="26">
        <v>1</v>
      </c>
      <c r="G3" s="11">
        <f>Inventario[[#This Row],[COSTO UNITARIO MAYORISTA ]]*Inventario[[#This Row],[CANTIDAD]]</f>
        <v>10000</v>
      </c>
      <c r="H3" s="12">
        <v>0.55000000000000004</v>
      </c>
      <c r="I3" s="39">
        <v>25000</v>
      </c>
      <c r="J3" s="143">
        <f>Inventario[[#This Row],[PRECIO DE VENTA]]-Inventario[[#This Row],[COSTO UNITARIO MAYORISTA ]]</f>
        <v>15000</v>
      </c>
      <c r="K3" s="14">
        <f>Inventario[[#This Row],[PRECIO UTILIDAD]]/Inventario[[#This Row],[PRECIO DE VENTA]]</f>
        <v>0.6</v>
      </c>
    </row>
    <row r="4" spans="1:11" s="4" customFormat="1" ht="33" customHeight="1">
      <c r="A4" s="142" t="s">
        <v>14</v>
      </c>
      <c r="B4" s="142" t="s">
        <v>15</v>
      </c>
      <c r="C4" s="123" t="s">
        <v>16</v>
      </c>
      <c r="D4" s="142" t="s">
        <v>17</v>
      </c>
      <c r="E4" s="11">
        <v>13000</v>
      </c>
      <c r="F4" s="26">
        <v>1</v>
      </c>
      <c r="G4" s="11">
        <f>Inventario[[#This Row],[COSTO UNITARIO MAYORISTA ]]*Inventario[[#This Row],[CANTIDAD]]</f>
        <v>13000</v>
      </c>
      <c r="H4" s="12">
        <v>0.4</v>
      </c>
      <c r="I4" s="39">
        <v>22000</v>
      </c>
      <c r="J4" s="143">
        <f>Inventario[[#This Row],[PRECIO DE VENTA]]-Inventario[[#This Row],[COSTO UNITARIO MAYORISTA ]]</f>
        <v>9000</v>
      </c>
      <c r="K4" s="14">
        <f>Inventario[[#This Row],[PRECIO UTILIDAD]]/Inventario[[#This Row],[PRECIO DE VENTA]]</f>
        <v>0.40909090909090912</v>
      </c>
    </row>
    <row r="5" spans="1:11" s="4" customFormat="1" ht="33" customHeight="1">
      <c r="A5" s="87">
        <v>6926582118589</v>
      </c>
      <c r="B5" s="142" t="s">
        <v>18</v>
      </c>
      <c r="C5" s="123" t="s">
        <v>12</v>
      </c>
      <c r="D5" s="142" t="s">
        <v>19</v>
      </c>
      <c r="E5" s="11">
        <v>11000</v>
      </c>
      <c r="F5" s="26">
        <v>1</v>
      </c>
      <c r="G5" s="41">
        <f>Inventario[[#This Row],[COSTO UNITARIO MAYORISTA ]]*Inventario[[#This Row],[CANTIDAD]]</f>
        <v>11000</v>
      </c>
      <c r="H5" s="12">
        <v>0.4</v>
      </c>
      <c r="I5" s="39">
        <v>35000</v>
      </c>
      <c r="J5" s="143">
        <f>Inventario[[#This Row],[PRECIO DE VENTA]]-Inventario[[#This Row],[COSTO UNITARIO MAYORISTA ]]</f>
        <v>24000</v>
      </c>
      <c r="K5" s="14">
        <f>Inventario[[#This Row],[PRECIO UTILIDAD]]/Inventario[[#This Row],[PRECIO DE VENTA]]</f>
        <v>0.68571428571428572</v>
      </c>
    </row>
    <row r="6" spans="1:11" s="5" customFormat="1" ht="33" customHeight="1">
      <c r="A6" s="142" t="s">
        <v>20</v>
      </c>
      <c r="B6" s="21" t="s">
        <v>21</v>
      </c>
      <c r="C6" s="123" t="s">
        <v>12</v>
      </c>
      <c r="D6" s="142" t="s">
        <v>22</v>
      </c>
      <c r="E6" s="11">
        <v>9000</v>
      </c>
      <c r="F6" s="26">
        <v>2</v>
      </c>
      <c r="G6" s="11">
        <f>Inventario[[#This Row],[COSTO UNITARIO MAYORISTA ]]*Inventario[[#This Row],[CANTIDAD]]</f>
        <v>18000</v>
      </c>
      <c r="H6" s="12">
        <v>0.4</v>
      </c>
      <c r="I6" s="39">
        <v>20000</v>
      </c>
      <c r="J6" s="143">
        <f>Inventario[[#This Row],[PRECIO DE VENTA]]-Inventario[[#This Row],[COSTO UNITARIO MAYORISTA ]]</f>
        <v>11000</v>
      </c>
      <c r="K6" s="14">
        <f>Inventario[[#This Row],[PRECIO UTILIDAD]]/Inventario[[#This Row],[PRECIO DE VENTA]]</f>
        <v>0.55000000000000004</v>
      </c>
    </row>
    <row r="7" spans="1:11" s="5" customFormat="1" ht="33" customHeight="1">
      <c r="A7" s="144" t="s">
        <v>23</v>
      </c>
      <c r="B7" s="144" t="s">
        <v>24</v>
      </c>
      <c r="C7" s="124" t="s">
        <v>25</v>
      </c>
      <c r="D7" s="144" t="s">
        <v>26</v>
      </c>
      <c r="E7" s="11">
        <v>13000</v>
      </c>
      <c r="F7" s="37">
        <v>3</v>
      </c>
      <c r="G7" s="11">
        <f>Inventario[[#This Row],[COSTO UNITARIO MAYORISTA ]]*Inventario[[#This Row],[CANTIDAD]]</f>
        <v>39000</v>
      </c>
      <c r="H7" s="12">
        <v>0.4</v>
      </c>
      <c r="I7" s="39">
        <v>30000</v>
      </c>
      <c r="J7" s="143">
        <f>Inventario[[#This Row],[PRECIO DE VENTA]]-Inventario[[#This Row],[COSTO UNITARIO MAYORISTA ]]</f>
        <v>17000</v>
      </c>
      <c r="K7" s="14">
        <f>Inventario[[#This Row],[PRECIO UTILIDAD]]/Inventario[[#This Row],[PRECIO DE VENTA]]</f>
        <v>0.56666666666666665</v>
      </c>
    </row>
    <row r="8" spans="1:11" s="5" customFormat="1" ht="33" customHeight="1">
      <c r="A8" s="142" t="s">
        <v>27</v>
      </c>
      <c r="B8" s="142" t="s">
        <v>28</v>
      </c>
      <c r="C8" s="123" t="s">
        <v>16</v>
      </c>
      <c r="D8" s="142" t="s">
        <v>29</v>
      </c>
      <c r="E8" s="11">
        <v>16000</v>
      </c>
      <c r="F8" s="26">
        <v>1</v>
      </c>
      <c r="G8" s="11">
        <f>Inventario[[#This Row],[COSTO UNITARIO MAYORISTA ]]*Inventario[[#This Row],[CANTIDAD]]</f>
        <v>16000</v>
      </c>
      <c r="H8" s="12">
        <v>0.4</v>
      </c>
      <c r="I8" s="39">
        <v>30000</v>
      </c>
      <c r="J8" s="143">
        <f>Inventario[[#This Row],[PRECIO DE VENTA]]-Inventario[[#This Row],[COSTO UNITARIO MAYORISTA ]]</f>
        <v>14000</v>
      </c>
      <c r="K8" s="14">
        <f>Inventario[[#This Row],[PRECIO UTILIDAD]]/Inventario[[#This Row],[PRECIO DE VENTA]]</f>
        <v>0.46666666666666667</v>
      </c>
    </row>
    <row r="9" spans="1:11" s="5" customFormat="1" ht="33" customHeight="1">
      <c r="A9" s="145">
        <v>6923450670910</v>
      </c>
      <c r="B9" s="142" t="s">
        <v>30</v>
      </c>
      <c r="C9" s="123" t="s">
        <v>25</v>
      </c>
      <c r="D9" s="142" t="s">
        <v>31</v>
      </c>
      <c r="E9" s="11">
        <v>13000</v>
      </c>
      <c r="F9" s="26">
        <v>2</v>
      </c>
      <c r="G9" s="11">
        <f>Inventario[[#This Row],[COSTO UNITARIO MAYORISTA ]]*Inventario[[#This Row],[CANTIDAD]]</f>
        <v>26000</v>
      </c>
      <c r="H9" s="12">
        <v>0.4</v>
      </c>
      <c r="I9" s="39">
        <v>30000</v>
      </c>
      <c r="J9" s="143">
        <f>Inventario[[#This Row],[PRECIO DE VENTA]]-Inventario[[#This Row],[COSTO UNITARIO MAYORISTA ]]</f>
        <v>17000</v>
      </c>
      <c r="K9" s="14">
        <f>Inventario[[#This Row],[PRECIO UTILIDAD]]/Inventario[[#This Row],[PRECIO DE VENTA]]</f>
        <v>0.56666666666666665</v>
      </c>
    </row>
    <row r="10" spans="1:11" s="5" customFormat="1" ht="33" customHeight="1">
      <c r="A10" s="21">
        <v>6972356808194</v>
      </c>
      <c r="B10" s="142" t="s">
        <v>32</v>
      </c>
      <c r="C10" s="123" t="s">
        <v>12</v>
      </c>
      <c r="D10" s="142" t="s">
        <v>19</v>
      </c>
      <c r="E10" s="11">
        <v>11000</v>
      </c>
      <c r="F10" s="26">
        <v>1</v>
      </c>
      <c r="G10" s="41">
        <f>Inventario[[#This Row],[COSTO UNITARIO MAYORISTA ]]*Inventario[[#This Row],[CANTIDAD]]</f>
        <v>11000</v>
      </c>
      <c r="H10" s="12">
        <v>0.4</v>
      </c>
      <c r="I10" s="39">
        <v>25000</v>
      </c>
      <c r="J10" s="143">
        <f>Inventario[[#This Row],[PRECIO DE VENTA]]-Inventario[[#This Row],[COSTO UNITARIO MAYORISTA ]]</f>
        <v>14000</v>
      </c>
      <c r="K10" s="14">
        <f>Inventario[[#This Row],[PRECIO UTILIDAD]]/Inventario[[#This Row],[PRECIO DE VENTA]]</f>
        <v>0.56000000000000005</v>
      </c>
    </row>
    <row r="11" spans="1:11" s="5" customFormat="1" ht="33" customHeight="1">
      <c r="A11" s="21">
        <v>6902226121955</v>
      </c>
      <c r="B11" s="142" t="s">
        <v>33</v>
      </c>
      <c r="C11" s="123" t="s">
        <v>12</v>
      </c>
      <c r="D11" s="142" t="s">
        <v>34</v>
      </c>
      <c r="E11" s="11">
        <v>1200</v>
      </c>
      <c r="F11" s="26">
        <v>2</v>
      </c>
      <c r="G11" s="41">
        <f>Inventario[[#This Row],[COSTO UNITARIO MAYORISTA ]]*Inventario[[#This Row],[CANTIDAD]]</f>
        <v>2400</v>
      </c>
      <c r="H11" s="12">
        <v>0.4</v>
      </c>
      <c r="I11" s="39">
        <v>4000</v>
      </c>
      <c r="J11" s="143">
        <f>Inventario[[#This Row],[PRECIO DE VENTA]]-Inventario[[#This Row],[COSTO UNITARIO MAYORISTA ]]</f>
        <v>2800</v>
      </c>
      <c r="K11" s="14">
        <f>Inventario[[#This Row],[PRECIO UTILIDAD]]/Inventario[[#This Row],[PRECIO DE VENTA]]</f>
        <v>0.7</v>
      </c>
    </row>
    <row r="12" spans="1:11" s="5" customFormat="1" ht="33" customHeight="1">
      <c r="A12" s="142" t="s">
        <v>35</v>
      </c>
      <c r="B12" s="171" t="s">
        <v>36</v>
      </c>
      <c r="C12" s="123" t="s">
        <v>37</v>
      </c>
      <c r="D12" s="142" t="s">
        <v>38</v>
      </c>
      <c r="E12" s="11">
        <v>3000</v>
      </c>
      <c r="F12" s="26">
        <v>7</v>
      </c>
      <c r="G12" s="41">
        <f>Inventario[[#This Row],[COSTO UNITARIO MAYORISTA ]]*Inventario[[#This Row],[CANTIDAD]]</f>
        <v>21000</v>
      </c>
      <c r="H12" s="12">
        <v>0.4</v>
      </c>
      <c r="I12" s="39">
        <v>10000</v>
      </c>
      <c r="J12" s="143">
        <f>Inventario[[#This Row],[PRECIO DE VENTA]]-Inventario[[#This Row],[COSTO UNITARIO MAYORISTA ]]</f>
        <v>7000</v>
      </c>
      <c r="K12" s="14">
        <f>Inventario[[#This Row],[PRECIO UTILIDAD]]/Inventario[[#This Row],[PRECIO DE VENTA]]</f>
        <v>0.7</v>
      </c>
    </row>
    <row r="13" spans="1:11" s="5" customFormat="1" ht="33" customHeight="1">
      <c r="A13" s="142" t="s">
        <v>39</v>
      </c>
      <c r="B13" s="171" t="s">
        <v>40</v>
      </c>
      <c r="C13" s="123" t="s">
        <v>37</v>
      </c>
      <c r="D13" s="142" t="s">
        <v>41</v>
      </c>
      <c r="E13" s="11">
        <v>5000</v>
      </c>
      <c r="F13" s="26">
        <v>1</v>
      </c>
      <c r="G13" s="41">
        <f>Inventario[[#This Row],[COSTO UNITARIO MAYORISTA ]]*Inventario[[#This Row],[CANTIDAD]]</f>
        <v>5000</v>
      </c>
      <c r="H13" s="12">
        <v>0.4</v>
      </c>
      <c r="I13" s="39">
        <v>15000</v>
      </c>
      <c r="J13" s="143">
        <f>Inventario[[#This Row],[PRECIO DE VENTA]]-Inventario[[#This Row],[COSTO UNITARIO MAYORISTA ]]</f>
        <v>10000</v>
      </c>
      <c r="K13" s="14">
        <f>Inventario[[#This Row],[PRECIO UTILIDAD]]/Inventario[[#This Row],[PRECIO DE VENTA]]</f>
        <v>0.66666666666666663</v>
      </c>
    </row>
    <row r="14" spans="1:11" s="5" customFormat="1" ht="33" customHeight="1">
      <c r="A14" s="142" t="s">
        <v>42</v>
      </c>
      <c r="B14" s="142" t="s">
        <v>43</v>
      </c>
      <c r="C14" s="123" t="s">
        <v>44</v>
      </c>
      <c r="D14" s="142" t="s">
        <v>45</v>
      </c>
      <c r="E14" s="11">
        <v>10000</v>
      </c>
      <c r="F14" s="26">
        <v>1</v>
      </c>
      <c r="G14" s="11">
        <f>Inventario[[#This Row],[COSTO UNITARIO MAYORISTA ]]*Inventario[[#This Row],[CANTIDAD]]</f>
        <v>10000</v>
      </c>
      <c r="H14" s="12">
        <v>0.4</v>
      </c>
      <c r="I14" s="39">
        <v>20000</v>
      </c>
      <c r="J14" s="143">
        <f>Inventario[[#This Row],[PRECIO DE VENTA]]-Inventario[[#This Row],[COSTO UNITARIO MAYORISTA ]]</f>
        <v>10000</v>
      </c>
      <c r="K14" s="14">
        <f>Inventario[[#This Row],[PRECIO UTILIDAD]]/Inventario[[#This Row],[PRECIO DE VENTA]]</f>
        <v>0.5</v>
      </c>
    </row>
    <row r="15" spans="1:11" s="5" customFormat="1" ht="33" customHeight="1">
      <c r="A15" s="145">
        <v>6986682986747</v>
      </c>
      <c r="B15" s="142" t="s">
        <v>46</v>
      </c>
      <c r="C15" s="123" t="s">
        <v>16</v>
      </c>
      <c r="D15" s="142" t="s">
        <v>47</v>
      </c>
      <c r="E15" s="11">
        <v>29000</v>
      </c>
      <c r="F15" s="26">
        <v>1</v>
      </c>
      <c r="G15" s="11">
        <f>Inventario[[#This Row],[COSTO UNITARIO MAYORISTA ]]*Inventario[[#This Row],[CANTIDAD]]</f>
        <v>29000</v>
      </c>
      <c r="H15" s="12">
        <v>0.4</v>
      </c>
      <c r="I15" s="39">
        <v>60000</v>
      </c>
      <c r="J15" s="143">
        <f>Inventario[[#This Row],[PRECIO DE VENTA]]-Inventario[[#This Row],[COSTO UNITARIO MAYORISTA ]]</f>
        <v>31000</v>
      </c>
      <c r="K15" s="14">
        <f>Inventario[[#This Row],[PRECIO UTILIDAD]]/Inventario[[#This Row],[PRECIO DE VENTA]]</f>
        <v>0.51666666666666672</v>
      </c>
    </row>
    <row r="16" spans="1:11" s="5" customFormat="1" ht="33" customHeight="1">
      <c r="A16" s="231" t="s">
        <v>905</v>
      </c>
      <c r="B16" s="142" t="s">
        <v>48</v>
      </c>
      <c r="C16" s="123" t="s">
        <v>37</v>
      </c>
      <c r="D16" s="142" t="s">
        <v>49</v>
      </c>
      <c r="E16" s="11">
        <v>17000</v>
      </c>
      <c r="F16" s="26">
        <v>7</v>
      </c>
      <c r="G16" s="41">
        <f>Inventario[[#This Row],[COSTO UNITARIO MAYORISTA ]]*Inventario[[#This Row],[CANTIDAD]]</f>
        <v>119000</v>
      </c>
      <c r="H16" s="12">
        <v>0.4</v>
      </c>
      <c r="I16" s="39">
        <v>30000</v>
      </c>
      <c r="J16" s="143">
        <f>Inventario[[#This Row],[PRECIO DE VENTA]]-Inventario[[#This Row],[COSTO UNITARIO MAYORISTA ]]</f>
        <v>13000</v>
      </c>
      <c r="K16" s="14">
        <f>Inventario[[#This Row],[PRECIO UTILIDAD]]/Inventario[[#This Row],[PRECIO DE VENTA]]</f>
        <v>0.43333333333333335</v>
      </c>
    </row>
    <row r="17" spans="1:11" s="5" customFormat="1" ht="33" customHeight="1">
      <c r="A17" s="146" t="s">
        <v>50</v>
      </c>
      <c r="B17" s="142" t="s">
        <v>51</v>
      </c>
      <c r="C17" s="123" t="s">
        <v>52</v>
      </c>
      <c r="D17" s="142" t="s">
        <v>53</v>
      </c>
      <c r="E17" s="11">
        <v>17000</v>
      </c>
      <c r="F17" s="26">
        <v>17</v>
      </c>
      <c r="G17" s="11">
        <f>Inventario[[#This Row],[COSTO UNITARIO MAYORISTA ]]*Inventario[[#This Row],[CANTIDAD]]</f>
        <v>289000</v>
      </c>
      <c r="H17" s="12">
        <v>0.4</v>
      </c>
      <c r="I17" s="39">
        <v>30000</v>
      </c>
      <c r="J17" s="143">
        <f>Inventario[[#This Row],[PRECIO DE VENTA]]-Inventario[[#This Row],[COSTO UNITARIO MAYORISTA ]]</f>
        <v>13000</v>
      </c>
      <c r="K17" s="14">
        <f>Inventario[[#This Row],[PRECIO UTILIDAD]]/Inventario[[#This Row],[PRECIO DE VENTA]]</f>
        <v>0.43333333333333335</v>
      </c>
    </row>
    <row r="18" spans="1:11" s="5" customFormat="1" ht="33" customHeight="1">
      <c r="A18" s="21" t="s">
        <v>54</v>
      </c>
      <c r="B18" s="142" t="s">
        <v>55</v>
      </c>
      <c r="C18" s="123" t="s">
        <v>56</v>
      </c>
      <c r="D18" s="142" t="s">
        <v>57</v>
      </c>
      <c r="E18" s="11">
        <v>40000</v>
      </c>
      <c r="F18" s="26">
        <v>2</v>
      </c>
      <c r="G18" s="41">
        <f>Inventario[[#This Row],[COSTO UNITARIO MAYORISTA ]]*Inventario[[#This Row],[CANTIDAD]]</f>
        <v>80000</v>
      </c>
      <c r="H18" s="12">
        <v>0.4</v>
      </c>
      <c r="I18" s="39">
        <v>60000</v>
      </c>
      <c r="J18" s="143">
        <f>Inventario[[#This Row],[PRECIO DE VENTA]]-Inventario[[#This Row],[COSTO UNITARIO MAYORISTA ]]</f>
        <v>20000</v>
      </c>
      <c r="K18" s="14">
        <f>Inventario[[#This Row],[PRECIO UTILIDAD]]/Inventario[[#This Row],[PRECIO DE VENTA]]</f>
        <v>0.33333333333333331</v>
      </c>
    </row>
    <row r="19" spans="1:11" s="5" customFormat="1" ht="33" customHeight="1">
      <c r="A19" s="77">
        <v>6972815284590</v>
      </c>
      <c r="B19" s="142" t="s">
        <v>58</v>
      </c>
      <c r="C19" s="123" t="s">
        <v>12</v>
      </c>
      <c r="D19" s="142" t="s">
        <v>59</v>
      </c>
      <c r="E19" s="11">
        <v>2700</v>
      </c>
      <c r="F19" s="26">
        <v>1</v>
      </c>
      <c r="G19" s="41">
        <f>Inventario[[#This Row],[COSTO UNITARIO MAYORISTA ]]*Inventario[[#This Row],[CANTIDAD]]</f>
        <v>2700</v>
      </c>
      <c r="H19" s="12">
        <v>0.4</v>
      </c>
      <c r="I19" s="39">
        <v>5000</v>
      </c>
      <c r="J19" s="143">
        <f>Inventario[[#This Row],[PRECIO DE VENTA]]-Inventario[[#This Row],[COSTO UNITARIO MAYORISTA ]]</f>
        <v>2300</v>
      </c>
      <c r="K19" s="14">
        <f>Inventario[[#This Row],[PRECIO UTILIDAD]]/Inventario[[#This Row],[PRECIO DE VENTA]]</f>
        <v>0.46</v>
      </c>
    </row>
    <row r="20" spans="1:11" s="5" customFormat="1" ht="33" customHeight="1">
      <c r="A20" s="35">
        <v>6972815284668</v>
      </c>
      <c r="B20" s="144" t="s">
        <v>60</v>
      </c>
      <c r="C20" s="124" t="s">
        <v>12</v>
      </c>
      <c r="D20" s="144" t="s">
        <v>61</v>
      </c>
      <c r="E20" s="90">
        <v>2300</v>
      </c>
      <c r="F20" s="37">
        <v>3</v>
      </c>
      <c r="G20" s="42">
        <f>Inventario[[#This Row],[COSTO UNITARIO MAYORISTA ]]*Inventario[[#This Row],[CANTIDAD]]</f>
        <v>6900</v>
      </c>
      <c r="H20" s="12">
        <v>0.4</v>
      </c>
      <c r="I20" s="40">
        <v>5000</v>
      </c>
      <c r="J20" s="143">
        <f>Inventario[[#This Row],[PRECIO DE VENTA]]-Inventario[[#This Row],[COSTO UNITARIO MAYORISTA ]]</f>
        <v>2700</v>
      </c>
      <c r="K20" s="14">
        <f>Inventario[[#This Row],[PRECIO UTILIDAD]]/Inventario[[#This Row],[PRECIO DE VENTA]]</f>
        <v>0.54</v>
      </c>
    </row>
    <row r="21" spans="1:11" s="5" customFormat="1" ht="33" customHeight="1">
      <c r="A21" s="213" t="s">
        <v>62</v>
      </c>
      <c r="B21" s="142" t="s">
        <v>63</v>
      </c>
      <c r="C21" s="123" t="s">
        <v>12</v>
      </c>
      <c r="D21" s="142" t="s">
        <v>64</v>
      </c>
      <c r="E21" s="11">
        <v>900</v>
      </c>
      <c r="F21" s="26">
        <v>38</v>
      </c>
      <c r="G21" s="41">
        <f>Inventario[[#This Row],[COSTO UNITARIO MAYORISTA ]]*Inventario[[#This Row],[CANTIDAD]]</f>
        <v>34200</v>
      </c>
      <c r="H21" s="12">
        <v>0.4</v>
      </c>
      <c r="I21" s="39">
        <v>2000</v>
      </c>
      <c r="J21" s="143">
        <f>Inventario[[#This Row],[PRECIO DE VENTA]]-Inventario[[#This Row],[COSTO UNITARIO MAYORISTA ]]</f>
        <v>1100</v>
      </c>
      <c r="K21" s="14">
        <f>Inventario[[#This Row],[PRECIO UTILIDAD]]/Inventario[[#This Row],[PRECIO DE VENTA]]</f>
        <v>0.55000000000000004</v>
      </c>
    </row>
    <row r="22" spans="1:11" s="5" customFormat="1" ht="33" customHeight="1">
      <c r="A22" s="146" t="s">
        <v>65</v>
      </c>
      <c r="B22" s="142" t="s">
        <v>66</v>
      </c>
      <c r="C22" s="123" t="s">
        <v>67</v>
      </c>
      <c r="D22" s="142" t="s">
        <v>68</v>
      </c>
      <c r="E22" s="11">
        <v>1500</v>
      </c>
      <c r="F22" s="26">
        <v>5</v>
      </c>
      <c r="G22" s="11">
        <f>Inventario[[#This Row],[COSTO UNITARIO MAYORISTA ]]*Inventario[[#This Row],[CANTIDAD]]</f>
        <v>7500</v>
      </c>
      <c r="H22" s="12">
        <v>0.4</v>
      </c>
      <c r="I22" s="39">
        <v>7000</v>
      </c>
      <c r="J22" s="143">
        <f>Inventario[[#This Row],[PRECIO DE VENTA]]-Inventario[[#This Row],[COSTO UNITARIO MAYORISTA ]]</f>
        <v>5500</v>
      </c>
      <c r="K22" s="14">
        <f>Inventario[[#This Row],[PRECIO UTILIDAD]]/Inventario[[#This Row],[PRECIO DE VENTA]]</f>
        <v>0.7857142857142857</v>
      </c>
    </row>
    <row r="23" spans="1:11" s="5" customFormat="1" ht="33" customHeight="1">
      <c r="A23" s="142" t="s">
        <v>69</v>
      </c>
      <c r="B23" s="142" t="s">
        <v>70</v>
      </c>
      <c r="C23" s="123" t="s">
        <v>12</v>
      </c>
      <c r="D23" s="142" t="s">
        <v>71</v>
      </c>
      <c r="E23" s="11">
        <v>10000</v>
      </c>
      <c r="F23" s="26">
        <v>1</v>
      </c>
      <c r="G23" s="11">
        <f>Inventario[[#This Row],[COSTO UNITARIO MAYORISTA ]]*Inventario[[#This Row],[CANTIDAD]]</f>
        <v>10000</v>
      </c>
      <c r="H23" s="12">
        <v>0.4</v>
      </c>
      <c r="I23" s="39">
        <v>20000</v>
      </c>
      <c r="J23" s="143">
        <f>Inventario[[#This Row],[PRECIO DE VENTA]]-Inventario[[#This Row],[COSTO UNITARIO MAYORISTA ]]</f>
        <v>10000</v>
      </c>
      <c r="K23" s="14">
        <f>Inventario[[#This Row],[PRECIO UTILIDAD]]/Inventario[[#This Row],[PRECIO DE VENTA]]</f>
        <v>0.5</v>
      </c>
    </row>
    <row r="24" spans="1:11" ht="33" customHeight="1">
      <c r="A24" s="77">
        <v>6976507720229</v>
      </c>
      <c r="B24" s="142" t="s">
        <v>72</v>
      </c>
      <c r="C24" s="123" t="s">
        <v>25</v>
      </c>
      <c r="D24" s="142" t="s">
        <v>73</v>
      </c>
      <c r="E24" s="11">
        <v>6500</v>
      </c>
      <c r="F24" s="26">
        <v>1</v>
      </c>
      <c r="G24" s="11">
        <f>Inventario[[#This Row],[COSTO UNITARIO MAYORISTA ]]*Inventario[[#This Row],[CANTIDAD]]</f>
        <v>6500</v>
      </c>
      <c r="H24" s="12">
        <v>0.4</v>
      </c>
      <c r="I24" s="39">
        <v>15000</v>
      </c>
      <c r="J24" s="143">
        <f>Inventario[[#This Row],[PRECIO DE VENTA]]-Inventario[[#This Row],[COSTO UNITARIO MAYORISTA ]]</f>
        <v>8500</v>
      </c>
      <c r="K24" s="14">
        <f>Inventario[[#This Row],[PRECIO UTILIDAD]]/Inventario[[#This Row],[PRECIO DE VENTA]]</f>
        <v>0.56666666666666665</v>
      </c>
    </row>
    <row r="25" spans="1:11" ht="33" customHeight="1">
      <c r="A25" s="142" t="s">
        <v>74</v>
      </c>
      <c r="B25" s="142" t="s">
        <v>75</v>
      </c>
      <c r="C25" s="123" t="s">
        <v>16</v>
      </c>
      <c r="D25" s="142" t="s">
        <v>76</v>
      </c>
      <c r="E25" s="11">
        <v>5000</v>
      </c>
      <c r="F25" s="26">
        <v>3</v>
      </c>
      <c r="G25" s="11">
        <f>Inventario[[#This Row],[COSTO UNITARIO MAYORISTA ]]*Inventario[[#This Row],[CANTIDAD]]</f>
        <v>15000</v>
      </c>
      <c r="H25" s="12">
        <v>0.4</v>
      </c>
      <c r="I25" s="39">
        <v>8000</v>
      </c>
      <c r="J25" s="143">
        <f>Inventario[[#This Row],[PRECIO DE VENTA]]-Inventario[[#This Row],[COSTO UNITARIO MAYORISTA ]]</f>
        <v>3000</v>
      </c>
      <c r="K25" s="14">
        <f>Inventario[[#This Row],[PRECIO UTILIDAD]]/Inventario[[#This Row],[PRECIO DE VENTA]]</f>
        <v>0.375</v>
      </c>
    </row>
    <row r="26" spans="1:11" ht="33" customHeight="1">
      <c r="A26" s="147" t="s">
        <v>77</v>
      </c>
      <c r="B26" s="10" t="s">
        <v>78</v>
      </c>
      <c r="C26" s="15" t="s">
        <v>56</v>
      </c>
      <c r="D26" s="142" t="s">
        <v>79</v>
      </c>
      <c r="E26" s="11">
        <v>21000</v>
      </c>
      <c r="F26" s="26">
        <v>3</v>
      </c>
      <c r="G26" s="41">
        <f>Inventario[[#This Row],[COSTO UNITARIO MAYORISTA ]]*Inventario[[#This Row],[CANTIDAD]]</f>
        <v>63000</v>
      </c>
      <c r="H26" s="12">
        <v>0.4</v>
      </c>
      <c r="I26" s="39">
        <f>Inventario[[#This Row],[COSTO UNITARIO MAYORISTA ]]/(1-Inventario[[#This Row],[MARGEN DE UTILIDAD]])</f>
        <v>35000</v>
      </c>
      <c r="J26" s="143">
        <f>Inventario[[#This Row],[PRECIO DE VENTA]]-Inventario[[#This Row],[COSTO UNITARIO MAYORISTA ]]</f>
        <v>14000</v>
      </c>
      <c r="K26" s="14">
        <f>Inventario[[#This Row],[PRECIO UTILIDAD]]/Inventario[[#This Row],[PRECIO DE VENTA]]</f>
        <v>0.4</v>
      </c>
    </row>
    <row r="27" spans="1:11" ht="33" customHeight="1">
      <c r="A27" s="21">
        <v>6932924600643</v>
      </c>
      <c r="B27" s="142" t="s">
        <v>80</v>
      </c>
      <c r="C27" s="123" t="s">
        <v>12</v>
      </c>
      <c r="D27" s="142" t="s">
        <v>81</v>
      </c>
      <c r="E27" s="11">
        <v>8000</v>
      </c>
      <c r="F27" s="26">
        <v>5</v>
      </c>
      <c r="G27" s="41">
        <f>Inventario[[#This Row],[COSTO UNITARIO MAYORISTA ]]*Inventario[[#This Row],[CANTIDAD]]</f>
        <v>40000</v>
      </c>
      <c r="H27" s="12">
        <v>0.4</v>
      </c>
      <c r="I27" s="39">
        <v>15000</v>
      </c>
      <c r="J27" s="143">
        <f>Inventario[[#This Row],[PRECIO DE VENTA]]-Inventario[[#This Row],[COSTO UNITARIO MAYORISTA ]]</f>
        <v>7000</v>
      </c>
      <c r="K27" s="14">
        <f>Inventario[[#This Row],[PRECIO UTILIDAD]]/Inventario[[#This Row],[PRECIO DE VENTA]]</f>
        <v>0.46666666666666667</v>
      </c>
    </row>
    <row r="28" spans="1:11" ht="33" customHeight="1">
      <c r="A28" s="142" t="s">
        <v>82</v>
      </c>
      <c r="B28" s="142" t="s">
        <v>83</v>
      </c>
      <c r="C28" s="123" t="s">
        <v>44</v>
      </c>
      <c r="D28" s="142" t="s">
        <v>84</v>
      </c>
      <c r="E28" s="11">
        <v>27000</v>
      </c>
      <c r="F28" s="26">
        <v>1</v>
      </c>
      <c r="G28" s="41">
        <f>Inventario[[#This Row],[COSTO UNITARIO MAYORISTA ]]*Inventario[[#This Row],[CANTIDAD]]</f>
        <v>27000</v>
      </c>
      <c r="H28" s="12">
        <v>0.4</v>
      </c>
      <c r="I28" s="39">
        <v>50000</v>
      </c>
      <c r="J28" s="143">
        <f>Inventario[[#This Row],[PRECIO DE VENTA]]-Inventario[[#This Row],[COSTO UNITARIO MAYORISTA ]]</f>
        <v>23000</v>
      </c>
      <c r="K28" s="14">
        <f>Inventario[[#This Row],[PRECIO UTILIDAD]]/Inventario[[#This Row],[PRECIO DE VENTA]]</f>
        <v>0.46</v>
      </c>
    </row>
    <row r="29" spans="1:11" ht="33" customHeight="1">
      <c r="A29" s="223" t="s">
        <v>889</v>
      </c>
      <c r="B29" s="10" t="s">
        <v>85</v>
      </c>
      <c r="C29" s="15" t="s">
        <v>56</v>
      </c>
      <c r="D29" s="10" t="s">
        <v>86</v>
      </c>
      <c r="E29" s="11">
        <v>40000</v>
      </c>
      <c r="F29" s="26">
        <v>1</v>
      </c>
      <c r="G29" s="11">
        <f>Inventario[[#This Row],[COSTO UNITARIO MAYORISTA ]]*Inventario[[#This Row],[CANTIDAD]]</f>
        <v>40000</v>
      </c>
      <c r="H29" s="12">
        <v>0.4</v>
      </c>
      <c r="I29" s="39">
        <v>55000</v>
      </c>
      <c r="J29" s="143">
        <f>Inventario[[#This Row],[PRECIO DE VENTA]]-Inventario[[#This Row],[COSTO UNITARIO MAYORISTA ]]</f>
        <v>15000</v>
      </c>
      <c r="K29" s="14">
        <f>Inventario[[#This Row],[PRECIO UTILIDAD]]/Inventario[[#This Row],[PRECIO DE VENTA]]</f>
        <v>0.27272727272727271</v>
      </c>
    </row>
    <row r="30" spans="1:11" ht="33" customHeight="1">
      <c r="A30" s="10" t="s">
        <v>87</v>
      </c>
      <c r="B30" s="10" t="s">
        <v>88</v>
      </c>
      <c r="C30" s="15" t="s">
        <v>56</v>
      </c>
      <c r="D30" s="149" t="s">
        <v>89</v>
      </c>
      <c r="E30" s="11">
        <v>45000</v>
      </c>
      <c r="F30" s="26">
        <v>1</v>
      </c>
      <c r="G30" s="11">
        <f>Inventario[[#This Row],[COSTO UNITARIO MAYORISTA ]]*Inventario[[#This Row],[CANTIDAD]]</f>
        <v>45000</v>
      </c>
      <c r="H30" s="12">
        <v>0.4</v>
      </c>
      <c r="I30" s="39">
        <v>60000</v>
      </c>
      <c r="J30" s="143">
        <f>Inventario[[#This Row],[PRECIO DE VENTA]]-Inventario[[#This Row],[COSTO UNITARIO MAYORISTA ]]</f>
        <v>15000</v>
      </c>
      <c r="K30" s="14">
        <f>Inventario[[#This Row],[PRECIO UTILIDAD]]/Inventario[[#This Row],[PRECIO DE VENTA]]</f>
        <v>0.25</v>
      </c>
    </row>
    <row r="31" spans="1:11" ht="33" customHeight="1">
      <c r="A31" s="219" t="s">
        <v>890</v>
      </c>
      <c r="B31" s="10" t="s">
        <v>90</v>
      </c>
      <c r="C31" s="15" t="s">
        <v>56</v>
      </c>
      <c r="D31" s="10" t="s">
        <v>91</v>
      </c>
      <c r="E31" s="11">
        <v>45000</v>
      </c>
      <c r="F31" s="26">
        <v>1</v>
      </c>
      <c r="G31" s="11">
        <f>Inventario[[#This Row],[COSTO UNITARIO MAYORISTA ]]*Inventario[[#This Row],[CANTIDAD]]</f>
        <v>45000</v>
      </c>
      <c r="H31" s="12">
        <v>0.4</v>
      </c>
      <c r="I31" s="39">
        <v>60000</v>
      </c>
      <c r="J31" s="143">
        <f>Inventario[[#This Row],[PRECIO DE VENTA]]-Inventario[[#This Row],[COSTO UNITARIO MAYORISTA ]]</f>
        <v>15000</v>
      </c>
      <c r="K31" s="14">
        <f>Inventario[[#This Row],[PRECIO UTILIDAD]]/Inventario[[#This Row],[PRECIO DE VENTA]]</f>
        <v>0.25</v>
      </c>
    </row>
    <row r="32" spans="1:11" ht="33" customHeight="1">
      <c r="A32" s="216" t="s">
        <v>891</v>
      </c>
      <c r="B32" s="142" t="s">
        <v>92</v>
      </c>
      <c r="C32" s="123" t="s">
        <v>12</v>
      </c>
      <c r="D32" s="142" t="s">
        <v>93</v>
      </c>
      <c r="E32" s="11">
        <v>16000</v>
      </c>
      <c r="F32" s="26">
        <v>1</v>
      </c>
      <c r="G32" s="41">
        <f>Inventario[[#This Row],[COSTO UNITARIO MAYORISTA ]]*Inventario[[#This Row],[CANTIDAD]]</f>
        <v>16000</v>
      </c>
      <c r="H32" s="12">
        <v>0.4</v>
      </c>
      <c r="I32" s="39">
        <v>30000</v>
      </c>
      <c r="J32" s="143">
        <f>Inventario[[#This Row],[PRECIO DE VENTA]]-Inventario[[#This Row],[COSTO UNITARIO MAYORISTA ]]</f>
        <v>14000</v>
      </c>
      <c r="K32" s="14">
        <f>Inventario[[#This Row],[PRECIO UTILIDAD]]/Inventario[[#This Row],[PRECIO DE VENTA]]</f>
        <v>0.46666666666666667</v>
      </c>
    </row>
    <row r="33" spans="1:11" ht="33" customHeight="1">
      <c r="A33" s="142">
        <v>6964345340143</v>
      </c>
      <c r="B33" s="142" t="s">
        <v>94</v>
      </c>
      <c r="C33" s="123" t="s">
        <v>12</v>
      </c>
      <c r="D33" s="142" t="s">
        <v>95</v>
      </c>
      <c r="E33" s="11">
        <v>18000</v>
      </c>
      <c r="F33" s="26">
        <v>2</v>
      </c>
      <c r="G33" s="11">
        <f>Inventario[[#This Row],[COSTO UNITARIO MAYORISTA ]]*Inventario[[#This Row],[CANTIDAD]]</f>
        <v>36000</v>
      </c>
      <c r="H33" s="12">
        <v>0.4</v>
      </c>
      <c r="I33" s="39">
        <v>35000</v>
      </c>
      <c r="J33" s="143">
        <f>Inventario[[#This Row],[PRECIO DE VENTA]]-Inventario[[#This Row],[COSTO UNITARIO MAYORISTA ]]</f>
        <v>17000</v>
      </c>
      <c r="K33" s="14">
        <f>Inventario[[#This Row],[PRECIO UTILIDAD]]/Inventario[[#This Row],[PRECIO DE VENTA]]</f>
        <v>0.48571428571428571</v>
      </c>
    </row>
    <row r="34" spans="1:11" ht="33" customHeight="1">
      <c r="A34" s="216" t="s">
        <v>884</v>
      </c>
      <c r="B34" s="142" t="s">
        <v>96</v>
      </c>
      <c r="C34" s="123" t="s">
        <v>52</v>
      </c>
      <c r="D34" s="142" t="s">
        <v>97</v>
      </c>
      <c r="E34" s="11">
        <v>47000</v>
      </c>
      <c r="F34" s="26">
        <v>1</v>
      </c>
      <c r="G34" s="11">
        <f>Inventario[[#This Row],[COSTO UNITARIO MAYORISTA ]]*Inventario[[#This Row],[CANTIDAD]]</f>
        <v>47000</v>
      </c>
      <c r="H34" s="12">
        <v>0.4</v>
      </c>
      <c r="I34" s="39">
        <v>90000</v>
      </c>
      <c r="J34" s="143">
        <f>Inventario[[#This Row],[PRECIO DE VENTA]]-Inventario[[#This Row],[COSTO UNITARIO MAYORISTA ]]</f>
        <v>43000</v>
      </c>
      <c r="K34" s="14">
        <f>Inventario[[#This Row],[PRECIO UTILIDAD]]/Inventario[[#This Row],[PRECIO DE VENTA]]</f>
        <v>0.4777777777777778</v>
      </c>
    </row>
    <row r="35" spans="1:11" ht="33" customHeight="1">
      <c r="A35" s="219" t="s">
        <v>882</v>
      </c>
      <c r="B35" s="10" t="s">
        <v>98</v>
      </c>
      <c r="C35" s="15" t="s">
        <v>56</v>
      </c>
      <c r="D35" s="142" t="s">
        <v>99</v>
      </c>
      <c r="E35" s="11">
        <v>33000</v>
      </c>
      <c r="F35" s="26">
        <v>1</v>
      </c>
      <c r="G35" s="41">
        <f>Inventario[[#This Row],[COSTO UNITARIO MAYORISTA ]]*Inventario[[#This Row],[CANTIDAD]]</f>
        <v>33000</v>
      </c>
      <c r="H35" s="12">
        <v>0.4</v>
      </c>
      <c r="I35" s="39">
        <v>50000</v>
      </c>
      <c r="J35" s="143">
        <f>Inventario[[#This Row],[PRECIO DE VENTA]]-Inventario[[#This Row],[COSTO UNITARIO MAYORISTA ]]</f>
        <v>17000</v>
      </c>
      <c r="K35" s="14">
        <f>Inventario[[#This Row],[PRECIO UTILIDAD]]/Inventario[[#This Row],[PRECIO DE VENTA]]</f>
        <v>0.34</v>
      </c>
    </row>
    <row r="36" spans="1:11" ht="33" customHeight="1">
      <c r="A36" s="221" t="s">
        <v>901</v>
      </c>
      <c r="B36" s="149" t="s">
        <v>100</v>
      </c>
      <c r="C36" s="123" t="s">
        <v>44</v>
      </c>
      <c r="D36" s="142" t="s">
        <v>101</v>
      </c>
      <c r="E36" s="11">
        <v>10000</v>
      </c>
      <c r="F36" s="26">
        <v>2</v>
      </c>
      <c r="G36" s="41">
        <f>Inventario[[#This Row],[COSTO UNITARIO MAYORISTA ]]*Inventario[[#This Row],[CANTIDAD]]</f>
        <v>20000</v>
      </c>
      <c r="H36" s="12">
        <v>0.4</v>
      </c>
      <c r="I36" s="39">
        <v>25000</v>
      </c>
      <c r="J36" s="143">
        <f>Inventario[[#This Row],[PRECIO DE VENTA]]-Inventario[[#This Row],[COSTO UNITARIO MAYORISTA ]]</f>
        <v>15000</v>
      </c>
      <c r="K36" s="14">
        <f>Inventario[[#This Row],[PRECIO UTILIDAD]]/Inventario[[#This Row],[PRECIO DE VENTA]]</f>
        <v>0.6</v>
      </c>
    </row>
    <row r="37" spans="1:11" ht="33" customHeight="1">
      <c r="A37" s="77">
        <v>6936699762025</v>
      </c>
      <c r="B37" s="142" t="s">
        <v>102</v>
      </c>
      <c r="C37" s="123" t="s">
        <v>103</v>
      </c>
      <c r="D37" s="142" t="s">
        <v>102</v>
      </c>
      <c r="E37" s="11">
        <v>4000</v>
      </c>
      <c r="F37" s="26">
        <v>2</v>
      </c>
      <c r="G37" s="41">
        <f>Inventario[[#This Row],[COSTO UNITARIO MAYORISTA ]]*Inventario[[#This Row],[CANTIDAD]]</f>
        <v>8000</v>
      </c>
      <c r="H37" s="12">
        <v>0.4</v>
      </c>
      <c r="I37" s="39">
        <v>7000</v>
      </c>
      <c r="J37" s="143">
        <f>Inventario[[#This Row],[PRECIO DE VENTA]]-Inventario[[#This Row],[COSTO UNITARIO MAYORISTA ]]</f>
        <v>3000</v>
      </c>
      <c r="K37" s="14">
        <f>Inventario[[#This Row],[PRECIO UTILIDAD]]/Inventario[[#This Row],[PRECIO DE VENTA]]</f>
        <v>0.42857142857142855</v>
      </c>
    </row>
    <row r="38" spans="1:11" ht="33" customHeight="1">
      <c r="A38" s="77">
        <v>6959023913566</v>
      </c>
      <c r="B38" s="142" t="s">
        <v>104</v>
      </c>
      <c r="C38" s="123" t="s">
        <v>67</v>
      </c>
      <c r="D38" s="142" t="s">
        <v>105</v>
      </c>
      <c r="E38" s="11">
        <v>2300</v>
      </c>
      <c r="F38" s="26">
        <v>2</v>
      </c>
      <c r="G38" s="41">
        <f>Inventario[[#This Row],[COSTO UNITARIO MAYORISTA ]]*Inventario[[#This Row],[CANTIDAD]]</f>
        <v>4600</v>
      </c>
      <c r="H38" s="12">
        <v>0.4</v>
      </c>
      <c r="I38" s="39">
        <v>6000</v>
      </c>
      <c r="J38" s="143">
        <f>Inventario[[#This Row],[PRECIO DE VENTA]]-Inventario[[#This Row],[COSTO UNITARIO MAYORISTA ]]</f>
        <v>3700</v>
      </c>
      <c r="K38" s="14">
        <f>Inventario[[#This Row],[PRECIO UTILIDAD]]/Inventario[[#This Row],[PRECIO DE VENTA]]</f>
        <v>0.6166666666666667</v>
      </c>
    </row>
    <row r="39" spans="1:11" ht="33" customHeight="1">
      <c r="A39" s="77">
        <v>10122174</v>
      </c>
      <c r="B39" s="142" t="s">
        <v>106</v>
      </c>
      <c r="C39" s="123" t="s">
        <v>67</v>
      </c>
      <c r="D39" s="142" t="s">
        <v>107</v>
      </c>
      <c r="E39" s="11">
        <v>1500</v>
      </c>
      <c r="F39" s="26">
        <v>1</v>
      </c>
      <c r="G39" s="41">
        <f>Inventario[[#This Row],[COSTO UNITARIO MAYORISTA ]]*Inventario[[#This Row],[CANTIDAD]]</f>
        <v>1500</v>
      </c>
      <c r="H39" s="12">
        <v>0.4</v>
      </c>
      <c r="I39" s="39">
        <v>4000</v>
      </c>
      <c r="J39" s="143">
        <f>Inventario[[#This Row],[PRECIO DE VENTA]]-Inventario[[#This Row],[COSTO UNITARIO MAYORISTA ]]</f>
        <v>2500</v>
      </c>
      <c r="K39" s="14">
        <f>Inventario[[#This Row],[PRECIO UTILIDAD]]/Inventario[[#This Row],[PRECIO DE VENTA]]</f>
        <v>0.625</v>
      </c>
    </row>
    <row r="40" spans="1:11" ht="33" customHeight="1">
      <c r="A40" s="21">
        <v>6971123984215</v>
      </c>
      <c r="B40" s="142" t="s">
        <v>108</v>
      </c>
      <c r="C40" s="123" t="s">
        <v>12</v>
      </c>
      <c r="D40" s="142" t="s">
        <v>109</v>
      </c>
      <c r="E40" s="11">
        <v>5000</v>
      </c>
      <c r="F40" s="26">
        <v>1</v>
      </c>
      <c r="G40" s="41">
        <f>Inventario[[#This Row],[COSTO UNITARIO MAYORISTA ]]*Inventario[[#This Row],[CANTIDAD]]</f>
        <v>5000</v>
      </c>
      <c r="H40" s="12">
        <v>0.4</v>
      </c>
      <c r="I40" s="39">
        <v>8000</v>
      </c>
      <c r="J40" s="143">
        <f>Inventario[[#This Row],[PRECIO DE VENTA]]-Inventario[[#This Row],[COSTO UNITARIO MAYORISTA ]]</f>
        <v>3000</v>
      </c>
      <c r="K40" s="14">
        <f>Inventario[[#This Row],[PRECIO UTILIDAD]]/Inventario[[#This Row],[PRECIO DE VENTA]]</f>
        <v>0.375</v>
      </c>
    </row>
    <row r="41" spans="1:11" ht="33" customHeight="1">
      <c r="A41" s="146" t="s">
        <v>110</v>
      </c>
      <c r="B41" s="142" t="s">
        <v>111</v>
      </c>
      <c r="C41" s="123" t="s">
        <v>103</v>
      </c>
      <c r="D41" s="142" t="s">
        <v>112</v>
      </c>
      <c r="E41" s="11">
        <v>3000</v>
      </c>
      <c r="F41" s="26">
        <v>15</v>
      </c>
      <c r="G41" s="41">
        <f>Inventario[[#This Row],[COSTO UNITARIO MAYORISTA ]]*Inventario[[#This Row],[CANTIDAD]]</f>
        <v>45000</v>
      </c>
      <c r="H41" s="12">
        <v>0.4</v>
      </c>
      <c r="I41" s="39">
        <v>4000</v>
      </c>
      <c r="J41" s="143">
        <f>Inventario[[#This Row],[PRECIO DE VENTA]]-Inventario[[#This Row],[COSTO UNITARIO MAYORISTA ]]</f>
        <v>1000</v>
      </c>
      <c r="K41" s="14">
        <f>Inventario[[#This Row],[PRECIO UTILIDAD]]/Inventario[[#This Row],[PRECIO DE VENTA]]</f>
        <v>0.25</v>
      </c>
    </row>
    <row r="42" spans="1:11" ht="33" customHeight="1">
      <c r="A42" s="77">
        <v>6979261520128</v>
      </c>
      <c r="B42" s="142" t="s">
        <v>113</v>
      </c>
      <c r="C42" s="123" t="s">
        <v>25</v>
      </c>
      <c r="D42" s="142" t="s">
        <v>114</v>
      </c>
      <c r="E42" s="11">
        <v>2200</v>
      </c>
      <c r="F42" s="26">
        <v>3</v>
      </c>
      <c r="G42" s="41">
        <f>Inventario[[#This Row],[COSTO UNITARIO MAYORISTA ]]*Inventario[[#This Row],[CANTIDAD]]</f>
        <v>6600</v>
      </c>
      <c r="H42" s="12">
        <v>0.4</v>
      </c>
      <c r="I42" s="39">
        <v>6000</v>
      </c>
      <c r="J42" s="143">
        <f>Inventario[[#This Row],[PRECIO DE VENTA]]-Inventario[[#This Row],[COSTO UNITARIO MAYORISTA ]]</f>
        <v>3800</v>
      </c>
      <c r="K42" s="14">
        <f>Inventario[[#This Row],[PRECIO UTILIDAD]]/Inventario[[#This Row],[PRECIO DE VENTA]]</f>
        <v>0.6333333333333333</v>
      </c>
    </row>
    <row r="43" spans="1:11" ht="33" customHeight="1">
      <c r="A43" s="21">
        <v>6971806108938</v>
      </c>
      <c r="B43" s="142" t="s">
        <v>115</v>
      </c>
      <c r="C43" s="123" t="s">
        <v>12</v>
      </c>
      <c r="D43" s="142" t="s">
        <v>116</v>
      </c>
      <c r="E43" s="11">
        <v>2700</v>
      </c>
      <c r="F43" s="26">
        <v>1</v>
      </c>
      <c r="G43" s="41">
        <f>Inventario[[#This Row],[COSTO UNITARIO MAYORISTA ]]*Inventario[[#This Row],[CANTIDAD]]</f>
        <v>2700</v>
      </c>
      <c r="H43" s="12">
        <v>0.4</v>
      </c>
      <c r="I43" s="39">
        <v>5000</v>
      </c>
      <c r="J43" s="143">
        <f>Inventario[[#This Row],[PRECIO DE VENTA]]-Inventario[[#This Row],[COSTO UNITARIO MAYORISTA ]]</f>
        <v>2300</v>
      </c>
      <c r="K43" s="14">
        <f>Inventario[[#This Row],[PRECIO UTILIDAD]]/Inventario[[#This Row],[PRECIO DE VENTA]]</f>
        <v>0.46</v>
      </c>
    </row>
    <row r="44" spans="1:11" ht="33" customHeight="1">
      <c r="A44" s="77">
        <v>6973511066350</v>
      </c>
      <c r="B44" s="142" t="s">
        <v>117</v>
      </c>
      <c r="C44" s="123" t="s">
        <v>25</v>
      </c>
      <c r="D44" s="142" t="s">
        <v>118</v>
      </c>
      <c r="E44" s="11">
        <v>3500</v>
      </c>
      <c r="F44" s="26">
        <v>1</v>
      </c>
      <c r="G44" s="11">
        <f>Inventario[[#This Row],[COSTO UNITARIO MAYORISTA ]]*Inventario[[#This Row],[CANTIDAD]]</f>
        <v>3500</v>
      </c>
      <c r="H44" s="12">
        <v>0.4</v>
      </c>
      <c r="I44" s="39">
        <v>7000</v>
      </c>
      <c r="J44" s="143">
        <f>Inventario[[#This Row],[PRECIO DE VENTA]]-Inventario[[#This Row],[COSTO UNITARIO MAYORISTA ]]</f>
        <v>3500</v>
      </c>
      <c r="K44" s="14">
        <f>Inventario[[#This Row],[PRECIO UTILIDAD]]/Inventario[[#This Row],[PRECIO DE VENTA]]</f>
        <v>0.5</v>
      </c>
    </row>
    <row r="45" spans="1:11" ht="33" customHeight="1">
      <c r="A45" s="21">
        <v>6971010809430</v>
      </c>
      <c r="B45" s="142" t="s">
        <v>119</v>
      </c>
      <c r="C45" s="123" t="s">
        <v>103</v>
      </c>
      <c r="D45" s="142" t="s">
        <v>119</v>
      </c>
      <c r="E45" s="11">
        <v>7800</v>
      </c>
      <c r="F45" s="26">
        <v>1</v>
      </c>
      <c r="G45" s="41">
        <f>Inventario[[#This Row],[COSTO UNITARIO MAYORISTA ]]*Inventario[[#This Row],[CANTIDAD]]</f>
        <v>7800</v>
      </c>
      <c r="H45" s="12">
        <v>0.4</v>
      </c>
      <c r="I45" s="39">
        <v>15000</v>
      </c>
      <c r="J45" s="143">
        <f>Inventario[[#This Row],[PRECIO DE VENTA]]-Inventario[[#This Row],[COSTO UNITARIO MAYORISTA ]]</f>
        <v>7200</v>
      </c>
      <c r="K45" s="14">
        <f>Inventario[[#This Row],[PRECIO UTILIDAD]]/Inventario[[#This Row],[PRECIO DE VENTA]]</f>
        <v>0.48</v>
      </c>
    </row>
    <row r="46" spans="1:11" ht="33" customHeight="1">
      <c r="A46" s="77">
        <v>6233216028269</v>
      </c>
      <c r="B46" s="142" t="s">
        <v>120</v>
      </c>
      <c r="C46" s="123" t="s">
        <v>12</v>
      </c>
      <c r="D46" s="142" t="s">
        <v>121</v>
      </c>
      <c r="E46" s="11">
        <v>4000</v>
      </c>
      <c r="F46" s="26">
        <v>1</v>
      </c>
      <c r="G46" s="41">
        <f>Inventario[[#This Row],[COSTO UNITARIO MAYORISTA ]]*Inventario[[#This Row],[CANTIDAD]]</f>
        <v>4000</v>
      </c>
      <c r="H46" s="12">
        <v>0.4</v>
      </c>
      <c r="I46" s="39">
        <v>8000</v>
      </c>
      <c r="J46" s="143">
        <f>Inventario[[#This Row],[PRECIO DE VENTA]]-Inventario[[#This Row],[COSTO UNITARIO MAYORISTA ]]</f>
        <v>4000</v>
      </c>
      <c r="K46" s="14">
        <f>Inventario[[#This Row],[PRECIO UTILIDAD]]/Inventario[[#This Row],[PRECIO DE VENTA]]</f>
        <v>0.5</v>
      </c>
    </row>
    <row r="47" spans="1:11" ht="33" customHeight="1">
      <c r="A47" s="216" t="s">
        <v>897</v>
      </c>
      <c r="B47" s="142" t="s">
        <v>122</v>
      </c>
      <c r="C47" s="123" t="s">
        <v>52</v>
      </c>
      <c r="D47" s="142" t="s">
        <v>123</v>
      </c>
      <c r="E47" s="11">
        <v>20000</v>
      </c>
      <c r="F47" s="26">
        <v>1</v>
      </c>
      <c r="G47" s="11">
        <f>Inventario[[#This Row],[COSTO UNITARIO MAYORISTA ]]*Inventario[[#This Row],[CANTIDAD]]</f>
        <v>20000</v>
      </c>
      <c r="H47" s="12">
        <v>0.4</v>
      </c>
      <c r="I47" s="39">
        <v>40000</v>
      </c>
      <c r="J47" s="143">
        <f>Inventario[[#This Row],[PRECIO DE VENTA]]-Inventario[[#This Row],[COSTO UNITARIO MAYORISTA ]]</f>
        <v>20000</v>
      </c>
      <c r="K47" s="14">
        <f>Inventario[[#This Row],[PRECIO UTILIDAD]]/Inventario[[#This Row],[PRECIO DE VENTA]]</f>
        <v>0.5</v>
      </c>
    </row>
    <row r="48" spans="1:11" ht="33" customHeight="1">
      <c r="A48" s="146" t="s">
        <v>124</v>
      </c>
      <c r="B48" s="142" t="s">
        <v>125</v>
      </c>
      <c r="C48" s="123" t="s">
        <v>12</v>
      </c>
      <c r="D48" s="142" t="s">
        <v>125</v>
      </c>
      <c r="E48" s="11">
        <v>6000</v>
      </c>
      <c r="F48" s="26">
        <v>2</v>
      </c>
      <c r="G48" s="11">
        <f>Inventario[[#This Row],[COSTO UNITARIO MAYORISTA ]]*Inventario[[#This Row],[CANTIDAD]]</f>
        <v>12000</v>
      </c>
      <c r="H48" s="12">
        <v>0.4</v>
      </c>
      <c r="I48" s="39">
        <v>15000</v>
      </c>
      <c r="J48" s="143">
        <f>Inventario[[#This Row],[PRECIO DE VENTA]]-Inventario[[#This Row],[COSTO UNITARIO MAYORISTA ]]</f>
        <v>9000</v>
      </c>
      <c r="K48" s="14">
        <f>Inventario[[#This Row],[PRECIO UTILIDAD]]/Inventario[[#This Row],[PRECIO DE VENTA]]</f>
        <v>0.6</v>
      </c>
    </row>
    <row r="49" spans="1:11" ht="33" customHeight="1">
      <c r="A49" s="142" t="s">
        <v>126</v>
      </c>
      <c r="B49" s="142" t="s">
        <v>127</v>
      </c>
      <c r="C49" s="123" t="s">
        <v>37</v>
      </c>
      <c r="D49" s="142" t="s">
        <v>128</v>
      </c>
      <c r="E49" s="11">
        <v>1083</v>
      </c>
      <c r="F49" s="26">
        <v>36</v>
      </c>
      <c r="G49" s="11">
        <f>Inventario[[#This Row],[COSTO UNITARIO MAYORISTA ]]*Inventario[[#This Row],[CANTIDAD]]</f>
        <v>38988</v>
      </c>
      <c r="H49" s="12">
        <v>0.4</v>
      </c>
      <c r="I49" s="39">
        <v>5000</v>
      </c>
      <c r="J49" s="143">
        <f>Inventario[[#This Row],[PRECIO DE VENTA]]-Inventario[[#This Row],[COSTO UNITARIO MAYORISTA ]]</f>
        <v>3917</v>
      </c>
      <c r="K49" s="14">
        <f>Inventario[[#This Row],[PRECIO UTILIDAD]]/Inventario[[#This Row],[PRECIO DE VENTA]]</f>
        <v>0.78339999999999999</v>
      </c>
    </row>
    <row r="50" spans="1:11" ht="33" customHeight="1">
      <c r="A50" s="231" t="s">
        <v>906</v>
      </c>
      <c r="B50" s="142" t="s">
        <v>130</v>
      </c>
      <c r="C50" s="123" t="s">
        <v>37</v>
      </c>
      <c r="D50" s="142" t="s">
        <v>131</v>
      </c>
      <c r="E50" s="11">
        <v>17000</v>
      </c>
      <c r="F50" s="26">
        <v>2</v>
      </c>
      <c r="G50" s="11">
        <f>Inventario[[#This Row],[COSTO UNITARIO MAYORISTA ]]*Inventario[[#This Row],[CANTIDAD]]</f>
        <v>34000</v>
      </c>
      <c r="H50" s="12">
        <v>0.4</v>
      </c>
      <c r="I50" s="39">
        <v>30000</v>
      </c>
      <c r="J50" s="143">
        <f>Inventario[[#This Row],[PRECIO DE VENTA]]-Inventario[[#This Row],[COSTO UNITARIO MAYORISTA ]]</f>
        <v>13000</v>
      </c>
      <c r="K50" s="14">
        <f>Inventario[[#This Row],[PRECIO UTILIDAD]]/Inventario[[#This Row],[PRECIO DE VENTA]]</f>
        <v>0.43333333333333335</v>
      </c>
    </row>
    <row r="51" spans="1:11" ht="33" customHeight="1">
      <c r="A51" s="151" t="s">
        <v>132</v>
      </c>
      <c r="B51" s="142" t="s">
        <v>133</v>
      </c>
      <c r="C51" s="123" t="s">
        <v>16</v>
      </c>
      <c r="D51" s="142" t="s">
        <v>134</v>
      </c>
      <c r="E51" s="11">
        <v>9000</v>
      </c>
      <c r="F51" s="26">
        <v>2</v>
      </c>
      <c r="G51" s="11">
        <f>Inventario[[#This Row],[COSTO UNITARIO MAYORISTA ]]*Inventario[[#This Row],[CANTIDAD]]</f>
        <v>18000</v>
      </c>
      <c r="H51" s="12">
        <v>0.4</v>
      </c>
      <c r="I51" s="39">
        <f>Inventario[[#This Row],[COSTO UNITARIO MAYORISTA ]]/(1-Inventario[[#This Row],[MARGEN DE UTILIDAD]])</f>
        <v>15000</v>
      </c>
      <c r="J51" s="143">
        <f>Inventario[[#This Row],[PRECIO DE VENTA]]-Inventario[[#This Row],[COSTO UNITARIO MAYORISTA ]]</f>
        <v>6000</v>
      </c>
      <c r="K51" s="14">
        <f>Inventario[[#This Row],[PRECIO UTILIDAD]]/Inventario[[#This Row],[PRECIO DE VENTA]]</f>
        <v>0.4</v>
      </c>
    </row>
    <row r="52" spans="1:11" ht="33" customHeight="1">
      <c r="A52" s="77">
        <v>6947363105000</v>
      </c>
      <c r="B52" s="142" t="s">
        <v>135</v>
      </c>
      <c r="C52" s="123" t="s">
        <v>12</v>
      </c>
      <c r="D52" s="142" t="s">
        <v>136</v>
      </c>
      <c r="E52" s="48">
        <v>13000</v>
      </c>
      <c r="F52" s="26">
        <v>1</v>
      </c>
      <c r="G52" s="41">
        <f>Inventario[[#This Row],[COSTO UNITARIO MAYORISTA ]]*Inventario[[#This Row],[CANTIDAD]]</f>
        <v>13000</v>
      </c>
      <c r="H52" s="12">
        <v>0.4</v>
      </c>
      <c r="I52" s="39">
        <v>25000</v>
      </c>
      <c r="J52" s="143">
        <f>Inventario[[#This Row],[PRECIO DE VENTA]]-Inventario[[#This Row],[COSTO UNITARIO MAYORISTA ]]</f>
        <v>12000</v>
      </c>
      <c r="K52" s="14">
        <f>Inventario[[#This Row],[PRECIO UTILIDAD]]/Inventario[[#This Row],[PRECIO DE VENTA]]</f>
        <v>0.48</v>
      </c>
    </row>
    <row r="53" spans="1:11" ht="33" customHeight="1">
      <c r="A53" s="21">
        <v>6970675808048</v>
      </c>
      <c r="B53" s="142" t="s">
        <v>137</v>
      </c>
      <c r="C53" s="123" t="s">
        <v>12</v>
      </c>
      <c r="D53" s="142" t="s">
        <v>138</v>
      </c>
      <c r="E53" s="11">
        <v>900</v>
      </c>
      <c r="F53" s="26">
        <v>9</v>
      </c>
      <c r="G53" s="11">
        <f>Inventario[[#This Row],[COSTO UNITARIO MAYORISTA ]]*Inventario[[#This Row],[CANTIDAD]]</f>
        <v>8100</v>
      </c>
      <c r="H53" s="12">
        <v>0.4</v>
      </c>
      <c r="I53" s="39">
        <v>2000</v>
      </c>
      <c r="J53" s="143">
        <f>Inventario[[#This Row],[PRECIO DE VENTA]]-Inventario[[#This Row],[COSTO UNITARIO MAYORISTA ]]</f>
        <v>1100</v>
      </c>
      <c r="K53" s="14">
        <f>Inventario[[#This Row],[PRECIO UTILIDAD]]/Inventario[[#This Row],[PRECIO DE VENTA]]</f>
        <v>0.55000000000000004</v>
      </c>
    </row>
    <row r="54" spans="1:11" ht="33" customHeight="1">
      <c r="A54" s="35">
        <v>8325471369855</v>
      </c>
      <c r="B54" s="144" t="s">
        <v>139</v>
      </c>
      <c r="C54" s="123" t="s">
        <v>12</v>
      </c>
      <c r="D54" s="144" t="s">
        <v>140</v>
      </c>
      <c r="E54" s="36">
        <v>45000</v>
      </c>
      <c r="F54" s="37">
        <v>1</v>
      </c>
      <c r="G54" s="41">
        <f>Inventario[[#This Row],[COSTO UNITARIO MAYORISTA ]]*Inventario[[#This Row],[CANTIDAD]]</f>
        <v>45000</v>
      </c>
      <c r="H54" s="12">
        <v>0.4</v>
      </c>
      <c r="I54" s="39">
        <v>60000</v>
      </c>
      <c r="J54" s="143">
        <f>Inventario[[#This Row],[PRECIO DE VENTA]]-Inventario[[#This Row],[COSTO UNITARIO MAYORISTA ]]</f>
        <v>15000</v>
      </c>
      <c r="K54" s="14">
        <f>Inventario[[#This Row],[PRECIO UTILIDAD]]/Inventario[[#This Row],[PRECIO DE VENTA]]</f>
        <v>0.25</v>
      </c>
    </row>
    <row r="55" spans="1:11" ht="33" customHeight="1">
      <c r="A55" s="144" t="s">
        <v>141</v>
      </c>
      <c r="B55" s="144" t="s">
        <v>142</v>
      </c>
      <c r="C55" s="123" t="s">
        <v>67</v>
      </c>
      <c r="D55" s="144" t="s">
        <v>143</v>
      </c>
      <c r="E55" s="36">
        <v>36000</v>
      </c>
      <c r="F55" s="37">
        <v>1</v>
      </c>
      <c r="G55" s="11">
        <f>Inventario[[#This Row],[COSTO UNITARIO MAYORISTA ]]*Inventario[[#This Row],[CANTIDAD]]</f>
        <v>36000</v>
      </c>
      <c r="H55" s="12">
        <v>0.4</v>
      </c>
      <c r="I55" s="39">
        <f>Inventario[[#This Row],[COSTO UNITARIO MAYORISTA ]]/(1-Inventario[[#This Row],[MARGEN DE UTILIDAD]])</f>
        <v>60000</v>
      </c>
      <c r="J55" s="143">
        <f>Inventario[[#This Row],[PRECIO DE VENTA]]-Inventario[[#This Row],[COSTO UNITARIO MAYORISTA ]]</f>
        <v>24000</v>
      </c>
      <c r="K55" s="14">
        <f>Inventario[[#This Row],[PRECIO UTILIDAD]]/Inventario[[#This Row],[PRECIO DE VENTA]]</f>
        <v>0.4</v>
      </c>
    </row>
    <row r="56" spans="1:11" ht="33" customHeight="1">
      <c r="A56" s="144" t="s">
        <v>144</v>
      </c>
      <c r="B56" s="144" t="s">
        <v>145</v>
      </c>
      <c r="C56" s="123" t="s">
        <v>52</v>
      </c>
      <c r="D56" s="144" t="s">
        <v>146</v>
      </c>
      <c r="E56" s="36">
        <v>1333.3333</v>
      </c>
      <c r="F56" s="37">
        <v>12</v>
      </c>
      <c r="G56" s="11">
        <f>Inventario[[#This Row],[COSTO UNITARIO MAYORISTA ]]*Inventario[[#This Row],[CANTIDAD]]</f>
        <v>15999.999599999999</v>
      </c>
      <c r="H56" s="12">
        <v>0.4</v>
      </c>
      <c r="I56" s="39">
        <v>2000</v>
      </c>
      <c r="J56" s="143">
        <f>Inventario[[#This Row],[PRECIO DE VENTA]]-Inventario[[#This Row],[COSTO UNITARIO MAYORISTA ]]</f>
        <v>666.66669999999999</v>
      </c>
      <c r="K56" s="14">
        <f>Inventario[[#This Row],[PRECIO UTILIDAD]]/Inventario[[#This Row],[PRECIO DE VENTA]]</f>
        <v>0.33333334999999997</v>
      </c>
    </row>
    <row r="57" spans="1:11" ht="33" customHeight="1">
      <c r="A57" s="144" t="s">
        <v>147</v>
      </c>
      <c r="B57" s="144" t="s">
        <v>148</v>
      </c>
      <c r="C57" s="124" t="s">
        <v>52</v>
      </c>
      <c r="D57" s="144" t="s">
        <v>149</v>
      </c>
      <c r="E57" s="36">
        <v>1333.3333</v>
      </c>
      <c r="F57" s="37">
        <v>12</v>
      </c>
      <c r="G57" s="11">
        <f>Inventario[[#This Row],[COSTO UNITARIO MAYORISTA ]]*Inventario[[#This Row],[CANTIDAD]]</f>
        <v>15999.999599999999</v>
      </c>
      <c r="H57" s="12">
        <v>0.4</v>
      </c>
      <c r="I57" s="39">
        <v>5000</v>
      </c>
      <c r="J57" s="143">
        <f>Inventario[[#This Row],[PRECIO DE VENTA]]-Inventario[[#This Row],[COSTO UNITARIO MAYORISTA ]]</f>
        <v>3666.6666999999998</v>
      </c>
      <c r="K57" s="14">
        <f>Inventario[[#This Row],[PRECIO UTILIDAD]]/Inventario[[#This Row],[PRECIO DE VENTA]]</f>
        <v>0.73333333999999994</v>
      </c>
    </row>
    <row r="58" spans="1:11" ht="33" customHeight="1">
      <c r="A58" s="152" t="s">
        <v>150</v>
      </c>
      <c r="B58" s="144" t="s">
        <v>151</v>
      </c>
      <c r="C58" s="124" t="s">
        <v>16</v>
      </c>
      <c r="D58" s="144" t="s">
        <v>152</v>
      </c>
      <c r="E58" s="36">
        <v>3500</v>
      </c>
      <c r="F58" s="37">
        <v>2</v>
      </c>
      <c r="G58" s="11">
        <f>Inventario[[#This Row],[COSTO UNITARIO MAYORISTA ]]*Inventario[[#This Row],[CANTIDAD]]</f>
        <v>7000</v>
      </c>
      <c r="H58" s="12">
        <v>0.4</v>
      </c>
      <c r="I58" s="39">
        <v>8000</v>
      </c>
      <c r="J58" s="143">
        <f>Inventario[[#This Row],[PRECIO DE VENTA]]-Inventario[[#This Row],[COSTO UNITARIO MAYORISTA ]]</f>
        <v>4500</v>
      </c>
      <c r="K58" s="14">
        <f>Inventario[[#This Row],[PRECIO UTILIDAD]]/Inventario[[#This Row],[PRECIO DE VENTA]]</f>
        <v>0.5625</v>
      </c>
    </row>
    <row r="59" spans="1:11" ht="33" customHeight="1">
      <c r="A59" s="144" t="s">
        <v>153</v>
      </c>
      <c r="B59" s="144" t="s">
        <v>154</v>
      </c>
      <c r="C59" s="124" t="s">
        <v>37</v>
      </c>
      <c r="D59" s="144" t="s">
        <v>155</v>
      </c>
      <c r="E59" s="36">
        <v>16000</v>
      </c>
      <c r="F59" s="37">
        <v>1</v>
      </c>
      <c r="G59" s="11">
        <f>Inventario[[#This Row],[COSTO UNITARIO MAYORISTA ]]*Inventario[[#This Row],[CANTIDAD]]</f>
        <v>16000</v>
      </c>
      <c r="H59" s="12">
        <v>0.4</v>
      </c>
      <c r="I59" s="39">
        <v>40000</v>
      </c>
      <c r="J59" s="143">
        <f>Inventario[[#This Row],[PRECIO DE VENTA]]-Inventario[[#This Row],[COSTO UNITARIO MAYORISTA ]]</f>
        <v>24000</v>
      </c>
      <c r="K59" s="14">
        <f>Inventario[[#This Row],[PRECIO UTILIDAD]]/Inventario[[#This Row],[PRECIO DE VENTA]]</f>
        <v>0.6</v>
      </c>
    </row>
    <row r="60" spans="1:11" ht="33" customHeight="1">
      <c r="A60" s="144" t="s">
        <v>156</v>
      </c>
      <c r="B60" s="144" t="s">
        <v>154</v>
      </c>
      <c r="C60" s="124" t="s">
        <v>37</v>
      </c>
      <c r="D60" s="144" t="s">
        <v>157</v>
      </c>
      <c r="E60" s="36">
        <v>14500</v>
      </c>
      <c r="F60" s="37">
        <v>4</v>
      </c>
      <c r="G60" s="11">
        <f>Inventario[[#This Row],[COSTO UNITARIO MAYORISTA ]]*Inventario[[#This Row],[CANTIDAD]]</f>
        <v>58000</v>
      </c>
      <c r="H60" s="12">
        <v>0.4</v>
      </c>
      <c r="I60" s="39">
        <v>35000</v>
      </c>
      <c r="J60" s="143">
        <f>Inventario[[#This Row],[PRECIO DE VENTA]]-Inventario[[#This Row],[COSTO UNITARIO MAYORISTA ]]</f>
        <v>20500</v>
      </c>
      <c r="K60" s="14">
        <f>Inventario[[#This Row],[PRECIO UTILIDAD]]/Inventario[[#This Row],[PRECIO DE VENTA]]</f>
        <v>0.58571428571428574</v>
      </c>
    </row>
    <row r="61" spans="1:11" ht="33" customHeight="1">
      <c r="A61" s="35">
        <v>8802017201379</v>
      </c>
      <c r="B61" s="144" t="s">
        <v>158</v>
      </c>
      <c r="C61" s="124" t="s">
        <v>25</v>
      </c>
      <c r="D61" s="144" t="s">
        <v>159</v>
      </c>
      <c r="E61" s="42">
        <v>8500</v>
      </c>
      <c r="F61" s="37">
        <v>1</v>
      </c>
      <c r="G61" s="41">
        <f>Inventario[[#This Row],[COSTO UNITARIO MAYORISTA ]]*Inventario[[#This Row],[CANTIDAD]]</f>
        <v>8500</v>
      </c>
      <c r="H61" s="12">
        <v>0.4</v>
      </c>
      <c r="I61" s="39">
        <v>20000</v>
      </c>
      <c r="J61" s="143">
        <f>Inventario[[#This Row],[PRECIO DE VENTA]]-Inventario[[#This Row],[COSTO UNITARIO MAYORISTA ]]</f>
        <v>11500</v>
      </c>
      <c r="K61" s="14">
        <f>Inventario[[#This Row],[PRECIO UTILIDAD]]/Inventario[[#This Row],[PRECIO DE VENTA]]</f>
        <v>0.57499999999999996</v>
      </c>
    </row>
    <row r="62" spans="1:11" ht="33" customHeight="1">
      <c r="A62" s="144" t="s">
        <v>160</v>
      </c>
      <c r="B62" s="144" t="s">
        <v>161</v>
      </c>
      <c r="C62" s="124" t="s">
        <v>25</v>
      </c>
      <c r="D62" s="144" t="s">
        <v>162</v>
      </c>
      <c r="E62" s="36">
        <v>28000</v>
      </c>
      <c r="F62" s="37">
        <v>1</v>
      </c>
      <c r="G62" s="11">
        <f>Inventario[[#This Row],[COSTO UNITARIO MAYORISTA ]]*Inventario[[#This Row],[CANTIDAD]]</f>
        <v>28000</v>
      </c>
      <c r="H62" s="12">
        <v>0.4</v>
      </c>
      <c r="I62" s="39">
        <v>40000</v>
      </c>
      <c r="J62" s="143">
        <f>Inventario[[#This Row],[PRECIO DE VENTA]]-Inventario[[#This Row],[COSTO UNITARIO MAYORISTA ]]</f>
        <v>12000</v>
      </c>
      <c r="K62" s="14">
        <f>Inventario[[#This Row],[PRECIO UTILIDAD]]/Inventario[[#This Row],[PRECIO DE VENTA]]</f>
        <v>0.3</v>
      </c>
    </row>
    <row r="63" spans="1:11" ht="33" customHeight="1">
      <c r="A63" s="35">
        <v>3908541</v>
      </c>
      <c r="B63" s="144" t="s">
        <v>163</v>
      </c>
      <c r="C63" s="124" t="s">
        <v>12</v>
      </c>
      <c r="D63" s="144" t="s">
        <v>163</v>
      </c>
      <c r="E63" s="36">
        <v>26000</v>
      </c>
      <c r="F63" s="37">
        <v>1</v>
      </c>
      <c r="G63" s="41">
        <f>Inventario[[#This Row],[COSTO UNITARIO MAYORISTA ]]*Inventario[[#This Row],[CANTIDAD]]</f>
        <v>26000</v>
      </c>
      <c r="H63" s="12">
        <v>0.4</v>
      </c>
      <c r="I63" s="39">
        <v>37000</v>
      </c>
      <c r="J63" s="143">
        <f>Inventario[[#This Row],[PRECIO DE VENTA]]-Inventario[[#This Row],[COSTO UNITARIO MAYORISTA ]]</f>
        <v>11000</v>
      </c>
      <c r="K63" s="14">
        <f>Inventario[[#This Row],[PRECIO UTILIDAD]]/Inventario[[#This Row],[PRECIO DE VENTA]]</f>
        <v>0.29729729729729731</v>
      </c>
    </row>
    <row r="64" spans="1:11" ht="33" customHeight="1">
      <c r="A64" s="35">
        <v>4931102457019</v>
      </c>
      <c r="B64" s="144" t="s">
        <v>164</v>
      </c>
      <c r="C64" s="124" t="s">
        <v>12</v>
      </c>
      <c r="D64" s="144" t="s">
        <v>164</v>
      </c>
      <c r="E64" s="36">
        <v>26000</v>
      </c>
      <c r="F64" s="37">
        <v>1</v>
      </c>
      <c r="G64" s="41">
        <f>Inventario[[#This Row],[COSTO UNITARIO MAYORISTA ]]*Inventario[[#This Row],[CANTIDAD]]</f>
        <v>26000</v>
      </c>
      <c r="H64" s="12">
        <v>0.4</v>
      </c>
      <c r="I64" s="39">
        <v>37000</v>
      </c>
      <c r="J64" s="143">
        <f>Inventario[[#This Row],[PRECIO DE VENTA]]-Inventario[[#This Row],[COSTO UNITARIO MAYORISTA ]]</f>
        <v>11000</v>
      </c>
      <c r="K64" s="14">
        <f>Inventario[[#This Row],[PRECIO UTILIDAD]]/Inventario[[#This Row],[PRECIO DE VENTA]]</f>
        <v>0.29729729729729731</v>
      </c>
    </row>
    <row r="65" spans="1:11" ht="33" customHeight="1">
      <c r="A65" s="35">
        <v>6970570812492</v>
      </c>
      <c r="B65" s="144" t="s">
        <v>165</v>
      </c>
      <c r="C65" s="124" t="s">
        <v>12</v>
      </c>
      <c r="D65" s="144" t="s">
        <v>166</v>
      </c>
      <c r="E65" s="36">
        <v>16000</v>
      </c>
      <c r="F65" s="37">
        <v>1</v>
      </c>
      <c r="G65" s="41">
        <f>Inventario[[#This Row],[COSTO UNITARIO MAYORISTA ]]*Inventario[[#This Row],[CANTIDAD]]</f>
        <v>16000</v>
      </c>
      <c r="H65" s="12">
        <v>0.4</v>
      </c>
      <c r="I65" s="39">
        <v>28000</v>
      </c>
      <c r="J65" s="143">
        <f>Inventario[[#This Row],[PRECIO DE VENTA]]-Inventario[[#This Row],[COSTO UNITARIO MAYORISTA ]]</f>
        <v>12000</v>
      </c>
      <c r="K65" s="14">
        <f>Inventario[[#This Row],[PRECIO UTILIDAD]]/Inventario[[#This Row],[PRECIO DE VENTA]]</f>
        <v>0.42857142857142855</v>
      </c>
    </row>
    <row r="66" spans="1:11" ht="33" customHeight="1">
      <c r="A66" s="76">
        <v>6354616561993</v>
      </c>
      <c r="B66" s="144" t="s">
        <v>167</v>
      </c>
      <c r="C66" s="124" t="s">
        <v>12</v>
      </c>
      <c r="D66" s="144" t="s">
        <v>167</v>
      </c>
      <c r="E66" s="36">
        <v>1600</v>
      </c>
      <c r="F66" s="37">
        <v>4</v>
      </c>
      <c r="G66" s="41">
        <f>Inventario[[#This Row],[COSTO UNITARIO MAYORISTA ]]*Inventario[[#This Row],[CANTIDAD]]</f>
        <v>6400</v>
      </c>
      <c r="H66" s="12">
        <v>0.4</v>
      </c>
      <c r="I66" s="39">
        <v>5000</v>
      </c>
      <c r="J66" s="143">
        <f>Inventario[[#This Row],[PRECIO DE VENTA]]-Inventario[[#This Row],[COSTO UNITARIO MAYORISTA ]]</f>
        <v>3400</v>
      </c>
      <c r="K66" s="14">
        <f>Inventario[[#This Row],[PRECIO UTILIDAD]]/Inventario[[#This Row],[PRECIO DE VENTA]]</f>
        <v>0.68</v>
      </c>
    </row>
    <row r="67" spans="1:11" ht="33" customHeight="1">
      <c r="A67" s="35">
        <v>6922008958111</v>
      </c>
      <c r="B67" s="144" t="s">
        <v>168</v>
      </c>
      <c r="C67" s="124" t="s">
        <v>25</v>
      </c>
      <c r="D67" s="144" t="s">
        <v>169</v>
      </c>
      <c r="E67" s="36">
        <v>13000</v>
      </c>
      <c r="F67" s="37">
        <v>1</v>
      </c>
      <c r="G67" s="41">
        <f>Inventario[[#This Row],[COSTO UNITARIO MAYORISTA ]]*Inventario[[#This Row],[CANTIDAD]]</f>
        <v>13000</v>
      </c>
      <c r="H67" s="12">
        <v>0.4</v>
      </c>
      <c r="I67" s="39">
        <v>25000</v>
      </c>
      <c r="J67" s="143">
        <f>Inventario[[#This Row],[PRECIO DE VENTA]]-Inventario[[#This Row],[COSTO UNITARIO MAYORISTA ]]</f>
        <v>12000</v>
      </c>
      <c r="K67" s="14">
        <f>Inventario[[#This Row],[PRECIO UTILIDAD]]/Inventario[[#This Row],[PRECIO DE VENTA]]</f>
        <v>0.48</v>
      </c>
    </row>
    <row r="68" spans="1:11" ht="33" customHeight="1">
      <c r="A68" s="35">
        <v>6354616561993</v>
      </c>
      <c r="B68" s="144" t="s">
        <v>170</v>
      </c>
      <c r="C68" s="124" t="s">
        <v>12</v>
      </c>
      <c r="D68" s="144" t="s">
        <v>171</v>
      </c>
      <c r="E68" s="36">
        <v>1600</v>
      </c>
      <c r="F68" s="37">
        <v>8</v>
      </c>
      <c r="G68" s="41">
        <f>Inventario[[#This Row],[COSTO UNITARIO MAYORISTA ]]*Inventario[[#This Row],[CANTIDAD]]</f>
        <v>12800</v>
      </c>
      <c r="H68" s="12">
        <v>0.4</v>
      </c>
      <c r="I68" s="39">
        <v>5000</v>
      </c>
      <c r="J68" s="143">
        <f>Inventario[[#This Row],[PRECIO DE VENTA]]-Inventario[[#This Row],[COSTO UNITARIO MAYORISTA ]]</f>
        <v>3400</v>
      </c>
      <c r="K68" s="14">
        <f>Inventario[[#This Row],[PRECIO UTILIDAD]]/Inventario[[#This Row],[PRECIO DE VENTA]]</f>
        <v>0.68</v>
      </c>
    </row>
    <row r="69" spans="1:11" ht="33" customHeight="1">
      <c r="A69" s="153" t="s">
        <v>172</v>
      </c>
      <c r="B69" s="144" t="s">
        <v>173</v>
      </c>
      <c r="C69" s="124" t="s">
        <v>12</v>
      </c>
      <c r="D69" s="144" t="s">
        <v>174</v>
      </c>
      <c r="E69" s="36">
        <v>3500</v>
      </c>
      <c r="F69" s="37">
        <v>4</v>
      </c>
      <c r="G69" s="11">
        <f>Inventario[[#This Row],[COSTO UNITARIO MAYORISTA ]]*Inventario[[#This Row],[CANTIDAD]]</f>
        <v>14000</v>
      </c>
      <c r="H69" s="12">
        <v>0.4</v>
      </c>
      <c r="I69" s="39">
        <v>7000</v>
      </c>
      <c r="J69" s="143">
        <f>Inventario[[#This Row],[PRECIO DE VENTA]]-Inventario[[#This Row],[COSTO UNITARIO MAYORISTA ]]</f>
        <v>3500</v>
      </c>
      <c r="K69" s="14">
        <f>Inventario[[#This Row],[PRECIO UTILIDAD]]/Inventario[[#This Row],[PRECIO DE VENTA]]</f>
        <v>0.5</v>
      </c>
    </row>
    <row r="70" spans="1:11" ht="33" customHeight="1">
      <c r="A70" s="35">
        <v>6973181148196</v>
      </c>
      <c r="B70" s="144" t="s">
        <v>175</v>
      </c>
      <c r="C70" s="124" t="s">
        <v>25</v>
      </c>
      <c r="D70" s="144" t="s">
        <v>176</v>
      </c>
      <c r="E70" s="36">
        <v>25000</v>
      </c>
      <c r="F70" s="37">
        <v>1</v>
      </c>
      <c r="G70" s="11">
        <f>Inventario[[#This Row],[COSTO UNITARIO MAYORISTA ]]*Inventario[[#This Row],[CANTIDAD]]</f>
        <v>25000</v>
      </c>
      <c r="H70" s="12">
        <v>0.4</v>
      </c>
      <c r="I70" s="39">
        <v>40000</v>
      </c>
      <c r="J70" s="143">
        <f>Inventario[[#This Row],[PRECIO DE VENTA]]-Inventario[[#This Row],[COSTO UNITARIO MAYORISTA ]]</f>
        <v>15000</v>
      </c>
      <c r="K70" s="14">
        <f>Inventario[[#This Row],[PRECIO UTILIDAD]]/Inventario[[#This Row],[PRECIO DE VENTA]]</f>
        <v>0.375</v>
      </c>
    </row>
    <row r="71" spans="1:11" ht="33" customHeight="1">
      <c r="A71" s="154" t="s">
        <v>177</v>
      </c>
      <c r="B71" s="16" t="s">
        <v>178</v>
      </c>
      <c r="C71" s="17" t="s">
        <v>44</v>
      </c>
      <c r="D71" s="144" t="s">
        <v>179</v>
      </c>
      <c r="E71" s="36">
        <v>5000</v>
      </c>
      <c r="F71" s="37">
        <v>1</v>
      </c>
      <c r="G71" s="41">
        <f>Inventario[[#This Row],[COSTO UNITARIO MAYORISTA ]]*Inventario[[#This Row],[CANTIDAD]]</f>
        <v>5000</v>
      </c>
      <c r="H71" s="12">
        <v>0.4</v>
      </c>
      <c r="I71" s="39">
        <v>10000</v>
      </c>
      <c r="J71" s="143">
        <f>Inventario[[#This Row],[PRECIO DE VENTA]]-Inventario[[#This Row],[COSTO UNITARIO MAYORISTA ]]</f>
        <v>5000</v>
      </c>
      <c r="K71" s="14">
        <f>Inventario[[#This Row],[PRECIO UTILIDAD]]/Inventario[[#This Row],[PRECIO DE VENTA]]</f>
        <v>0.5</v>
      </c>
    </row>
    <row r="72" spans="1:11" ht="33" customHeight="1">
      <c r="A72" s="35">
        <v>6936380625806</v>
      </c>
      <c r="B72" s="144" t="s">
        <v>180</v>
      </c>
      <c r="C72" s="124" t="s">
        <v>181</v>
      </c>
      <c r="D72" s="144" t="s">
        <v>182</v>
      </c>
      <c r="E72" s="36">
        <v>18000</v>
      </c>
      <c r="F72" s="37">
        <v>3</v>
      </c>
      <c r="G72" s="41">
        <f>Inventario[[#This Row],[COSTO UNITARIO MAYORISTA ]]*Inventario[[#This Row],[CANTIDAD]]</f>
        <v>54000</v>
      </c>
      <c r="H72" s="12">
        <v>0.4</v>
      </c>
      <c r="I72" s="39">
        <f>Inventario[[#This Row],[COSTO UNITARIO MAYORISTA ]]/(1-Inventario[[#This Row],[MARGEN DE UTILIDAD]])</f>
        <v>30000</v>
      </c>
      <c r="J72" s="143">
        <f>Inventario[[#This Row],[PRECIO DE VENTA]]-Inventario[[#This Row],[COSTO UNITARIO MAYORISTA ]]</f>
        <v>12000</v>
      </c>
      <c r="K72" s="14">
        <f>Inventario[[#This Row],[PRECIO UTILIDAD]]/Inventario[[#This Row],[PRECIO DE VENTA]]</f>
        <v>0.4</v>
      </c>
    </row>
    <row r="73" spans="1:11" ht="33" customHeight="1">
      <c r="A73" s="144" t="s">
        <v>183</v>
      </c>
      <c r="B73" s="144" t="s">
        <v>184</v>
      </c>
      <c r="C73" s="124" t="s">
        <v>185</v>
      </c>
      <c r="D73" s="144" t="s">
        <v>186</v>
      </c>
      <c r="E73" s="36">
        <v>6000</v>
      </c>
      <c r="F73" s="37">
        <v>1</v>
      </c>
      <c r="G73" s="11">
        <f>Inventario[[#This Row],[COSTO UNITARIO MAYORISTA ]]*Inventario[[#This Row],[CANTIDAD]]</f>
        <v>6000</v>
      </c>
      <c r="H73" s="12">
        <v>0.4</v>
      </c>
      <c r="I73" s="39">
        <v>15000</v>
      </c>
      <c r="J73" s="143">
        <f>Inventario[[#This Row],[PRECIO DE VENTA]]-Inventario[[#This Row],[COSTO UNITARIO MAYORISTA ]]</f>
        <v>9000</v>
      </c>
      <c r="K73" s="14">
        <f>Inventario[[#This Row],[PRECIO UTILIDAD]]/Inventario[[#This Row],[PRECIO DE VENTA]]</f>
        <v>0.6</v>
      </c>
    </row>
    <row r="74" spans="1:11" ht="33" customHeight="1">
      <c r="A74" s="35">
        <v>6973003925233</v>
      </c>
      <c r="B74" s="144" t="s">
        <v>187</v>
      </c>
      <c r="C74" s="124" t="s">
        <v>12</v>
      </c>
      <c r="D74" s="144" t="s">
        <v>188</v>
      </c>
      <c r="E74" s="36">
        <v>8000</v>
      </c>
      <c r="F74" s="37">
        <v>1</v>
      </c>
      <c r="G74" s="11">
        <f>Inventario[[#This Row],[COSTO UNITARIO MAYORISTA ]]*Inventario[[#This Row],[CANTIDAD]]</f>
        <v>8000</v>
      </c>
      <c r="H74" s="12">
        <v>0.4</v>
      </c>
      <c r="I74" s="39">
        <v>15000</v>
      </c>
      <c r="J74" s="143">
        <f>Inventario[[#This Row],[PRECIO DE VENTA]]-Inventario[[#This Row],[COSTO UNITARIO MAYORISTA ]]</f>
        <v>7000</v>
      </c>
      <c r="K74" s="14">
        <f>Inventario[[#This Row],[PRECIO UTILIDAD]]/Inventario[[#This Row],[PRECIO DE VENTA]]</f>
        <v>0.46666666666666667</v>
      </c>
    </row>
    <row r="75" spans="1:11" ht="33" customHeight="1">
      <c r="A75" s="153">
        <v>6920221024170</v>
      </c>
      <c r="B75" s="144" t="s">
        <v>189</v>
      </c>
      <c r="C75" s="124" t="s">
        <v>12</v>
      </c>
      <c r="D75" s="144" t="s">
        <v>190</v>
      </c>
      <c r="E75" s="36">
        <v>2300</v>
      </c>
      <c r="F75" s="37">
        <v>1</v>
      </c>
      <c r="G75" s="11">
        <f>Inventario[[#This Row],[COSTO UNITARIO MAYORISTA ]]*Inventario[[#This Row],[CANTIDAD]]</f>
        <v>2300</v>
      </c>
      <c r="H75" s="12">
        <v>0.4</v>
      </c>
      <c r="I75" s="39">
        <v>6000</v>
      </c>
      <c r="J75" s="143">
        <f>Inventario[[#This Row],[PRECIO DE VENTA]]-Inventario[[#This Row],[COSTO UNITARIO MAYORISTA ]]</f>
        <v>3700</v>
      </c>
      <c r="K75" s="14">
        <f>Inventario[[#This Row],[PRECIO UTILIDAD]]/Inventario[[#This Row],[PRECIO DE VENTA]]</f>
        <v>0.6166666666666667</v>
      </c>
    </row>
    <row r="76" spans="1:11" ht="33" customHeight="1">
      <c r="A76" s="155" t="s">
        <v>191</v>
      </c>
      <c r="B76" s="16" t="s">
        <v>192</v>
      </c>
      <c r="C76" s="17" t="s">
        <v>185</v>
      </c>
      <c r="D76" s="144" t="s">
        <v>193</v>
      </c>
      <c r="E76" s="36">
        <v>14000</v>
      </c>
      <c r="F76" s="37">
        <v>1</v>
      </c>
      <c r="G76" s="41">
        <f>Inventario[[#This Row],[COSTO UNITARIO MAYORISTA ]]*Inventario[[#This Row],[CANTIDAD]]</f>
        <v>14000</v>
      </c>
      <c r="H76" s="12">
        <v>0.4</v>
      </c>
      <c r="I76" s="39">
        <v>20000</v>
      </c>
      <c r="J76" s="143">
        <f>Inventario[[#This Row],[PRECIO DE VENTA]]-Inventario[[#This Row],[COSTO UNITARIO MAYORISTA ]]</f>
        <v>6000</v>
      </c>
      <c r="K76" s="14">
        <f>Inventario[[#This Row],[PRECIO UTILIDAD]]/Inventario[[#This Row],[PRECIO DE VENTA]]</f>
        <v>0.3</v>
      </c>
    </row>
    <row r="77" spans="1:11" ht="33" customHeight="1">
      <c r="A77" s="35">
        <v>6800220022011</v>
      </c>
      <c r="B77" s="144" t="s">
        <v>194</v>
      </c>
      <c r="C77" s="124" t="s">
        <v>16</v>
      </c>
      <c r="D77" s="144" t="s">
        <v>195</v>
      </c>
      <c r="E77" s="36">
        <v>28000</v>
      </c>
      <c r="F77" s="37">
        <v>1</v>
      </c>
      <c r="G77" s="11">
        <f>Inventario[[#This Row],[COSTO UNITARIO MAYORISTA ]]*Inventario[[#This Row],[CANTIDAD]]</f>
        <v>28000</v>
      </c>
      <c r="H77" s="12">
        <v>0.4</v>
      </c>
      <c r="I77" s="39">
        <v>70000</v>
      </c>
      <c r="J77" s="143">
        <f>Inventario[[#This Row],[PRECIO DE VENTA]]-Inventario[[#This Row],[COSTO UNITARIO MAYORISTA ]]</f>
        <v>42000</v>
      </c>
      <c r="K77" s="14">
        <f>Inventario[[#This Row],[PRECIO UTILIDAD]]/Inventario[[#This Row],[PRECIO DE VENTA]]</f>
        <v>0.6</v>
      </c>
    </row>
    <row r="78" spans="1:11" ht="33" customHeight="1">
      <c r="A78" s="210" t="s">
        <v>196</v>
      </c>
      <c r="B78" s="144" t="s">
        <v>197</v>
      </c>
      <c r="C78" s="124" t="s">
        <v>37</v>
      </c>
      <c r="D78" s="144" t="s">
        <v>198</v>
      </c>
      <c r="E78" s="36">
        <v>3000</v>
      </c>
      <c r="F78" s="37">
        <v>15</v>
      </c>
      <c r="G78" s="41">
        <f>Inventario[[#This Row],[COSTO UNITARIO MAYORISTA ]]*Inventario[[#This Row],[CANTIDAD]]</f>
        <v>45000</v>
      </c>
      <c r="H78" s="12">
        <v>0.4</v>
      </c>
      <c r="I78" s="39">
        <v>7000</v>
      </c>
      <c r="J78" s="143">
        <f>Inventario[[#This Row],[PRECIO DE VENTA]]-Inventario[[#This Row],[COSTO UNITARIO MAYORISTA ]]</f>
        <v>4000</v>
      </c>
      <c r="K78" s="14">
        <f>Inventario[[#This Row],[PRECIO UTILIDAD]]/Inventario[[#This Row],[PRECIO DE VENTA]]</f>
        <v>0.5714285714285714</v>
      </c>
    </row>
    <row r="79" spans="1:11" ht="33" customHeight="1">
      <c r="A79" s="35">
        <v>6959920208012</v>
      </c>
      <c r="B79" s="144" t="s">
        <v>199</v>
      </c>
      <c r="C79" s="124" t="s">
        <v>25</v>
      </c>
      <c r="D79" s="144" t="s">
        <v>200</v>
      </c>
      <c r="E79" s="36">
        <v>6000</v>
      </c>
      <c r="F79" s="37">
        <v>1</v>
      </c>
      <c r="G79" s="41">
        <f>Inventario[[#This Row],[COSTO UNITARIO MAYORISTA ]]*Inventario[[#This Row],[CANTIDAD]]</f>
        <v>6000</v>
      </c>
      <c r="H79" s="12">
        <v>0.4</v>
      </c>
      <c r="I79" s="39">
        <f>Inventario[[#This Row],[COSTO UNITARIO MAYORISTA ]]/(1-Inventario[[#This Row],[MARGEN DE UTILIDAD]])</f>
        <v>10000</v>
      </c>
      <c r="J79" s="143">
        <f>Inventario[[#This Row],[PRECIO DE VENTA]]-Inventario[[#This Row],[COSTO UNITARIO MAYORISTA ]]</f>
        <v>4000</v>
      </c>
      <c r="K79" s="14">
        <f>Inventario[[#This Row],[PRECIO UTILIDAD]]/Inventario[[#This Row],[PRECIO DE VENTA]]</f>
        <v>0.4</v>
      </c>
    </row>
    <row r="80" spans="1:11" ht="33" customHeight="1">
      <c r="A80" s="35">
        <v>6938625876912</v>
      </c>
      <c r="B80" s="144" t="s">
        <v>201</v>
      </c>
      <c r="C80" s="124" t="s">
        <v>202</v>
      </c>
      <c r="D80" s="144" t="s">
        <v>203</v>
      </c>
      <c r="E80" s="36">
        <v>60000</v>
      </c>
      <c r="F80" s="37">
        <v>1</v>
      </c>
      <c r="G80" s="41">
        <f>Inventario[[#This Row],[COSTO UNITARIO MAYORISTA ]]*Inventario[[#This Row],[CANTIDAD]]</f>
        <v>60000</v>
      </c>
      <c r="H80" s="12">
        <v>0.4</v>
      </c>
      <c r="I80" s="39">
        <v>90000</v>
      </c>
      <c r="J80" s="143">
        <f>Inventario[[#This Row],[PRECIO DE VENTA]]-Inventario[[#This Row],[COSTO UNITARIO MAYORISTA ]]</f>
        <v>30000</v>
      </c>
      <c r="K80" s="14">
        <f>Inventario[[#This Row],[PRECIO UTILIDAD]]/Inventario[[#This Row],[PRECIO DE VENTA]]</f>
        <v>0.33333333333333331</v>
      </c>
    </row>
    <row r="81" spans="1:11" ht="33" customHeight="1">
      <c r="A81" s="35">
        <v>6922931393621</v>
      </c>
      <c r="B81" s="144" t="s">
        <v>204</v>
      </c>
      <c r="C81" s="124" t="s">
        <v>12</v>
      </c>
      <c r="D81" s="144" t="s">
        <v>205</v>
      </c>
      <c r="E81" s="36">
        <v>1500</v>
      </c>
      <c r="F81" s="37">
        <v>2</v>
      </c>
      <c r="G81" s="11">
        <f>Inventario[[#This Row],[COSTO UNITARIO MAYORISTA ]]*Inventario[[#This Row],[CANTIDAD]]</f>
        <v>3000</v>
      </c>
      <c r="H81" s="12">
        <v>0.4</v>
      </c>
      <c r="I81" s="39">
        <v>3000</v>
      </c>
      <c r="J81" s="143">
        <f>Inventario[[#This Row],[PRECIO DE VENTA]]-Inventario[[#This Row],[COSTO UNITARIO MAYORISTA ]]</f>
        <v>1500</v>
      </c>
      <c r="K81" s="14">
        <f>Inventario[[#This Row],[PRECIO UTILIDAD]]/Inventario[[#This Row],[PRECIO DE VENTA]]</f>
        <v>0.5</v>
      </c>
    </row>
    <row r="82" spans="1:11" ht="33" customHeight="1">
      <c r="A82" s="35">
        <v>6941683602010</v>
      </c>
      <c r="B82" s="144" t="s">
        <v>206</v>
      </c>
      <c r="C82" s="124" t="s">
        <v>12</v>
      </c>
      <c r="D82" s="144" t="s">
        <v>207</v>
      </c>
      <c r="E82" s="36">
        <v>1500</v>
      </c>
      <c r="F82" s="37">
        <v>3</v>
      </c>
      <c r="G82" s="41">
        <f>Inventario[[#This Row],[COSTO UNITARIO MAYORISTA ]]*Inventario[[#This Row],[CANTIDAD]]</f>
        <v>4500</v>
      </c>
      <c r="H82" s="12">
        <v>0.4</v>
      </c>
      <c r="I82" s="39">
        <v>5000</v>
      </c>
      <c r="J82" s="143">
        <f>Inventario[[#This Row],[PRECIO DE VENTA]]-Inventario[[#This Row],[COSTO UNITARIO MAYORISTA ]]</f>
        <v>3500</v>
      </c>
      <c r="K82" s="14">
        <f>Inventario[[#This Row],[PRECIO UTILIDAD]]/Inventario[[#This Row],[PRECIO DE VENTA]]</f>
        <v>0.7</v>
      </c>
    </row>
    <row r="83" spans="1:11" ht="33" customHeight="1">
      <c r="A83" s="35">
        <v>6935840929348</v>
      </c>
      <c r="B83" s="144" t="s">
        <v>208</v>
      </c>
      <c r="C83" s="124" t="s">
        <v>12</v>
      </c>
      <c r="D83" s="144" t="s">
        <v>209</v>
      </c>
      <c r="E83" s="49">
        <v>6500</v>
      </c>
      <c r="F83" s="37">
        <v>1</v>
      </c>
      <c r="G83" s="41">
        <f>Inventario[[#This Row],[COSTO UNITARIO MAYORISTA ]]*Inventario[[#This Row],[CANTIDAD]]</f>
        <v>6500</v>
      </c>
      <c r="H83" s="12">
        <v>0.4</v>
      </c>
      <c r="I83" s="39">
        <v>13000</v>
      </c>
      <c r="J83" s="143">
        <f>Inventario[[#This Row],[PRECIO DE VENTA]]-Inventario[[#This Row],[COSTO UNITARIO MAYORISTA ]]</f>
        <v>6500</v>
      </c>
      <c r="K83" s="14">
        <f>Inventario[[#This Row],[PRECIO UTILIDAD]]/Inventario[[#This Row],[PRECIO DE VENTA]]</f>
        <v>0.5</v>
      </c>
    </row>
    <row r="84" spans="1:11" ht="33" customHeight="1">
      <c r="A84" s="76">
        <v>6935769134571</v>
      </c>
      <c r="B84" s="144" t="s">
        <v>210</v>
      </c>
      <c r="C84" s="124" t="s">
        <v>12</v>
      </c>
      <c r="D84" s="144" t="s">
        <v>210</v>
      </c>
      <c r="E84" s="36">
        <v>13000</v>
      </c>
      <c r="F84" s="37">
        <v>2</v>
      </c>
      <c r="G84" s="41">
        <f>Inventario[[#This Row],[COSTO UNITARIO MAYORISTA ]]*Inventario[[#This Row],[CANTIDAD]]</f>
        <v>26000</v>
      </c>
      <c r="H84" s="12">
        <v>0.4</v>
      </c>
      <c r="I84" s="39">
        <v>20000</v>
      </c>
      <c r="J84" s="143">
        <f>Inventario[[#This Row],[PRECIO DE VENTA]]-Inventario[[#This Row],[COSTO UNITARIO MAYORISTA ]]</f>
        <v>7000</v>
      </c>
      <c r="K84" s="14">
        <f>Inventario[[#This Row],[PRECIO UTILIDAD]]/Inventario[[#This Row],[PRECIO DE VENTA]]</f>
        <v>0.35</v>
      </c>
    </row>
    <row r="85" spans="1:11" ht="33" customHeight="1">
      <c r="A85" s="35">
        <v>6940575010315</v>
      </c>
      <c r="B85" s="144" t="s">
        <v>211</v>
      </c>
      <c r="C85" s="124" t="s">
        <v>12</v>
      </c>
      <c r="D85" s="144" t="s">
        <v>212</v>
      </c>
      <c r="E85" s="36">
        <v>1500</v>
      </c>
      <c r="F85" s="37">
        <v>1</v>
      </c>
      <c r="G85" s="41">
        <f>Inventario[[#This Row],[COSTO UNITARIO MAYORISTA ]]*Inventario[[#This Row],[CANTIDAD]]</f>
        <v>1500</v>
      </c>
      <c r="H85" s="12">
        <v>0.4</v>
      </c>
      <c r="I85" s="39">
        <f>Inventario[[#This Row],[COSTO UNITARIO MAYORISTA ]]/(1-Inventario[[#This Row],[MARGEN DE UTILIDAD]])</f>
        <v>2500</v>
      </c>
      <c r="J85" s="143">
        <f>Inventario[[#This Row],[PRECIO DE VENTA]]-Inventario[[#This Row],[COSTO UNITARIO MAYORISTA ]]</f>
        <v>1000</v>
      </c>
      <c r="K85" s="14">
        <f>Inventario[[#This Row],[PRECIO UTILIDAD]]/Inventario[[#This Row],[PRECIO DE VENTA]]</f>
        <v>0.4</v>
      </c>
    </row>
    <row r="86" spans="1:11" ht="33" customHeight="1">
      <c r="A86" s="144" t="s">
        <v>213</v>
      </c>
      <c r="B86" s="144" t="s">
        <v>214</v>
      </c>
      <c r="C86" s="124" t="s">
        <v>52</v>
      </c>
      <c r="D86" s="144" t="s">
        <v>214</v>
      </c>
      <c r="E86" s="36">
        <v>8000</v>
      </c>
      <c r="F86" s="37">
        <v>1</v>
      </c>
      <c r="G86" s="11">
        <f>Inventario[[#This Row],[COSTO UNITARIO MAYORISTA ]]*Inventario[[#This Row],[CANTIDAD]]</f>
        <v>8000</v>
      </c>
      <c r="H86" s="12">
        <v>0.4</v>
      </c>
      <c r="I86" s="39">
        <v>30000</v>
      </c>
      <c r="J86" s="143">
        <f>Inventario[[#This Row],[PRECIO DE VENTA]]-Inventario[[#This Row],[COSTO UNITARIO MAYORISTA ]]</f>
        <v>22000</v>
      </c>
      <c r="K86" s="14">
        <f>Inventario[[#This Row],[PRECIO UTILIDAD]]/Inventario[[#This Row],[PRECIO DE VENTA]]</f>
        <v>0.73333333333333328</v>
      </c>
    </row>
    <row r="87" spans="1:11" ht="33" customHeight="1">
      <c r="A87" s="76">
        <v>6974687550155</v>
      </c>
      <c r="B87" s="144" t="s">
        <v>215</v>
      </c>
      <c r="C87" s="124" t="s">
        <v>12</v>
      </c>
      <c r="D87" s="144" t="s">
        <v>216</v>
      </c>
      <c r="E87" s="36">
        <v>3000</v>
      </c>
      <c r="F87" s="37">
        <v>1</v>
      </c>
      <c r="G87" s="41">
        <f>Inventario[[#This Row],[COSTO UNITARIO MAYORISTA ]]*Inventario[[#This Row],[CANTIDAD]]</f>
        <v>3000</v>
      </c>
      <c r="H87" s="12">
        <v>0.4</v>
      </c>
      <c r="I87" s="39">
        <v>6000</v>
      </c>
      <c r="J87" s="143">
        <f>Inventario[[#This Row],[PRECIO DE VENTA]]-Inventario[[#This Row],[COSTO UNITARIO MAYORISTA ]]</f>
        <v>3000</v>
      </c>
      <c r="K87" s="14">
        <f>Inventario[[#This Row],[PRECIO UTILIDAD]]/Inventario[[#This Row],[PRECIO DE VENTA]]</f>
        <v>0.5</v>
      </c>
    </row>
    <row r="88" spans="1:11" ht="33" customHeight="1">
      <c r="A88" s="227" t="s">
        <v>902</v>
      </c>
      <c r="B88" s="144" t="s">
        <v>217</v>
      </c>
      <c r="C88" s="124" t="s">
        <v>12</v>
      </c>
      <c r="D88" s="144" t="s">
        <v>218</v>
      </c>
      <c r="E88" s="36">
        <v>15000</v>
      </c>
      <c r="F88" s="37">
        <v>2</v>
      </c>
      <c r="G88" s="11">
        <f>Inventario[[#This Row],[COSTO UNITARIO MAYORISTA ]]*Inventario[[#This Row],[CANTIDAD]]</f>
        <v>30000</v>
      </c>
      <c r="H88" s="12">
        <v>0.4</v>
      </c>
      <c r="I88" s="39">
        <v>30000</v>
      </c>
      <c r="J88" s="143">
        <f>Inventario[[#This Row],[PRECIO DE VENTA]]-Inventario[[#This Row],[COSTO UNITARIO MAYORISTA ]]</f>
        <v>15000</v>
      </c>
      <c r="K88" s="14">
        <f>Inventario[[#This Row],[PRECIO UTILIDAD]]/Inventario[[#This Row],[PRECIO DE VENTA]]</f>
        <v>0.5</v>
      </c>
    </row>
    <row r="89" spans="1:11" ht="33" customHeight="1">
      <c r="A89" s="153" t="s">
        <v>219</v>
      </c>
      <c r="B89" s="144" t="s">
        <v>220</v>
      </c>
      <c r="C89" s="124" t="s">
        <v>25</v>
      </c>
      <c r="D89" s="144" t="s">
        <v>221</v>
      </c>
      <c r="E89" s="36">
        <v>7500</v>
      </c>
      <c r="F89" s="37">
        <v>1</v>
      </c>
      <c r="G89" s="41">
        <f>Inventario[[#This Row],[COSTO UNITARIO MAYORISTA ]]*Inventario[[#This Row],[CANTIDAD]]</f>
        <v>7500</v>
      </c>
      <c r="H89" s="12">
        <v>0.4</v>
      </c>
      <c r="I89" s="39">
        <v>15000</v>
      </c>
      <c r="J89" s="143">
        <f>Inventario[[#This Row],[PRECIO DE VENTA]]-Inventario[[#This Row],[COSTO UNITARIO MAYORISTA ]]</f>
        <v>7500</v>
      </c>
      <c r="K89" s="14">
        <f>Inventario[[#This Row],[PRECIO UTILIDAD]]/Inventario[[#This Row],[PRECIO DE VENTA]]</f>
        <v>0.5</v>
      </c>
    </row>
    <row r="90" spans="1:11" ht="33" customHeight="1">
      <c r="A90" s="35">
        <v>6920190325124</v>
      </c>
      <c r="B90" s="144" t="s">
        <v>222</v>
      </c>
      <c r="C90" s="124" t="s">
        <v>185</v>
      </c>
      <c r="D90" s="144" t="s">
        <v>223</v>
      </c>
      <c r="E90" s="36">
        <v>6000</v>
      </c>
      <c r="F90" s="37">
        <v>3</v>
      </c>
      <c r="G90" s="41">
        <f>Inventario[[#This Row],[COSTO UNITARIO MAYORISTA ]]*Inventario[[#This Row],[CANTIDAD]]</f>
        <v>18000</v>
      </c>
      <c r="H90" s="12">
        <v>0.4</v>
      </c>
      <c r="I90" s="39">
        <v>8000</v>
      </c>
      <c r="J90" s="143">
        <f>Inventario[[#This Row],[PRECIO DE VENTA]]-Inventario[[#This Row],[COSTO UNITARIO MAYORISTA ]]</f>
        <v>2000</v>
      </c>
      <c r="K90" s="14">
        <f>Inventario[[#This Row],[PRECIO UTILIDAD]]/Inventario[[#This Row],[PRECIO DE VENTA]]</f>
        <v>0.25</v>
      </c>
    </row>
    <row r="91" spans="1:11" ht="33" customHeight="1">
      <c r="A91" s="35">
        <v>6920190325131</v>
      </c>
      <c r="B91" s="144" t="s">
        <v>222</v>
      </c>
      <c r="C91" s="124" t="s">
        <v>185</v>
      </c>
      <c r="D91" s="144" t="s">
        <v>224</v>
      </c>
      <c r="E91" s="36">
        <v>6000</v>
      </c>
      <c r="F91" s="37">
        <v>1</v>
      </c>
      <c r="G91" s="41">
        <f>Inventario[[#This Row],[COSTO UNITARIO MAYORISTA ]]*Inventario[[#This Row],[CANTIDAD]]</f>
        <v>6000</v>
      </c>
      <c r="H91" s="12">
        <v>0.4</v>
      </c>
      <c r="I91" s="39">
        <v>8000</v>
      </c>
      <c r="J91" s="143">
        <f>Inventario[[#This Row],[PRECIO DE VENTA]]-Inventario[[#This Row],[COSTO UNITARIO MAYORISTA ]]</f>
        <v>2000</v>
      </c>
      <c r="K91" s="14">
        <f>Inventario[[#This Row],[PRECIO UTILIDAD]]/Inventario[[#This Row],[PRECIO DE VENTA]]</f>
        <v>0.25</v>
      </c>
    </row>
    <row r="92" spans="1:11" ht="33" customHeight="1">
      <c r="A92" s="88">
        <v>7709532142396</v>
      </c>
      <c r="B92" s="144" t="s">
        <v>225</v>
      </c>
      <c r="C92" s="124" t="s">
        <v>37</v>
      </c>
      <c r="D92" s="144" t="s">
        <v>226</v>
      </c>
      <c r="E92" s="36">
        <v>15000</v>
      </c>
      <c r="F92" s="37">
        <v>13</v>
      </c>
      <c r="G92" s="41">
        <f>Inventario[[#This Row],[COSTO UNITARIO MAYORISTA ]]*Inventario[[#This Row],[CANTIDAD]]</f>
        <v>195000</v>
      </c>
      <c r="H92" s="12">
        <v>0.4</v>
      </c>
      <c r="I92" s="39">
        <v>30000</v>
      </c>
      <c r="J92" s="143">
        <f>Inventario[[#This Row],[PRECIO DE VENTA]]-Inventario[[#This Row],[COSTO UNITARIO MAYORISTA ]]</f>
        <v>15000</v>
      </c>
      <c r="K92" s="14">
        <f>Inventario[[#This Row],[PRECIO UTILIDAD]]/Inventario[[#This Row],[PRECIO DE VENTA]]</f>
        <v>0.5</v>
      </c>
    </row>
    <row r="93" spans="1:11" ht="33" customHeight="1">
      <c r="A93" s="155" t="s">
        <v>227</v>
      </c>
      <c r="B93" s="16" t="s">
        <v>228</v>
      </c>
      <c r="C93" s="16" t="s">
        <v>185</v>
      </c>
      <c r="D93" s="144" t="s">
        <v>229</v>
      </c>
      <c r="E93" s="36">
        <v>40000</v>
      </c>
      <c r="F93" s="37">
        <v>1</v>
      </c>
      <c r="G93" s="41">
        <f>Inventario[[#This Row],[COSTO UNITARIO MAYORISTA ]]*Inventario[[#This Row],[CANTIDAD]]</f>
        <v>40000</v>
      </c>
      <c r="H93" s="12">
        <v>0.4</v>
      </c>
      <c r="I93" s="39">
        <v>65000</v>
      </c>
      <c r="J93" s="143">
        <f>Inventario[[#This Row],[PRECIO DE VENTA]]-Inventario[[#This Row],[COSTO UNITARIO MAYORISTA ]]</f>
        <v>25000</v>
      </c>
      <c r="K93" s="14">
        <f>Inventario[[#This Row],[PRECIO UTILIDAD]]/Inventario[[#This Row],[PRECIO DE VENTA]]</f>
        <v>0.38461538461538464</v>
      </c>
    </row>
    <row r="94" spans="1:11" ht="33" customHeight="1">
      <c r="A94" s="144" t="s">
        <v>230</v>
      </c>
      <c r="B94" s="144" t="s">
        <v>231</v>
      </c>
      <c r="C94" s="124" t="s">
        <v>37</v>
      </c>
      <c r="D94" s="144" t="s">
        <v>232</v>
      </c>
      <c r="E94" s="36">
        <v>1500</v>
      </c>
      <c r="F94" s="37">
        <v>36</v>
      </c>
      <c r="G94" s="41">
        <f>Inventario[[#This Row],[COSTO UNITARIO MAYORISTA ]]*Inventario[[#This Row],[CANTIDAD]]</f>
        <v>54000</v>
      </c>
      <c r="H94" s="12">
        <v>0.4</v>
      </c>
      <c r="I94" s="39">
        <v>3000</v>
      </c>
      <c r="J94" s="143">
        <f>Inventario[[#This Row],[PRECIO DE VENTA]]-Inventario[[#This Row],[COSTO UNITARIO MAYORISTA ]]</f>
        <v>1500</v>
      </c>
      <c r="K94" s="14">
        <f>Inventario[[#This Row],[PRECIO UTILIDAD]]/Inventario[[#This Row],[PRECIO DE VENTA]]</f>
        <v>0.5</v>
      </c>
    </row>
    <row r="95" spans="1:11" s="9" customFormat="1" ht="33" customHeight="1">
      <c r="A95" s="35">
        <v>6971010801083</v>
      </c>
      <c r="B95" s="144" t="s">
        <v>233</v>
      </c>
      <c r="C95" s="123" t="s">
        <v>12</v>
      </c>
      <c r="D95" s="144" t="s">
        <v>234</v>
      </c>
      <c r="E95" s="36">
        <v>3500</v>
      </c>
      <c r="F95" s="37">
        <v>1</v>
      </c>
      <c r="G95" s="41">
        <f>Inventario[[#This Row],[COSTO UNITARIO MAYORISTA ]]*Inventario[[#This Row],[CANTIDAD]]</f>
        <v>3500</v>
      </c>
      <c r="H95" s="12">
        <v>0.4</v>
      </c>
      <c r="I95" s="39">
        <v>5000</v>
      </c>
      <c r="J95" s="143">
        <f>Inventario[[#This Row],[PRECIO DE VENTA]]-Inventario[[#This Row],[COSTO UNITARIO MAYORISTA ]]</f>
        <v>1500</v>
      </c>
      <c r="K95" s="14">
        <f>Inventario[[#This Row],[PRECIO UTILIDAD]]/Inventario[[#This Row],[PRECIO DE VENTA]]</f>
        <v>0.3</v>
      </c>
    </row>
    <row r="96" spans="1:11" ht="33" customHeight="1">
      <c r="A96" s="91">
        <v>6971010802493</v>
      </c>
      <c r="B96" s="144" t="s">
        <v>235</v>
      </c>
      <c r="C96" s="124" t="s">
        <v>25</v>
      </c>
      <c r="D96" s="144" t="s">
        <v>236</v>
      </c>
      <c r="E96" s="42">
        <v>3500</v>
      </c>
      <c r="F96" s="37">
        <v>14</v>
      </c>
      <c r="G96" s="41">
        <f>Inventario[[#This Row],[COSTO UNITARIO MAYORISTA ]]*Inventario[[#This Row],[CANTIDAD]]</f>
        <v>49000</v>
      </c>
      <c r="H96" s="12">
        <v>0.3</v>
      </c>
      <c r="I96" s="39">
        <v>7000</v>
      </c>
      <c r="J96" s="143">
        <f>Inventario[[#This Row],[PRECIO DE VENTA]]-Inventario[[#This Row],[COSTO UNITARIO MAYORISTA ]]</f>
        <v>3500</v>
      </c>
      <c r="K96" s="14">
        <f>Inventario[[#This Row],[PRECIO UTILIDAD]]/Inventario[[#This Row],[PRECIO DE VENTA]]</f>
        <v>0.5</v>
      </c>
    </row>
    <row r="97" spans="1:11" ht="33" customHeight="1">
      <c r="A97" s="35">
        <v>7975820811231</v>
      </c>
      <c r="B97" s="144" t="s">
        <v>237</v>
      </c>
      <c r="C97" s="124" t="s">
        <v>12</v>
      </c>
      <c r="D97" s="144" t="s">
        <v>238</v>
      </c>
      <c r="E97" s="36">
        <v>3000</v>
      </c>
      <c r="F97" s="37">
        <v>8</v>
      </c>
      <c r="G97" s="41">
        <f>Inventario[[#This Row],[COSTO UNITARIO MAYORISTA ]]*Inventario[[#This Row],[CANTIDAD]]</f>
        <v>24000</v>
      </c>
      <c r="H97" s="12">
        <v>0.4</v>
      </c>
      <c r="I97" s="39">
        <v>5000</v>
      </c>
      <c r="J97" s="143">
        <f>Inventario[[#This Row],[PRECIO DE VENTA]]-Inventario[[#This Row],[COSTO UNITARIO MAYORISTA ]]</f>
        <v>2000</v>
      </c>
      <c r="K97" s="14">
        <f>Inventario[[#This Row],[PRECIO UTILIDAD]]/Inventario[[#This Row],[PRECIO DE VENTA]]</f>
        <v>0.4</v>
      </c>
    </row>
    <row r="98" spans="1:11" ht="33" customHeight="1">
      <c r="A98" s="35">
        <v>6975435250068</v>
      </c>
      <c r="B98" s="144" t="s">
        <v>239</v>
      </c>
      <c r="C98" s="124" t="s">
        <v>12</v>
      </c>
      <c r="D98" s="144" t="s">
        <v>240</v>
      </c>
      <c r="E98" s="49">
        <v>5000</v>
      </c>
      <c r="F98" s="37">
        <v>1</v>
      </c>
      <c r="G98" s="41">
        <f>Inventario[[#This Row],[COSTO UNITARIO MAYORISTA ]]*Inventario[[#This Row],[CANTIDAD]]</f>
        <v>5000</v>
      </c>
      <c r="H98" s="12">
        <v>0.4</v>
      </c>
      <c r="I98" s="39">
        <v>10000</v>
      </c>
      <c r="J98" s="143">
        <f>Inventario[[#This Row],[PRECIO DE VENTA]]-Inventario[[#This Row],[COSTO UNITARIO MAYORISTA ]]</f>
        <v>5000</v>
      </c>
      <c r="K98" s="14">
        <f>Inventario[[#This Row],[PRECIO UTILIDAD]]/Inventario[[#This Row],[PRECIO DE VENTA]]</f>
        <v>0.5</v>
      </c>
    </row>
    <row r="99" spans="1:11" ht="33" customHeight="1">
      <c r="A99" s="155" t="s">
        <v>241</v>
      </c>
      <c r="B99" s="16" t="s">
        <v>242</v>
      </c>
      <c r="C99" s="17" t="s">
        <v>56</v>
      </c>
      <c r="D99" s="144" t="s">
        <v>243</v>
      </c>
      <c r="E99" s="36">
        <v>13000</v>
      </c>
      <c r="F99" s="37">
        <v>1</v>
      </c>
      <c r="G99" s="41">
        <f>Inventario[[#This Row],[COSTO UNITARIO MAYORISTA ]]*Inventario[[#This Row],[CANTIDAD]]</f>
        <v>13000</v>
      </c>
      <c r="H99" s="12">
        <v>0.4</v>
      </c>
      <c r="I99" s="39">
        <v>20000</v>
      </c>
      <c r="J99" s="143">
        <f>Inventario[[#This Row],[PRECIO DE VENTA]]-Inventario[[#This Row],[COSTO UNITARIO MAYORISTA ]]</f>
        <v>7000</v>
      </c>
      <c r="K99" s="14">
        <f>Inventario[[#This Row],[PRECIO UTILIDAD]]/Inventario[[#This Row],[PRECIO DE VENTA]]</f>
        <v>0.35</v>
      </c>
    </row>
    <row r="100" spans="1:11" ht="33" customHeight="1">
      <c r="A100" s="155" t="s">
        <v>244</v>
      </c>
      <c r="B100" s="155" t="s">
        <v>245</v>
      </c>
      <c r="C100" s="124" t="s">
        <v>44</v>
      </c>
      <c r="D100" s="144" t="s">
        <v>246</v>
      </c>
      <c r="E100" s="36">
        <v>9000</v>
      </c>
      <c r="F100" s="37">
        <v>1</v>
      </c>
      <c r="G100" s="41">
        <f>Inventario[[#This Row],[COSTO UNITARIO MAYORISTA ]]*Inventario[[#This Row],[CANTIDAD]]</f>
        <v>9000</v>
      </c>
      <c r="H100" s="12">
        <v>0.4</v>
      </c>
      <c r="I100" s="39">
        <v>19000</v>
      </c>
      <c r="J100" s="143">
        <f>Inventario[[#This Row],[PRECIO DE VENTA]]-Inventario[[#This Row],[COSTO UNITARIO MAYORISTA ]]</f>
        <v>10000</v>
      </c>
      <c r="K100" s="14">
        <f>Inventario[[#This Row],[PRECIO UTILIDAD]]/Inventario[[#This Row],[PRECIO DE VENTA]]</f>
        <v>0.52631578947368418</v>
      </c>
    </row>
    <row r="101" spans="1:11" ht="33" customHeight="1">
      <c r="A101" s="35">
        <v>7897256261988</v>
      </c>
      <c r="B101" s="144" t="s">
        <v>247</v>
      </c>
      <c r="C101" s="124" t="s">
        <v>12</v>
      </c>
      <c r="D101" s="144" t="s">
        <v>248</v>
      </c>
      <c r="E101" s="36">
        <v>3500</v>
      </c>
      <c r="F101" s="37">
        <v>1</v>
      </c>
      <c r="G101" s="41">
        <f>Inventario[[#This Row],[COSTO UNITARIO MAYORISTA ]]*Inventario[[#This Row],[CANTIDAD]]</f>
        <v>3500</v>
      </c>
      <c r="H101" s="12">
        <v>0.4</v>
      </c>
      <c r="I101" s="39">
        <v>8000</v>
      </c>
      <c r="J101" s="143">
        <f>Inventario[[#This Row],[PRECIO DE VENTA]]-Inventario[[#This Row],[COSTO UNITARIO MAYORISTA ]]</f>
        <v>4500</v>
      </c>
      <c r="K101" s="14">
        <f>Inventario[[#This Row],[PRECIO UTILIDAD]]/Inventario[[#This Row],[PRECIO DE VENTA]]</f>
        <v>0.5625</v>
      </c>
    </row>
    <row r="102" spans="1:11" ht="33" customHeight="1">
      <c r="A102" s="35">
        <v>6972517030099</v>
      </c>
      <c r="B102" s="144" t="s">
        <v>249</v>
      </c>
      <c r="C102" s="124" t="s">
        <v>12</v>
      </c>
      <c r="D102" s="144" t="s">
        <v>250</v>
      </c>
      <c r="E102" s="36">
        <v>4500</v>
      </c>
      <c r="F102" s="37">
        <v>1</v>
      </c>
      <c r="G102" s="41">
        <f>Inventario[[#This Row],[COSTO UNITARIO MAYORISTA ]]*Inventario[[#This Row],[CANTIDAD]]</f>
        <v>4500</v>
      </c>
      <c r="H102" s="12">
        <v>0.4</v>
      </c>
      <c r="I102" s="39">
        <v>8000</v>
      </c>
      <c r="J102" s="143">
        <f>Inventario[[#This Row],[PRECIO DE VENTA]]-Inventario[[#This Row],[COSTO UNITARIO MAYORISTA ]]</f>
        <v>3500</v>
      </c>
      <c r="K102" s="14">
        <f>Inventario[[#This Row],[PRECIO UTILIDAD]]/Inventario[[#This Row],[PRECIO DE VENTA]]</f>
        <v>0.4375</v>
      </c>
    </row>
    <row r="103" spans="1:11" ht="33" customHeight="1">
      <c r="A103" s="144" t="s">
        <v>251</v>
      </c>
      <c r="B103" s="144" t="s">
        <v>252</v>
      </c>
      <c r="C103" s="124" t="s">
        <v>12</v>
      </c>
      <c r="D103" s="144" t="s">
        <v>253</v>
      </c>
      <c r="E103" s="36">
        <v>52000</v>
      </c>
      <c r="F103" s="37">
        <v>1</v>
      </c>
      <c r="G103" s="11">
        <f>Inventario[[#This Row],[COSTO UNITARIO MAYORISTA ]]*Inventario[[#This Row],[CANTIDAD]]</f>
        <v>52000</v>
      </c>
      <c r="H103" s="12">
        <v>0.55000000000000004</v>
      </c>
      <c r="I103" s="39">
        <v>80000</v>
      </c>
      <c r="J103" s="143">
        <f>Inventario[[#This Row],[PRECIO DE VENTA]]-Inventario[[#This Row],[COSTO UNITARIO MAYORISTA ]]</f>
        <v>28000</v>
      </c>
      <c r="K103" s="14">
        <f>Inventario[[#This Row],[PRECIO UTILIDAD]]/Inventario[[#This Row],[PRECIO DE VENTA]]</f>
        <v>0.35</v>
      </c>
    </row>
    <row r="104" spans="1:11" ht="33" customHeight="1">
      <c r="A104" s="145">
        <v>1212435573212</v>
      </c>
      <c r="B104" s="142" t="s">
        <v>254</v>
      </c>
      <c r="C104" s="123" t="s">
        <v>255</v>
      </c>
      <c r="D104" s="144" t="s">
        <v>256</v>
      </c>
      <c r="E104" s="36">
        <v>17000</v>
      </c>
      <c r="F104" s="37">
        <v>1</v>
      </c>
      <c r="G104" s="11">
        <f>Inventario[[#This Row],[COSTO UNITARIO MAYORISTA ]]*Inventario[[#This Row],[CANTIDAD]]</f>
        <v>17000</v>
      </c>
      <c r="H104" s="12">
        <v>0.4</v>
      </c>
      <c r="I104" s="39">
        <v>30000</v>
      </c>
      <c r="J104" s="143">
        <f>Inventario[[#This Row],[PRECIO DE VENTA]]-Inventario[[#This Row],[COSTO UNITARIO MAYORISTA ]]</f>
        <v>13000</v>
      </c>
      <c r="K104" s="14">
        <f>Inventario[[#This Row],[PRECIO UTILIDAD]]/Inventario[[#This Row],[PRECIO DE VENTA]]</f>
        <v>0.43333333333333335</v>
      </c>
    </row>
    <row r="105" spans="1:11" ht="33" customHeight="1">
      <c r="A105" s="21">
        <v>6924670393177</v>
      </c>
      <c r="B105" s="142" t="s">
        <v>257</v>
      </c>
      <c r="C105" s="123" t="s">
        <v>12</v>
      </c>
      <c r="D105" s="144" t="s">
        <v>258</v>
      </c>
      <c r="E105" s="49">
        <v>2500</v>
      </c>
      <c r="F105" s="37">
        <v>1</v>
      </c>
      <c r="G105" s="41">
        <f>Inventario[[#This Row],[COSTO UNITARIO MAYORISTA ]]*Inventario[[#This Row],[CANTIDAD]]</f>
        <v>2500</v>
      </c>
      <c r="H105" s="12">
        <v>0.4</v>
      </c>
      <c r="I105" s="39">
        <v>5000</v>
      </c>
      <c r="J105" s="143">
        <f>Inventario[[#This Row],[PRECIO DE VENTA]]-Inventario[[#This Row],[COSTO UNITARIO MAYORISTA ]]</f>
        <v>2500</v>
      </c>
      <c r="K105" s="14">
        <f>Inventario[[#This Row],[PRECIO UTILIDAD]]/Inventario[[#This Row],[PRECIO DE VENTA]]</f>
        <v>0.5</v>
      </c>
    </row>
    <row r="106" spans="1:11" ht="33" customHeight="1">
      <c r="A106" s="231" t="s">
        <v>908</v>
      </c>
      <c r="B106" s="142" t="s">
        <v>259</v>
      </c>
      <c r="C106" s="123" t="s">
        <v>12</v>
      </c>
      <c r="D106" s="144" t="s">
        <v>260</v>
      </c>
      <c r="E106" s="36">
        <v>14000</v>
      </c>
      <c r="F106" s="37">
        <v>1</v>
      </c>
      <c r="G106" s="41">
        <f>Inventario[[#This Row],[COSTO UNITARIO MAYORISTA ]]*Inventario[[#This Row],[CANTIDAD]]</f>
        <v>14000</v>
      </c>
      <c r="H106" s="12">
        <v>0.4</v>
      </c>
      <c r="I106" s="39">
        <v>30000</v>
      </c>
      <c r="J106" s="143">
        <f>Inventario[[#This Row],[PRECIO DE VENTA]]-Inventario[[#This Row],[COSTO UNITARIO MAYORISTA ]]</f>
        <v>16000</v>
      </c>
      <c r="K106" s="14">
        <f>Inventario[[#This Row],[PRECIO UTILIDAD]]/Inventario[[#This Row],[PRECIO DE VENTA]]</f>
        <v>0.53333333333333333</v>
      </c>
    </row>
    <row r="107" spans="1:11" ht="33" customHeight="1">
      <c r="A107" s="142" t="s">
        <v>261</v>
      </c>
      <c r="B107" s="142" t="s">
        <v>262</v>
      </c>
      <c r="C107" s="123" t="s">
        <v>12</v>
      </c>
      <c r="D107" s="144" t="s">
        <v>263</v>
      </c>
      <c r="E107" s="36">
        <v>3500</v>
      </c>
      <c r="F107" s="37">
        <v>1</v>
      </c>
      <c r="G107" s="11">
        <f>Inventario[[#This Row],[COSTO UNITARIO MAYORISTA ]]*Inventario[[#This Row],[CANTIDAD]]</f>
        <v>3500</v>
      </c>
      <c r="H107" s="12">
        <v>0.4</v>
      </c>
      <c r="I107" s="39">
        <v>7000</v>
      </c>
      <c r="J107" s="143">
        <f>Inventario[[#This Row],[PRECIO DE VENTA]]-Inventario[[#This Row],[COSTO UNITARIO MAYORISTA ]]</f>
        <v>3500</v>
      </c>
      <c r="K107" s="14">
        <f>Inventario[[#This Row],[PRECIO UTILIDAD]]/Inventario[[#This Row],[PRECIO DE VENTA]]</f>
        <v>0.5</v>
      </c>
    </row>
    <row r="108" spans="1:11" ht="33" customHeight="1">
      <c r="A108" s="144" t="s">
        <v>264</v>
      </c>
      <c r="B108" s="144" t="s">
        <v>265</v>
      </c>
      <c r="C108" s="124" t="s">
        <v>44</v>
      </c>
      <c r="D108" s="144" t="s">
        <v>266</v>
      </c>
      <c r="E108" s="36">
        <v>30000</v>
      </c>
      <c r="F108" s="37">
        <v>1</v>
      </c>
      <c r="G108" s="41">
        <f>Inventario[[#This Row],[COSTO UNITARIO MAYORISTA ]]*Inventario[[#This Row],[CANTIDAD]]</f>
        <v>30000</v>
      </c>
      <c r="H108" s="12">
        <v>0.4</v>
      </c>
      <c r="I108" s="39">
        <f>Inventario[[#This Row],[COSTO UNITARIO MAYORISTA ]]/(1-Inventario[[#This Row],[MARGEN DE UTILIDAD]])</f>
        <v>50000</v>
      </c>
      <c r="J108" s="143">
        <f>Inventario[[#This Row],[PRECIO DE VENTA]]-Inventario[[#This Row],[COSTO UNITARIO MAYORISTA ]]</f>
        <v>20000</v>
      </c>
      <c r="K108" s="14">
        <f>Inventario[[#This Row],[PRECIO UTILIDAD]]/Inventario[[#This Row],[PRECIO DE VENTA]]</f>
        <v>0.4</v>
      </c>
    </row>
    <row r="109" spans="1:11" ht="33" customHeight="1">
      <c r="A109" s="156">
        <v>7809460042611</v>
      </c>
      <c r="B109" s="144" t="s">
        <v>267</v>
      </c>
      <c r="C109" s="124" t="s">
        <v>12</v>
      </c>
      <c r="D109" s="144" t="s">
        <v>268</v>
      </c>
      <c r="E109" s="36">
        <v>60000</v>
      </c>
      <c r="F109" s="37">
        <v>1</v>
      </c>
      <c r="G109" s="11">
        <f>Inventario[[#This Row],[COSTO UNITARIO MAYORISTA ]]*Inventario[[#This Row],[CANTIDAD]]</f>
        <v>60000</v>
      </c>
      <c r="H109" s="12">
        <v>0.4</v>
      </c>
      <c r="I109" s="39">
        <f>Inventario[[#This Row],[COSTO UNITARIO MAYORISTA ]]/(1-Inventario[[#This Row],[MARGEN DE UTILIDAD]])</f>
        <v>100000</v>
      </c>
      <c r="J109" s="143">
        <f>Inventario[[#This Row],[PRECIO DE VENTA]]-Inventario[[#This Row],[COSTO UNITARIO MAYORISTA ]]</f>
        <v>40000</v>
      </c>
      <c r="K109" s="14">
        <f>Inventario[[#This Row],[PRECIO UTILIDAD]]/Inventario[[#This Row],[PRECIO DE VENTA]]</f>
        <v>0.4</v>
      </c>
    </row>
    <row r="110" spans="1:11" ht="33" customHeight="1">
      <c r="A110" s="35">
        <v>5978253580097</v>
      </c>
      <c r="B110" s="142" t="s">
        <v>269</v>
      </c>
      <c r="C110" s="123" t="s">
        <v>25</v>
      </c>
      <c r="D110" s="144" t="s">
        <v>270</v>
      </c>
      <c r="E110" s="42">
        <v>7200</v>
      </c>
      <c r="F110" s="37">
        <v>1</v>
      </c>
      <c r="G110" s="41">
        <f>Inventario[[#This Row],[COSTO UNITARIO MAYORISTA ]]*Inventario[[#This Row],[CANTIDAD]]</f>
        <v>7200</v>
      </c>
      <c r="H110" s="12">
        <v>0.4</v>
      </c>
      <c r="I110" s="39">
        <v>15000</v>
      </c>
      <c r="J110" s="143">
        <f>Inventario[[#This Row],[PRECIO DE VENTA]]-Inventario[[#This Row],[COSTO UNITARIO MAYORISTA ]]</f>
        <v>7800</v>
      </c>
      <c r="K110" s="14">
        <f>Inventario[[#This Row],[PRECIO UTILIDAD]]/Inventario[[#This Row],[PRECIO DE VENTA]]</f>
        <v>0.52</v>
      </c>
    </row>
    <row r="111" spans="1:11" ht="33" customHeight="1">
      <c r="A111" s="156" t="s">
        <v>271</v>
      </c>
      <c r="B111" s="144" t="s">
        <v>272</v>
      </c>
      <c r="C111" s="124" t="s">
        <v>12</v>
      </c>
      <c r="D111" s="144" t="s">
        <v>273</v>
      </c>
      <c r="E111" s="36">
        <v>25000</v>
      </c>
      <c r="F111" s="37">
        <v>2</v>
      </c>
      <c r="G111" s="11">
        <f>Inventario[[#This Row],[COSTO UNITARIO MAYORISTA ]]*Inventario[[#This Row],[CANTIDAD]]</f>
        <v>50000</v>
      </c>
      <c r="H111" s="12">
        <v>0.4</v>
      </c>
      <c r="I111" s="39">
        <v>40000</v>
      </c>
      <c r="J111" s="143">
        <f>Inventario[[#This Row],[PRECIO DE VENTA]]-Inventario[[#This Row],[COSTO UNITARIO MAYORISTA ]]</f>
        <v>15000</v>
      </c>
      <c r="K111" s="14">
        <f>Inventario[[#This Row],[PRECIO UTILIDAD]]/Inventario[[#This Row],[PRECIO DE VENTA]]</f>
        <v>0.375</v>
      </c>
    </row>
    <row r="112" spans="1:11" ht="33" customHeight="1">
      <c r="A112" s="35">
        <v>6975699650178</v>
      </c>
      <c r="B112" s="144" t="s">
        <v>274</v>
      </c>
      <c r="C112" s="124" t="s">
        <v>67</v>
      </c>
      <c r="D112" s="144" t="s">
        <v>275</v>
      </c>
      <c r="E112" s="36">
        <v>15000</v>
      </c>
      <c r="F112" s="37">
        <v>1</v>
      </c>
      <c r="G112" s="11">
        <f>Inventario[[#This Row],[COSTO UNITARIO MAYORISTA ]]*Inventario[[#This Row],[CANTIDAD]]</f>
        <v>15000</v>
      </c>
      <c r="H112" s="12">
        <v>0.4</v>
      </c>
      <c r="I112" s="39">
        <f>Inventario[[#This Row],[COSTO UNITARIO MAYORISTA ]]/(1-Inventario[[#This Row],[MARGEN DE UTILIDAD]])</f>
        <v>25000</v>
      </c>
      <c r="J112" s="143">
        <f>Inventario[[#This Row],[PRECIO DE VENTA]]-Inventario[[#This Row],[COSTO UNITARIO MAYORISTA ]]</f>
        <v>10000</v>
      </c>
      <c r="K112" s="14">
        <f>Inventario[[#This Row],[PRECIO UTILIDAD]]/Inventario[[#This Row],[PRECIO DE VENTA]]</f>
        <v>0.4</v>
      </c>
    </row>
    <row r="113" spans="1:11" ht="33" customHeight="1">
      <c r="A113" s="144" t="s">
        <v>276</v>
      </c>
      <c r="B113" s="144" t="s">
        <v>277</v>
      </c>
      <c r="C113" s="124" t="s">
        <v>12</v>
      </c>
      <c r="D113" s="144" t="s">
        <v>278</v>
      </c>
      <c r="E113" s="36">
        <v>8000</v>
      </c>
      <c r="F113" s="37">
        <v>2</v>
      </c>
      <c r="G113" s="11">
        <f>Inventario[[#This Row],[COSTO UNITARIO MAYORISTA ]]*Inventario[[#This Row],[CANTIDAD]]</f>
        <v>16000</v>
      </c>
      <c r="H113" s="12">
        <v>0.4</v>
      </c>
      <c r="I113" s="39">
        <v>16000</v>
      </c>
      <c r="J113" s="143">
        <f>Inventario[[#This Row],[PRECIO DE VENTA]]-Inventario[[#This Row],[COSTO UNITARIO MAYORISTA ]]</f>
        <v>8000</v>
      </c>
      <c r="K113" s="14">
        <f>Inventario[[#This Row],[PRECIO UTILIDAD]]/Inventario[[#This Row],[PRECIO DE VENTA]]</f>
        <v>0.5</v>
      </c>
    </row>
    <row r="114" spans="1:11" ht="33" customHeight="1">
      <c r="A114" s="157" t="s">
        <v>279</v>
      </c>
      <c r="B114" s="144" t="s">
        <v>280</v>
      </c>
      <c r="C114" s="124" t="s">
        <v>52</v>
      </c>
      <c r="D114" s="144" t="s">
        <v>281</v>
      </c>
      <c r="E114" s="36">
        <v>30000</v>
      </c>
      <c r="F114" s="37">
        <v>1</v>
      </c>
      <c r="G114" s="11">
        <f>Inventario[[#This Row],[COSTO UNITARIO MAYORISTA ]]*Inventario[[#This Row],[CANTIDAD]]</f>
        <v>30000</v>
      </c>
      <c r="H114" s="12">
        <v>0.4</v>
      </c>
      <c r="I114" s="39">
        <v>70000</v>
      </c>
      <c r="J114" s="143">
        <f>Inventario[[#This Row],[PRECIO DE VENTA]]-Inventario[[#This Row],[COSTO UNITARIO MAYORISTA ]]</f>
        <v>40000</v>
      </c>
      <c r="K114" s="14">
        <f>Inventario[[#This Row],[PRECIO UTILIDAD]]/Inventario[[#This Row],[PRECIO DE VENTA]]</f>
        <v>0.5714285714285714</v>
      </c>
    </row>
    <row r="115" spans="1:11" ht="33" customHeight="1">
      <c r="A115" s="142" t="s">
        <v>282</v>
      </c>
      <c r="B115" s="142" t="s">
        <v>283</v>
      </c>
      <c r="C115" s="123" t="s">
        <v>52</v>
      </c>
      <c r="D115" s="144" t="s">
        <v>284</v>
      </c>
      <c r="E115" s="36">
        <v>17000</v>
      </c>
      <c r="F115" s="37">
        <v>1</v>
      </c>
      <c r="G115" s="11">
        <f>Inventario[[#This Row],[COSTO UNITARIO MAYORISTA ]]*Inventario[[#This Row],[CANTIDAD]]</f>
        <v>17000</v>
      </c>
      <c r="H115" s="12">
        <v>0.4</v>
      </c>
      <c r="I115" s="39">
        <v>40000</v>
      </c>
      <c r="J115" s="143">
        <f>Inventario[[#This Row],[PRECIO DE VENTA]]-Inventario[[#This Row],[COSTO UNITARIO MAYORISTA ]]</f>
        <v>23000</v>
      </c>
      <c r="K115" s="14">
        <f>Inventario[[#This Row],[PRECIO UTILIDAD]]/Inventario[[#This Row],[PRECIO DE VENTA]]</f>
        <v>0.57499999999999996</v>
      </c>
    </row>
    <row r="116" spans="1:11" ht="33" customHeight="1">
      <c r="A116" s="64">
        <v>6971782060152</v>
      </c>
      <c r="B116" s="21" t="s">
        <v>285</v>
      </c>
      <c r="C116" s="15" t="s">
        <v>12</v>
      </c>
      <c r="D116" s="144" t="s">
        <v>286</v>
      </c>
      <c r="E116" s="42">
        <v>25000</v>
      </c>
      <c r="F116" s="37">
        <v>3</v>
      </c>
      <c r="G116" s="41">
        <f>Inventario[[#This Row],[COSTO UNITARIO MAYORISTA ]]*Inventario[[#This Row],[CANTIDAD]]</f>
        <v>75000</v>
      </c>
      <c r="H116" s="12">
        <v>0.4</v>
      </c>
      <c r="I116" s="39">
        <v>50000</v>
      </c>
      <c r="J116" s="143">
        <f>Inventario[[#This Row],[PRECIO DE VENTA]]-Inventario[[#This Row],[COSTO UNITARIO MAYORISTA ]]</f>
        <v>25000</v>
      </c>
      <c r="K116" s="14">
        <f>Inventario[[#This Row],[PRECIO UTILIDAD]]/Inventario[[#This Row],[PRECIO DE VENTA]]</f>
        <v>0.5</v>
      </c>
    </row>
    <row r="117" spans="1:11" ht="33" customHeight="1">
      <c r="A117" s="35">
        <v>6921353006812</v>
      </c>
      <c r="B117" s="144" t="s">
        <v>287</v>
      </c>
      <c r="C117" s="124" t="s">
        <v>12</v>
      </c>
      <c r="D117" s="144" t="s">
        <v>288</v>
      </c>
      <c r="E117" s="42">
        <v>18000</v>
      </c>
      <c r="F117" s="37">
        <v>3</v>
      </c>
      <c r="G117" s="41">
        <f>Inventario[[#This Row],[COSTO UNITARIO MAYORISTA ]]*Inventario[[#This Row],[CANTIDAD]]</f>
        <v>54000</v>
      </c>
      <c r="H117" s="12">
        <v>0.4</v>
      </c>
      <c r="I117" s="39">
        <f>Inventario[[#This Row],[COSTO UNITARIO MAYORISTA ]]/(1-Inventario[[#This Row],[MARGEN DE UTILIDAD]])</f>
        <v>30000</v>
      </c>
      <c r="J117" s="143">
        <f>Inventario[[#This Row],[PRECIO DE VENTA]]-Inventario[[#This Row],[COSTO UNITARIO MAYORISTA ]]</f>
        <v>12000</v>
      </c>
      <c r="K117" s="14">
        <f>Inventario[[#This Row],[PRECIO UTILIDAD]]/Inventario[[#This Row],[PRECIO DE VENTA]]</f>
        <v>0.4</v>
      </c>
    </row>
    <row r="118" spans="1:11" ht="33" customHeight="1">
      <c r="A118" s="77">
        <v>6900010009991</v>
      </c>
      <c r="B118" s="142" t="s">
        <v>289</v>
      </c>
      <c r="C118" s="123" t="s">
        <v>12</v>
      </c>
      <c r="D118" s="144" t="s">
        <v>290</v>
      </c>
      <c r="E118" s="36">
        <v>1000</v>
      </c>
      <c r="F118" s="37">
        <v>3</v>
      </c>
      <c r="G118" s="41">
        <f>Inventario[[#This Row],[COSTO UNITARIO MAYORISTA ]]*Inventario[[#This Row],[CANTIDAD]]</f>
        <v>3000</v>
      </c>
      <c r="H118" s="12">
        <v>0.4</v>
      </c>
      <c r="I118" s="39">
        <v>5000</v>
      </c>
      <c r="J118" s="143">
        <f>Inventario[[#This Row],[PRECIO DE VENTA]]-Inventario[[#This Row],[COSTO UNITARIO MAYORISTA ]]</f>
        <v>4000</v>
      </c>
      <c r="K118" s="14">
        <f>Inventario[[#This Row],[PRECIO UTILIDAD]]/Inventario[[#This Row],[PRECIO DE VENTA]]</f>
        <v>0.8</v>
      </c>
    </row>
    <row r="119" spans="1:11" ht="33" customHeight="1">
      <c r="A119" s="87">
        <v>6599417022353</v>
      </c>
      <c r="B119" s="142" t="s">
        <v>291</v>
      </c>
      <c r="C119" s="123" t="s">
        <v>12</v>
      </c>
      <c r="D119" s="144" t="s">
        <v>292</v>
      </c>
      <c r="E119" s="36">
        <v>4000</v>
      </c>
      <c r="F119" s="37">
        <v>1</v>
      </c>
      <c r="G119" s="41">
        <f>Inventario[[#This Row],[COSTO UNITARIO MAYORISTA ]]*Inventario[[#This Row],[CANTIDAD]]</f>
        <v>4000</v>
      </c>
      <c r="H119" s="12">
        <v>0.4</v>
      </c>
      <c r="I119" s="39">
        <f>Inventario[[#This Row],[COSTO UNITARIO MAYORISTA ]]/(1-Inventario[[#This Row],[MARGEN DE UTILIDAD]])</f>
        <v>6666.666666666667</v>
      </c>
      <c r="J119" s="143">
        <f>Inventario[[#This Row],[PRECIO DE VENTA]]-Inventario[[#This Row],[COSTO UNITARIO MAYORISTA ]]</f>
        <v>2666.666666666667</v>
      </c>
      <c r="K119" s="14">
        <f>Inventario[[#This Row],[PRECIO UTILIDAD]]/Inventario[[#This Row],[PRECIO DE VENTA]]</f>
        <v>0.4</v>
      </c>
    </row>
    <row r="120" spans="1:11" ht="33" customHeight="1">
      <c r="A120" s="142" t="s">
        <v>293</v>
      </c>
      <c r="B120" s="142" t="s">
        <v>294</v>
      </c>
      <c r="C120" s="123" t="s">
        <v>52</v>
      </c>
      <c r="D120" s="144" t="s">
        <v>295</v>
      </c>
      <c r="E120" s="36">
        <v>41000</v>
      </c>
      <c r="F120" s="37">
        <v>1</v>
      </c>
      <c r="G120" s="11">
        <f>Inventario[[#This Row],[COSTO UNITARIO MAYORISTA ]]*Inventario[[#This Row],[CANTIDAD]]</f>
        <v>41000</v>
      </c>
      <c r="H120" s="12">
        <v>0.4</v>
      </c>
      <c r="I120" s="39">
        <v>80000</v>
      </c>
      <c r="J120" s="143">
        <f>Inventario[[#This Row],[PRECIO DE VENTA]]-Inventario[[#This Row],[COSTO UNITARIO MAYORISTA ]]</f>
        <v>39000</v>
      </c>
      <c r="K120" s="14">
        <f>Inventario[[#This Row],[PRECIO UTILIDAD]]/Inventario[[#This Row],[PRECIO DE VENTA]]</f>
        <v>0.48749999999999999</v>
      </c>
    </row>
    <row r="121" spans="1:11" ht="33" customHeight="1">
      <c r="A121" s="144" t="s">
        <v>296</v>
      </c>
      <c r="B121" s="142" t="s">
        <v>294</v>
      </c>
      <c r="C121" s="123" t="s">
        <v>16</v>
      </c>
      <c r="D121" s="144" t="s">
        <v>297</v>
      </c>
      <c r="E121" s="36">
        <v>40000</v>
      </c>
      <c r="F121" s="37">
        <v>1</v>
      </c>
      <c r="G121" s="11">
        <f>Inventario[[#This Row],[COSTO UNITARIO MAYORISTA ]]*Inventario[[#This Row],[CANTIDAD]]</f>
        <v>40000</v>
      </c>
      <c r="H121" s="12">
        <v>0.4</v>
      </c>
      <c r="I121" s="39">
        <v>67000</v>
      </c>
      <c r="J121" s="143">
        <f>Inventario[[#This Row],[PRECIO DE VENTA]]-Inventario[[#This Row],[COSTO UNITARIO MAYORISTA ]]</f>
        <v>27000</v>
      </c>
      <c r="K121" s="14">
        <f>Inventario[[#This Row],[PRECIO UTILIDAD]]/Inventario[[#This Row],[PRECIO DE VENTA]]</f>
        <v>0.40298507462686567</v>
      </c>
    </row>
    <row r="122" spans="1:11" ht="33" customHeight="1">
      <c r="A122" s="142" t="s">
        <v>298</v>
      </c>
      <c r="B122" s="142" t="s">
        <v>299</v>
      </c>
      <c r="C122" s="123" t="s">
        <v>12</v>
      </c>
      <c r="D122" s="144" t="s">
        <v>300</v>
      </c>
      <c r="E122" s="36">
        <v>3000</v>
      </c>
      <c r="F122" s="37">
        <v>2</v>
      </c>
      <c r="G122" s="11">
        <f>Inventario[[#This Row],[COSTO UNITARIO MAYORISTA ]]*Inventario[[#This Row],[CANTIDAD]]</f>
        <v>6000</v>
      </c>
      <c r="H122" s="12">
        <v>0.4</v>
      </c>
      <c r="I122" s="39">
        <v>6000</v>
      </c>
      <c r="J122" s="143">
        <f>Inventario[[#This Row],[PRECIO DE VENTA]]-Inventario[[#This Row],[COSTO UNITARIO MAYORISTA ]]</f>
        <v>3000</v>
      </c>
      <c r="K122" s="14">
        <f>Inventario[[#This Row],[PRECIO UTILIDAD]]/Inventario[[#This Row],[PRECIO DE VENTA]]</f>
        <v>0.5</v>
      </c>
    </row>
    <row r="123" spans="1:11" ht="33" customHeight="1">
      <c r="A123" s="142">
        <v>6975608880603</v>
      </c>
      <c r="B123" s="142" t="s">
        <v>301</v>
      </c>
      <c r="C123" s="123" t="s">
        <v>16</v>
      </c>
      <c r="D123" s="144" t="s">
        <v>302</v>
      </c>
      <c r="E123" s="36">
        <v>36000</v>
      </c>
      <c r="F123" s="37">
        <v>1</v>
      </c>
      <c r="G123" s="11">
        <f>Inventario[[#This Row],[COSTO UNITARIO MAYORISTA ]]*Inventario[[#This Row],[CANTIDAD]]</f>
        <v>36000</v>
      </c>
      <c r="H123" s="12">
        <v>0.4</v>
      </c>
      <c r="I123" s="39">
        <v>65000</v>
      </c>
      <c r="J123" s="143">
        <f>Inventario[[#This Row],[PRECIO DE VENTA]]-Inventario[[#This Row],[COSTO UNITARIO MAYORISTA ]]</f>
        <v>29000</v>
      </c>
      <c r="K123" s="14">
        <f>Inventario[[#This Row],[PRECIO UTILIDAD]]/Inventario[[#This Row],[PRECIO DE VENTA]]</f>
        <v>0.44615384615384618</v>
      </c>
    </row>
    <row r="124" spans="1:11" ht="33" customHeight="1">
      <c r="A124" s="21">
        <v>6958763600132</v>
      </c>
      <c r="B124" s="142" t="s">
        <v>303</v>
      </c>
      <c r="C124" s="123" t="s">
        <v>12</v>
      </c>
      <c r="D124" s="144" t="s">
        <v>304</v>
      </c>
      <c r="E124" s="49">
        <v>8000</v>
      </c>
      <c r="F124" s="37">
        <v>2</v>
      </c>
      <c r="G124" s="41">
        <f>Inventario[[#This Row],[COSTO UNITARIO MAYORISTA ]]*Inventario[[#This Row],[CANTIDAD]]</f>
        <v>16000</v>
      </c>
      <c r="H124" s="12">
        <v>0.4</v>
      </c>
      <c r="I124" s="39">
        <v>13000</v>
      </c>
      <c r="J124" s="143">
        <f>Inventario[[#This Row],[PRECIO DE VENTA]]-Inventario[[#This Row],[COSTO UNITARIO MAYORISTA ]]</f>
        <v>5000</v>
      </c>
      <c r="K124" s="14">
        <f>Inventario[[#This Row],[PRECIO UTILIDAD]]/Inventario[[#This Row],[PRECIO DE VENTA]]</f>
        <v>0.38461538461538464</v>
      </c>
    </row>
    <row r="125" spans="1:11" ht="33" customHeight="1">
      <c r="A125" s="156" t="s">
        <v>305</v>
      </c>
      <c r="B125" s="144" t="s">
        <v>306</v>
      </c>
      <c r="C125" s="124" t="s">
        <v>16</v>
      </c>
      <c r="D125" s="144" t="s">
        <v>307</v>
      </c>
      <c r="E125" s="36">
        <v>50000</v>
      </c>
      <c r="F125" s="37">
        <v>11</v>
      </c>
      <c r="G125" s="11">
        <f>Inventario[[#This Row],[COSTO UNITARIO MAYORISTA ]]*Inventario[[#This Row],[CANTIDAD]]</f>
        <v>550000</v>
      </c>
      <c r="H125" s="12">
        <v>0.4</v>
      </c>
      <c r="I125" s="39">
        <v>85000</v>
      </c>
      <c r="J125" s="143">
        <f>Inventario[[#This Row],[PRECIO DE VENTA]]-Inventario[[#This Row],[COSTO UNITARIO MAYORISTA ]]</f>
        <v>35000</v>
      </c>
      <c r="K125" s="14">
        <f>Inventario[[#This Row],[PRECIO UTILIDAD]]/Inventario[[#This Row],[PRECIO DE VENTA]]</f>
        <v>0.41176470588235292</v>
      </c>
    </row>
    <row r="126" spans="1:11" ht="33" customHeight="1">
      <c r="A126" s="155" t="s">
        <v>308</v>
      </c>
      <c r="B126" s="155" t="s">
        <v>309</v>
      </c>
      <c r="C126" s="124" t="s">
        <v>44</v>
      </c>
      <c r="D126" s="144" t="s">
        <v>310</v>
      </c>
      <c r="E126" s="36">
        <v>4000</v>
      </c>
      <c r="F126" s="37">
        <v>1</v>
      </c>
      <c r="G126" s="11">
        <f>Inventario[[#This Row],[COSTO UNITARIO MAYORISTA ]]*Inventario[[#This Row],[CANTIDAD]]</f>
        <v>4000</v>
      </c>
      <c r="H126" s="12">
        <v>0.4</v>
      </c>
      <c r="I126" s="39">
        <v>10000</v>
      </c>
      <c r="J126" s="143">
        <f>Inventario[[#This Row],[PRECIO DE VENTA]]-Inventario[[#This Row],[COSTO UNITARIO MAYORISTA ]]</f>
        <v>6000</v>
      </c>
      <c r="K126" s="14">
        <f>Inventario[[#This Row],[PRECIO UTILIDAD]]/Inventario[[#This Row],[PRECIO DE VENTA]]</f>
        <v>0.6</v>
      </c>
    </row>
    <row r="127" spans="1:11" ht="33" customHeight="1">
      <c r="A127" s="144" t="s">
        <v>311</v>
      </c>
      <c r="B127" s="144" t="s">
        <v>312</v>
      </c>
      <c r="C127" s="124" t="s">
        <v>16</v>
      </c>
      <c r="D127" s="144" t="s">
        <v>313</v>
      </c>
      <c r="E127" s="36">
        <v>29000</v>
      </c>
      <c r="F127" s="37">
        <v>1</v>
      </c>
      <c r="G127" s="11">
        <f>Inventario[[#This Row],[COSTO UNITARIO MAYORISTA ]]*Inventario[[#This Row],[CANTIDAD]]</f>
        <v>29000</v>
      </c>
      <c r="H127" s="12">
        <v>0.4</v>
      </c>
      <c r="I127" s="39">
        <v>50000</v>
      </c>
      <c r="J127" s="143">
        <f>Inventario[[#This Row],[PRECIO DE VENTA]]-Inventario[[#This Row],[COSTO UNITARIO MAYORISTA ]]</f>
        <v>21000</v>
      </c>
      <c r="K127" s="14">
        <f>Inventario[[#This Row],[PRECIO UTILIDAD]]/Inventario[[#This Row],[PRECIO DE VENTA]]</f>
        <v>0.42</v>
      </c>
    </row>
    <row r="128" spans="1:11" ht="33" customHeight="1">
      <c r="A128" s="142" t="s">
        <v>314</v>
      </c>
      <c r="B128" s="142" t="s">
        <v>315</v>
      </c>
      <c r="C128" s="123" t="s">
        <v>44</v>
      </c>
      <c r="D128" s="144" t="s">
        <v>316</v>
      </c>
      <c r="E128" s="36">
        <v>6000</v>
      </c>
      <c r="F128" s="37">
        <v>1</v>
      </c>
      <c r="G128" s="11">
        <f>Inventario[[#This Row],[COSTO UNITARIO MAYORISTA ]]*Inventario[[#This Row],[CANTIDAD]]</f>
        <v>6000</v>
      </c>
      <c r="H128" s="12">
        <v>0.4</v>
      </c>
      <c r="I128" s="39">
        <f>Inventario[[#This Row],[COSTO UNITARIO MAYORISTA ]]/(1-Inventario[[#This Row],[MARGEN DE UTILIDAD]])</f>
        <v>10000</v>
      </c>
      <c r="J128" s="143">
        <f>Inventario[[#This Row],[PRECIO DE VENTA]]-Inventario[[#This Row],[COSTO UNITARIO MAYORISTA ]]</f>
        <v>4000</v>
      </c>
      <c r="K128" s="14">
        <f>Inventario[[#This Row],[PRECIO UTILIDAD]]/Inventario[[#This Row],[PRECIO DE VENTA]]</f>
        <v>0.4</v>
      </c>
    </row>
    <row r="129" spans="1:11" ht="33" customHeight="1">
      <c r="A129" s="144" t="s">
        <v>317</v>
      </c>
      <c r="B129" s="144" t="s">
        <v>318</v>
      </c>
      <c r="C129" s="124" t="s">
        <v>16</v>
      </c>
      <c r="D129" s="144" t="s">
        <v>318</v>
      </c>
      <c r="E129" s="36">
        <v>26000</v>
      </c>
      <c r="F129" s="37">
        <v>1</v>
      </c>
      <c r="G129" s="11">
        <f>Inventario[[#This Row],[COSTO UNITARIO MAYORISTA ]]*Inventario[[#This Row],[CANTIDAD]]</f>
        <v>26000</v>
      </c>
      <c r="H129" s="12">
        <v>0.4</v>
      </c>
      <c r="I129" s="39">
        <v>60000</v>
      </c>
      <c r="J129" s="143">
        <f>Inventario[[#This Row],[PRECIO DE VENTA]]-Inventario[[#This Row],[COSTO UNITARIO MAYORISTA ]]</f>
        <v>34000</v>
      </c>
      <c r="K129" s="14">
        <f>Inventario[[#This Row],[PRECIO UTILIDAD]]/Inventario[[#This Row],[PRECIO DE VENTA]]</f>
        <v>0.56666666666666665</v>
      </c>
    </row>
    <row r="130" spans="1:11" ht="33" customHeight="1">
      <c r="A130" s="142" t="s">
        <v>319</v>
      </c>
      <c r="B130" s="142" t="s">
        <v>320</v>
      </c>
      <c r="C130" s="123" t="s">
        <v>16</v>
      </c>
      <c r="D130" s="144" t="s">
        <v>321</v>
      </c>
      <c r="E130" s="36">
        <v>13000</v>
      </c>
      <c r="F130" s="37">
        <v>4</v>
      </c>
      <c r="G130" s="11">
        <f>Inventario[[#This Row],[COSTO UNITARIO MAYORISTA ]]*Inventario[[#This Row],[CANTIDAD]]</f>
        <v>52000</v>
      </c>
      <c r="H130" s="12">
        <v>0.4</v>
      </c>
      <c r="I130" s="39">
        <v>25000</v>
      </c>
      <c r="J130" s="143">
        <f>Inventario[[#This Row],[PRECIO DE VENTA]]-Inventario[[#This Row],[COSTO UNITARIO MAYORISTA ]]</f>
        <v>12000</v>
      </c>
      <c r="K130" s="14">
        <f>Inventario[[#This Row],[PRECIO UTILIDAD]]/Inventario[[#This Row],[PRECIO DE VENTA]]</f>
        <v>0.48</v>
      </c>
    </row>
    <row r="131" spans="1:11" ht="33" customHeight="1">
      <c r="A131" s="142" t="s">
        <v>322</v>
      </c>
      <c r="B131" s="142" t="s">
        <v>323</v>
      </c>
      <c r="C131" s="123" t="s">
        <v>16</v>
      </c>
      <c r="D131" s="142" t="s">
        <v>324</v>
      </c>
      <c r="E131" s="11">
        <v>42000</v>
      </c>
      <c r="F131" s="26">
        <v>1</v>
      </c>
      <c r="G131" s="11">
        <f>Inventario[[#This Row],[COSTO UNITARIO MAYORISTA ]]*Inventario[[#This Row],[CANTIDAD]]</f>
        <v>42000</v>
      </c>
      <c r="H131" s="12">
        <v>0.4</v>
      </c>
      <c r="I131" s="39">
        <v>75000</v>
      </c>
      <c r="J131" s="143">
        <f>Inventario[[#This Row],[PRECIO DE VENTA]]-Inventario[[#This Row],[COSTO UNITARIO MAYORISTA ]]</f>
        <v>33000</v>
      </c>
      <c r="K131" s="14">
        <f>Inventario[[#This Row],[PRECIO UTILIDAD]]/Inventario[[#This Row],[PRECIO DE VENTA]]</f>
        <v>0.44</v>
      </c>
    </row>
    <row r="132" spans="1:11" ht="33" customHeight="1">
      <c r="A132" s="203" t="s">
        <v>325</v>
      </c>
      <c r="B132" s="142" t="s">
        <v>326</v>
      </c>
      <c r="C132" s="123" t="s">
        <v>16</v>
      </c>
      <c r="D132" s="142" t="s">
        <v>327</v>
      </c>
      <c r="E132" s="11">
        <v>37000</v>
      </c>
      <c r="F132" s="26">
        <v>1</v>
      </c>
      <c r="G132" s="11">
        <f>Inventario[[#This Row],[COSTO UNITARIO MAYORISTA ]]*Inventario[[#This Row],[CANTIDAD]]</f>
        <v>37000</v>
      </c>
      <c r="H132" s="12">
        <v>0.4</v>
      </c>
      <c r="I132" s="39">
        <v>65000</v>
      </c>
      <c r="J132" s="143">
        <f>Inventario[[#This Row],[PRECIO DE VENTA]]-Inventario[[#This Row],[COSTO UNITARIO MAYORISTA ]]</f>
        <v>28000</v>
      </c>
      <c r="K132" s="14">
        <f>Inventario[[#This Row],[PRECIO UTILIDAD]]/Inventario[[#This Row],[PRECIO DE VENTA]]</f>
        <v>0.43076923076923079</v>
      </c>
    </row>
    <row r="133" spans="1:11" ht="33" customHeight="1">
      <c r="A133" s="149" t="s">
        <v>328</v>
      </c>
      <c r="B133" s="149" t="s">
        <v>329</v>
      </c>
      <c r="C133" s="123" t="s">
        <v>44</v>
      </c>
      <c r="D133" s="142" t="s">
        <v>330</v>
      </c>
      <c r="E133" s="11">
        <v>6000</v>
      </c>
      <c r="F133" s="26">
        <v>1</v>
      </c>
      <c r="G133" s="41">
        <f>Inventario[[#This Row],[COSTO UNITARIO MAYORISTA ]]*Inventario[[#This Row],[CANTIDAD]]</f>
        <v>6000</v>
      </c>
      <c r="H133" s="12">
        <v>0.4</v>
      </c>
      <c r="I133" s="39">
        <v>12000</v>
      </c>
      <c r="J133" s="143">
        <f>Inventario[[#This Row],[PRECIO DE VENTA]]-Inventario[[#This Row],[COSTO UNITARIO MAYORISTA ]]</f>
        <v>6000</v>
      </c>
      <c r="K133" s="14">
        <f>Inventario[[#This Row],[PRECIO UTILIDAD]]/Inventario[[#This Row],[PRECIO DE VENTA]]</f>
        <v>0.5</v>
      </c>
    </row>
    <row r="134" spans="1:11" ht="33" customHeight="1">
      <c r="A134" s="146" t="s">
        <v>331</v>
      </c>
      <c r="B134" s="142" t="s">
        <v>332</v>
      </c>
      <c r="C134" s="123" t="s">
        <v>67</v>
      </c>
      <c r="D134" s="142" t="s">
        <v>333</v>
      </c>
      <c r="E134" s="11">
        <v>3500</v>
      </c>
      <c r="F134" s="26">
        <v>3</v>
      </c>
      <c r="G134" s="11">
        <f>Inventario[[#This Row],[COSTO UNITARIO MAYORISTA ]]*Inventario[[#This Row],[CANTIDAD]]</f>
        <v>10500</v>
      </c>
      <c r="H134" s="12">
        <v>0.4</v>
      </c>
      <c r="I134" s="39">
        <v>7000</v>
      </c>
      <c r="J134" s="143">
        <f>Inventario[[#This Row],[PRECIO DE VENTA]]-Inventario[[#This Row],[COSTO UNITARIO MAYORISTA ]]</f>
        <v>3500</v>
      </c>
      <c r="K134" s="14">
        <f>Inventario[[#This Row],[PRECIO UTILIDAD]]/Inventario[[#This Row],[PRECIO DE VENTA]]</f>
        <v>0.5</v>
      </c>
    </row>
    <row r="135" spans="1:11" ht="33" customHeight="1">
      <c r="A135" s="92">
        <v>6971010800499</v>
      </c>
      <c r="B135" s="144" t="s">
        <v>334</v>
      </c>
      <c r="C135" s="124" t="s">
        <v>25</v>
      </c>
      <c r="D135" s="144" t="s">
        <v>335</v>
      </c>
      <c r="E135" s="11">
        <v>3500</v>
      </c>
      <c r="F135" s="26">
        <v>53</v>
      </c>
      <c r="G135" s="11">
        <f>Inventario[[#This Row],[COSTO UNITARIO MAYORISTA ]]*Inventario[[#This Row],[CANTIDAD]]</f>
        <v>185500</v>
      </c>
      <c r="H135" s="12">
        <v>0.4</v>
      </c>
      <c r="I135" s="39">
        <v>7000</v>
      </c>
      <c r="J135" s="143">
        <f>Inventario[[#This Row],[PRECIO DE VENTA]]-Inventario[[#This Row],[COSTO UNITARIO MAYORISTA ]]</f>
        <v>3500</v>
      </c>
      <c r="K135" s="14">
        <f>Inventario[[#This Row],[PRECIO UTILIDAD]]/Inventario[[#This Row],[PRECIO DE VENTA]]</f>
        <v>0.5</v>
      </c>
    </row>
    <row r="136" spans="1:11" ht="33" customHeight="1">
      <c r="A136" s="142">
        <v>6970323226378</v>
      </c>
      <c r="B136" s="142" t="s">
        <v>336</v>
      </c>
      <c r="C136" s="123" t="s">
        <v>16</v>
      </c>
      <c r="D136" s="142" t="s">
        <v>337</v>
      </c>
      <c r="E136" s="11">
        <v>19000</v>
      </c>
      <c r="F136" s="26">
        <v>3</v>
      </c>
      <c r="G136" s="11">
        <f>Inventario[[#This Row],[COSTO UNITARIO MAYORISTA ]]*Inventario[[#This Row],[CANTIDAD]]</f>
        <v>57000</v>
      </c>
      <c r="H136" s="12">
        <v>0.4</v>
      </c>
      <c r="I136" s="39">
        <v>40000</v>
      </c>
      <c r="J136" s="143">
        <f>Inventario[[#This Row],[PRECIO DE VENTA]]-Inventario[[#This Row],[COSTO UNITARIO MAYORISTA ]]</f>
        <v>21000</v>
      </c>
      <c r="K136" s="14">
        <f>Inventario[[#This Row],[PRECIO UTILIDAD]]/Inventario[[#This Row],[PRECIO DE VENTA]]</f>
        <v>0.52500000000000002</v>
      </c>
    </row>
    <row r="137" spans="1:11" ht="33" customHeight="1">
      <c r="A137" s="21">
        <v>6953961547791</v>
      </c>
      <c r="B137" s="142" t="s">
        <v>338</v>
      </c>
      <c r="C137" s="123" t="s">
        <v>339</v>
      </c>
      <c r="D137" s="142" t="s">
        <v>340</v>
      </c>
      <c r="E137" s="11">
        <v>3500</v>
      </c>
      <c r="F137" s="26">
        <v>6</v>
      </c>
      <c r="G137" s="41">
        <f>Inventario[[#This Row],[COSTO UNITARIO MAYORISTA ]]*Inventario[[#This Row],[CANTIDAD]]</f>
        <v>21000</v>
      </c>
      <c r="H137" s="12">
        <v>0.4</v>
      </c>
      <c r="I137" s="39">
        <v>6000</v>
      </c>
      <c r="J137" s="143">
        <f>Inventario[[#This Row],[PRECIO DE VENTA]]-Inventario[[#This Row],[COSTO UNITARIO MAYORISTA ]]</f>
        <v>2500</v>
      </c>
      <c r="K137" s="14">
        <f>Inventario[[#This Row],[PRECIO UTILIDAD]]/Inventario[[#This Row],[PRECIO DE VENTA]]</f>
        <v>0.41666666666666669</v>
      </c>
    </row>
    <row r="138" spans="1:11" ht="33" customHeight="1">
      <c r="A138" s="203" t="s">
        <v>341</v>
      </c>
      <c r="B138" s="142" t="s">
        <v>342</v>
      </c>
      <c r="C138" s="123" t="s">
        <v>16</v>
      </c>
      <c r="D138" s="142" t="s">
        <v>343</v>
      </c>
      <c r="E138" s="11">
        <v>5000</v>
      </c>
      <c r="F138" s="26">
        <v>4</v>
      </c>
      <c r="G138" s="11">
        <f>Inventario[[#This Row],[COSTO UNITARIO MAYORISTA ]]*Inventario[[#This Row],[CANTIDAD]]</f>
        <v>20000</v>
      </c>
      <c r="H138" s="12">
        <v>0.4</v>
      </c>
      <c r="I138" s="39">
        <v>12000</v>
      </c>
      <c r="J138" s="143">
        <f>Inventario[[#This Row],[PRECIO DE VENTA]]-Inventario[[#This Row],[COSTO UNITARIO MAYORISTA ]]</f>
        <v>7000</v>
      </c>
      <c r="K138" s="14">
        <f>Inventario[[#This Row],[PRECIO UTILIDAD]]/Inventario[[#This Row],[PRECIO DE VENTA]]</f>
        <v>0.58333333333333337</v>
      </c>
    </row>
    <row r="139" spans="1:11" ht="33" customHeight="1">
      <c r="A139" s="21">
        <v>6970556350604</v>
      </c>
      <c r="B139" s="142" t="s">
        <v>344</v>
      </c>
      <c r="C139" s="123" t="s">
        <v>339</v>
      </c>
      <c r="D139" s="142" t="s">
        <v>345</v>
      </c>
      <c r="E139" s="11">
        <v>70000</v>
      </c>
      <c r="F139" s="26">
        <v>1</v>
      </c>
      <c r="G139" s="41">
        <f>Inventario[[#This Row],[COSTO UNITARIO MAYORISTA ]]*Inventario[[#This Row],[CANTIDAD]]</f>
        <v>70000</v>
      </c>
      <c r="H139" s="12">
        <v>0.4</v>
      </c>
      <c r="I139" s="39">
        <v>110000</v>
      </c>
      <c r="J139" s="143">
        <f>Inventario[[#This Row],[PRECIO DE VENTA]]-Inventario[[#This Row],[COSTO UNITARIO MAYORISTA ]]</f>
        <v>40000</v>
      </c>
      <c r="K139" s="14">
        <f>Inventario[[#This Row],[PRECIO UTILIDAD]]/Inventario[[#This Row],[PRECIO DE VENTA]]</f>
        <v>0.36363636363636365</v>
      </c>
    </row>
    <row r="140" spans="1:11" ht="33" customHeight="1">
      <c r="A140" s="145">
        <v>6973747383238</v>
      </c>
      <c r="B140" s="142" t="s">
        <v>346</v>
      </c>
      <c r="C140" s="123" t="s">
        <v>16</v>
      </c>
      <c r="D140" s="142" t="s">
        <v>346</v>
      </c>
      <c r="E140" s="11">
        <v>15000</v>
      </c>
      <c r="F140" s="26">
        <v>1</v>
      </c>
      <c r="G140" s="11">
        <f>Inventario[[#This Row],[COSTO UNITARIO MAYORISTA ]]*Inventario[[#This Row],[CANTIDAD]]</f>
        <v>15000</v>
      </c>
      <c r="H140" s="12">
        <v>0.4</v>
      </c>
      <c r="I140" s="39">
        <f>Inventario[[#This Row],[COSTO UNITARIO MAYORISTA ]]/(1-Inventario[[#This Row],[MARGEN DE UTILIDAD]])</f>
        <v>25000</v>
      </c>
      <c r="J140" s="143">
        <f>Inventario[[#This Row],[PRECIO DE VENTA]]-Inventario[[#This Row],[COSTO UNITARIO MAYORISTA ]]</f>
        <v>10000</v>
      </c>
      <c r="K140" s="14">
        <f>Inventario[[#This Row],[PRECIO UTILIDAD]]/Inventario[[#This Row],[PRECIO DE VENTA]]</f>
        <v>0.4</v>
      </c>
    </row>
    <row r="141" spans="1:11" ht="33" customHeight="1">
      <c r="A141" s="21" t="s">
        <v>347</v>
      </c>
      <c r="B141" s="142" t="s">
        <v>348</v>
      </c>
      <c r="C141" s="123" t="s">
        <v>349</v>
      </c>
      <c r="D141" s="142" t="s">
        <v>350</v>
      </c>
      <c r="E141" s="11">
        <v>3500</v>
      </c>
      <c r="F141" s="26">
        <v>1</v>
      </c>
      <c r="G141" s="11">
        <f>Inventario[[#This Row],[COSTO UNITARIO MAYORISTA ]]*Inventario[[#This Row],[CANTIDAD]]</f>
        <v>3500</v>
      </c>
      <c r="H141" s="12">
        <v>0.4</v>
      </c>
      <c r="I141" s="39">
        <v>6000</v>
      </c>
      <c r="J141" s="143">
        <f>Inventario[[#This Row],[PRECIO DE VENTA]]-Inventario[[#This Row],[COSTO UNITARIO MAYORISTA ]]</f>
        <v>2500</v>
      </c>
      <c r="K141" s="14">
        <f>Inventario[[#This Row],[PRECIO UTILIDAD]]/Inventario[[#This Row],[PRECIO DE VENTA]]</f>
        <v>0.41666666666666669</v>
      </c>
    </row>
    <row r="142" spans="1:11" ht="33" customHeight="1">
      <c r="A142" s="21">
        <v>6935924452717</v>
      </c>
      <c r="B142" s="142" t="s">
        <v>351</v>
      </c>
      <c r="C142" s="123" t="s">
        <v>349</v>
      </c>
      <c r="D142" s="142" t="s">
        <v>351</v>
      </c>
      <c r="E142" s="11">
        <v>6000</v>
      </c>
      <c r="F142" s="26">
        <v>2</v>
      </c>
      <c r="G142" s="41">
        <f>Inventario[[#This Row],[COSTO UNITARIO MAYORISTA ]]*Inventario[[#This Row],[CANTIDAD]]</f>
        <v>12000</v>
      </c>
      <c r="H142" s="12">
        <v>0.4</v>
      </c>
      <c r="I142" s="39">
        <v>10000</v>
      </c>
      <c r="J142" s="143">
        <f>Inventario[[#This Row],[PRECIO DE VENTA]]-Inventario[[#This Row],[COSTO UNITARIO MAYORISTA ]]</f>
        <v>4000</v>
      </c>
      <c r="K142" s="14">
        <f>Inventario[[#This Row],[PRECIO UTILIDAD]]/Inventario[[#This Row],[PRECIO DE VENTA]]</f>
        <v>0.4</v>
      </c>
    </row>
    <row r="143" spans="1:11" ht="33" customHeight="1">
      <c r="A143" s="145">
        <v>6954855226570</v>
      </c>
      <c r="B143" s="142" t="s">
        <v>352</v>
      </c>
      <c r="C143" s="123" t="s">
        <v>16</v>
      </c>
      <c r="D143" s="142" t="s">
        <v>353</v>
      </c>
      <c r="E143" s="11">
        <v>13000</v>
      </c>
      <c r="F143" s="26">
        <v>2</v>
      </c>
      <c r="G143" s="11">
        <f>Inventario[[#This Row],[COSTO UNITARIO MAYORISTA ]]*Inventario[[#This Row],[CANTIDAD]]</f>
        <v>26000</v>
      </c>
      <c r="H143" s="12">
        <v>0.4</v>
      </c>
      <c r="I143" s="39">
        <v>30000</v>
      </c>
      <c r="J143" s="143">
        <f>Inventario[[#This Row],[PRECIO DE VENTA]]-Inventario[[#This Row],[COSTO UNITARIO MAYORISTA ]]</f>
        <v>17000</v>
      </c>
      <c r="K143" s="14">
        <f>Inventario[[#This Row],[PRECIO UTILIDAD]]/Inventario[[#This Row],[PRECIO DE VENTA]]</f>
        <v>0.56666666666666665</v>
      </c>
    </row>
    <row r="144" spans="1:11" ht="33" customHeight="1">
      <c r="A144" s="21">
        <v>82645847</v>
      </c>
      <c r="B144" s="142" t="s">
        <v>354</v>
      </c>
      <c r="C144" s="123" t="s">
        <v>12</v>
      </c>
      <c r="D144" s="142" t="s">
        <v>355</v>
      </c>
      <c r="E144" s="48">
        <v>5000</v>
      </c>
      <c r="F144" s="26">
        <v>1</v>
      </c>
      <c r="G144" s="41">
        <f>Inventario[[#This Row],[COSTO UNITARIO MAYORISTA ]]*Inventario[[#This Row],[CANTIDAD]]</f>
        <v>5000</v>
      </c>
      <c r="H144" s="12">
        <v>0.4</v>
      </c>
      <c r="I144" s="39">
        <v>9000</v>
      </c>
      <c r="J144" s="143">
        <f>Inventario[[#This Row],[PRECIO DE VENTA]]-Inventario[[#This Row],[COSTO UNITARIO MAYORISTA ]]</f>
        <v>4000</v>
      </c>
      <c r="K144" s="14">
        <f>Inventario[[#This Row],[PRECIO UTILIDAD]]/Inventario[[#This Row],[PRECIO DE VENTA]]</f>
        <v>0.44444444444444442</v>
      </c>
    </row>
    <row r="145" spans="1:11" ht="33" customHeight="1">
      <c r="A145" s="149" t="s">
        <v>356</v>
      </c>
      <c r="B145" s="10" t="s">
        <v>357</v>
      </c>
      <c r="C145" s="15" t="s">
        <v>56</v>
      </c>
      <c r="D145" s="142" t="s">
        <v>358</v>
      </c>
      <c r="E145" s="11">
        <v>7500</v>
      </c>
      <c r="F145" s="26">
        <v>17</v>
      </c>
      <c r="G145" s="41">
        <f>Inventario[[#This Row],[COSTO UNITARIO MAYORISTA ]]*Inventario[[#This Row],[CANTIDAD]]</f>
        <v>127500</v>
      </c>
      <c r="H145" s="12">
        <v>0.4</v>
      </c>
      <c r="I145" s="39">
        <v>10000</v>
      </c>
      <c r="J145" s="143">
        <f>Inventario[[#This Row],[PRECIO DE VENTA]]-Inventario[[#This Row],[COSTO UNITARIO MAYORISTA ]]</f>
        <v>2500</v>
      </c>
      <c r="K145" s="14">
        <f>Inventario[[#This Row],[PRECIO UTILIDAD]]/Inventario[[#This Row],[PRECIO DE VENTA]]</f>
        <v>0.25</v>
      </c>
    </row>
    <row r="146" spans="1:11" ht="33" customHeight="1">
      <c r="A146" s="142" t="s">
        <v>359</v>
      </c>
      <c r="B146" s="142" t="s">
        <v>360</v>
      </c>
      <c r="C146" s="123" t="s">
        <v>25</v>
      </c>
      <c r="D146" s="142" t="s">
        <v>361</v>
      </c>
      <c r="E146" s="11">
        <v>5000</v>
      </c>
      <c r="F146" s="26">
        <v>3</v>
      </c>
      <c r="G146" s="11">
        <f>Inventario[[#This Row],[COSTO UNITARIO MAYORISTA ]]*Inventario[[#This Row],[CANTIDAD]]</f>
        <v>15000</v>
      </c>
      <c r="H146" s="12">
        <v>0.4</v>
      </c>
      <c r="I146" s="39">
        <v>15000</v>
      </c>
      <c r="J146" s="143">
        <f>Inventario[[#This Row],[PRECIO DE VENTA]]-Inventario[[#This Row],[COSTO UNITARIO MAYORISTA ]]</f>
        <v>10000</v>
      </c>
      <c r="K146" s="14">
        <f>Inventario[[#This Row],[PRECIO UTILIDAD]]/Inventario[[#This Row],[PRECIO DE VENTA]]</f>
        <v>0.66666666666666663</v>
      </c>
    </row>
    <row r="147" spans="1:11" ht="33" customHeight="1">
      <c r="A147" s="145" t="s">
        <v>362</v>
      </c>
      <c r="B147" s="142" t="s">
        <v>363</v>
      </c>
      <c r="C147" s="123" t="s">
        <v>56</v>
      </c>
      <c r="D147" s="142" t="s">
        <v>364</v>
      </c>
      <c r="E147" s="11">
        <v>20800</v>
      </c>
      <c r="F147" s="26">
        <v>1</v>
      </c>
      <c r="G147" s="11">
        <f>Inventario[[#This Row],[COSTO UNITARIO MAYORISTA ]]*Inventario[[#This Row],[CANTIDAD]]</f>
        <v>20800</v>
      </c>
      <c r="H147" s="12">
        <v>0.4</v>
      </c>
      <c r="I147" s="39">
        <v>30000</v>
      </c>
      <c r="J147" s="143">
        <f>Inventario[[#This Row],[PRECIO DE VENTA]]-Inventario[[#This Row],[COSTO UNITARIO MAYORISTA ]]</f>
        <v>9200</v>
      </c>
      <c r="K147" s="14">
        <f>Inventario[[#This Row],[PRECIO UTILIDAD]]/Inventario[[#This Row],[PRECIO DE VENTA]]</f>
        <v>0.30666666666666664</v>
      </c>
    </row>
    <row r="148" spans="1:11" ht="33" customHeight="1">
      <c r="A148" s="21">
        <v>6970076223600</v>
      </c>
      <c r="B148" s="142" t="s">
        <v>365</v>
      </c>
      <c r="C148" s="123" t="s">
        <v>202</v>
      </c>
      <c r="D148" s="142" t="s">
        <v>366</v>
      </c>
      <c r="E148" s="11">
        <v>38000</v>
      </c>
      <c r="F148" s="26">
        <v>1</v>
      </c>
      <c r="G148" s="41">
        <f>Inventario[[#This Row],[COSTO UNITARIO MAYORISTA ]]*Inventario[[#This Row],[CANTIDAD]]</f>
        <v>38000</v>
      </c>
      <c r="H148" s="12">
        <v>0.4</v>
      </c>
      <c r="I148" s="39">
        <v>60000</v>
      </c>
      <c r="J148" s="143">
        <f>Inventario[[#This Row],[PRECIO DE VENTA]]-Inventario[[#This Row],[COSTO UNITARIO MAYORISTA ]]</f>
        <v>22000</v>
      </c>
      <c r="K148" s="14">
        <f>Inventario[[#This Row],[PRECIO UTILIDAD]]/Inventario[[#This Row],[PRECIO DE VENTA]]</f>
        <v>0.36666666666666664</v>
      </c>
    </row>
    <row r="149" spans="1:11" ht="33" customHeight="1">
      <c r="A149" s="228" t="s">
        <v>899</v>
      </c>
      <c r="B149" s="142" t="s">
        <v>368</v>
      </c>
      <c r="C149" s="123" t="s">
        <v>25</v>
      </c>
      <c r="D149" s="142" t="s">
        <v>369</v>
      </c>
      <c r="E149" s="11">
        <v>11000</v>
      </c>
      <c r="F149" s="26">
        <v>1</v>
      </c>
      <c r="G149" s="41">
        <f>Inventario[[#This Row],[COSTO UNITARIO MAYORISTA ]]*Inventario[[#This Row],[CANTIDAD]]</f>
        <v>11000</v>
      </c>
      <c r="H149" s="12">
        <v>0.4</v>
      </c>
      <c r="I149" s="39">
        <v>20000</v>
      </c>
      <c r="J149" s="143">
        <f>Inventario[[#This Row],[PRECIO DE VENTA]]-Inventario[[#This Row],[COSTO UNITARIO MAYORISTA ]]</f>
        <v>9000</v>
      </c>
      <c r="K149" s="14">
        <f>Inventario[[#This Row],[PRECIO UTILIDAD]]/Inventario[[#This Row],[PRECIO DE VENTA]]</f>
        <v>0.45</v>
      </c>
    </row>
    <row r="150" spans="1:11" ht="33" customHeight="1">
      <c r="A150" s="225" t="s">
        <v>892</v>
      </c>
      <c r="B150" s="142" t="s">
        <v>368</v>
      </c>
      <c r="C150" s="123" t="s">
        <v>25</v>
      </c>
      <c r="D150" s="142" t="s">
        <v>371</v>
      </c>
      <c r="E150" s="11">
        <v>25000</v>
      </c>
      <c r="F150" s="26">
        <v>1</v>
      </c>
      <c r="G150" s="41">
        <f>Inventario[[#This Row],[COSTO UNITARIO MAYORISTA ]]*Inventario[[#This Row],[CANTIDAD]]</f>
        <v>25000</v>
      </c>
      <c r="H150" s="12">
        <v>0.4</v>
      </c>
      <c r="I150" s="39">
        <v>35000</v>
      </c>
      <c r="J150" s="143">
        <f>Inventario[[#This Row],[PRECIO DE VENTA]]-Inventario[[#This Row],[COSTO UNITARIO MAYORISTA ]]</f>
        <v>10000</v>
      </c>
      <c r="K150" s="14">
        <f>Inventario[[#This Row],[PRECIO UTILIDAD]]/Inventario[[#This Row],[PRECIO DE VENTA]]</f>
        <v>0.2857142857142857</v>
      </c>
    </row>
    <row r="151" spans="1:11" ht="33" customHeight="1">
      <c r="A151" s="145" t="s">
        <v>367</v>
      </c>
      <c r="B151" s="142" t="s">
        <v>372</v>
      </c>
      <c r="C151" s="123" t="s">
        <v>56</v>
      </c>
      <c r="D151" s="142" t="s">
        <v>368</v>
      </c>
      <c r="E151" s="11">
        <v>21000</v>
      </c>
      <c r="F151" s="26">
        <v>1</v>
      </c>
      <c r="G151" s="11">
        <f>Inventario[[#This Row],[COSTO UNITARIO MAYORISTA ]]*Inventario[[#This Row],[CANTIDAD]]</f>
        <v>21000</v>
      </c>
      <c r="H151" s="12">
        <v>0.4</v>
      </c>
      <c r="I151" s="39">
        <f>Inventario[[#This Row],[COSTO UNITARIO MAYORISTA ]]/(1-Inventario[[#This Row],[MARGEN DE UTILIDAD]])</f>
        <v>35000</v>
      </c>
      <c r="J151" s="143">
        <f>Inventario[[#This Row],[PRECIO DE VENTA]]-Inventario[[#This Row],[COSTO UNITARIO MAYORISTA ]]</f>
        <v>14000</v>
      </c>
      <c r="K151" s="14">
        <f>Inventario[[#This Row],[PRECIO UTILIDAD]]/Inventario[[#This Row],[PRECIO DE VENTA]]</f>
        <v>0.4</v>
      </c>
    </row>
    <row r="152" spans="1:11" ht="33" customHeight="1">
      <c r="A152" s="144" t="s">
        <v>373</v>
      </c>
      <c r="B152" s="144" t="s">
        <v>374</v>
      </c>
      <c r="C152" s="124" t="s">
        <v>181</v>
      </c>
      <c r="D152" s="144" t="s">
        <v>375</v>
      </c>
      <c r="E152" s="36">
        <v>18000</v>
      </c>
      <c r="F152" s="37">
        <v>1</v>
      </c>
      <c r="G152" s="42">
        <f>Inventario[[#This Row],[COSTO UNITARIO MAYORISTA ]]*Inventario[[#This Row],[CANTIDAD]]</f>
        <v>18000</v>
      </c>
      <c r="H152" s="12">
        <v>0.4</v>
      </c>
      <c r="I152" s="40">
        <v>35000</v>
      </c>
      <c r="J152" s="143">
        <f>Inventario[[#This Row],[PRECIO DE VENTA]]-Inventario[[#This Row],[COSTO UNITARIO MAYORISTA ]]</f>
        <v>17000</v>
      </c>
      <c r="K152" s="14">
        <f>Inventario[[#This Row],[PRECIO UTILIDAD]]/Inventario[[#This Row],[PRECIO DE VENTA]]</f>
        <v>0.48571428571428571</v>
      </c>
    </row>
    <row r="153" spans="1:11" ht="33" customHeight="1">
      <c r="A153" s="145">
        <v>2024066042741</v>
      </c>
      <c r="B153" s="142" t="s">
        <v>376</v>
      </c>
      <c r="C153" s="123" t="s">
        <v>67</v>
      </c>
      <c r="D153" s="142" t="s">
        <v>377</v>
      </c>
      <c r="E153" s="11">
        <v>3000</v>
      </c>
      <c r="F153" s="26">
        <v>1</v>
      </c>
      <c r="G153" s="11">
        <f>Inventario[[#This Row],[COSTO UNITARIO MAYORISTA ]]*Inventario[[#This Row],[CANTIDAD]]</f>
        <v>3000</v>
      </c>
      <c r="H153" s="12">
        <v>0.4</v>
      </c>
      <c r="I153" s="39">
        <v>6000</v>
      </c>
      <c r="J153" s="143">
        <f>Inventario[[#This Row],[PRECIO DE VENTA]]-Inventario[[#This Row],[COSTO UNITARIO MAYORISTA ]]</f>
        <v>3000</v>
      </c>
      <c r="K153" s="14">
        <f>Inventario[[#This Row],[PRECIO UTILIDAD]]/Inventario[[#This Row],[PRECIO DE VENTA]]</f>
        <v>0.5</v>
      </c>
    </row>
    <row r="154" spans="1:11" ht="33" customHeight="1">
      <c r="A154" s="151" t="s">
        <v>378</v>
      </c>
      <c r="B154" s="142" t="s">
        <v>379</v>
      </c>
      <c r="C154" s="123" t="s">
        <v>56</v>
      </c>
      <c r="D154" s="142" t="s">
        <v>380</v>
      </c>
      <c r="E154" s="11">
        <v>27000</v>
      </c>
      <c r="F154" s="26">
        <v>1</v>
      </c>
      <c r="G154" s="41">
        <f>Inventario[[#This Row],[COSTO UNITARIO MAYORISTA ]]*Inventario[[#This Row],[CANTIDAD]]</f>
        <v>27000</v>
      </c>
      <c r="H154" s="12">
        <v>0.4</v>
      </c>
      <c r="I154" s="39">
        <v>40000</v>
      </c>
      <c r="J154" s="143">
        <f>Inventario[[#This Row],[PRECIO DE VENTA]]-Inventario[[#This Row],[COSTO UNITARIO MAYORISTA ]]</f>
        <v>13000</v>
      </c>
      <c r="K154" s="14">
        <f>Inventario[[#This Row],[PRECIO UTILIDAD]]/Inventario[[#This Row],[PRECIO DE VENTA]]</f>
        <v>0.32500000000000001</v>
      </c>
    </row>
    <row r="155" spans="1:11" ht="33" customHeight="1">
      <c r="A155" s="144">
        <v>6975260472888</v>
      </c>
      <c r="B155" s="144" t="s">
        <v>381</v>
      </c>
      <c r="C155" s="124" t="s">
        <v>52</v>
      </c>
      <c r="D155" s="158" t="s">
        <v>382</v>
      </c>
      <c r="E155" s="36">
        <v>6500</v>
      </c>
      <c r="F155" s="37">
        <v>1</v>
      </c>
      <c r="G155" s="36">
        <f>Inventario[[#This Row],[COSTO UNITARIO MAYORISTA ]]*Inventario[[#This Row],[CANTIDAD]]</f>
        <v>6500</v>
      </c>
      <c r="H155" s="12">
        <v>0.4</v>
      </c>
      <c r="I155" s="40">
        <v>20000</v>
      </c>
      <c r="J155" s="143">
        <f>Inventario[[#This Row],[PRECIO DE VENTA]]-Inventario[[#This Row],[COSTO UNITARIO MAYORISTA ]]</f>
        <v>13500</v>
      </c>
      <c r="K155" s="14">
        <f>Inventario[[#This Row],[PRECIO UTILIDAD]]/Inventario[[#This Row],[PRECIO DE VENTA]]</f>
        <v>0.67500000000000004</v>
      </c>
    </row>
    <row r="156" spans="1:11" ht="33" customHeight="1">
      <c r="A156" s="142" t="s">
        <v>383</v>
      </c>
      <c r="B156" s="142" t="s">
        <v>384</v>
      </c>
      <c r="C156" s="123" t="s">
        <v>67</v>
      </c>
      <c r="D156" s="142" t="s">
        <v>385</v>
      </c>
      <c r="E156" s="11">
        <v>20000</v>
      </c>
      <c r="F156" s="26">
        <v>1</v>
      </c>
      <c r="G156" s="11">
        <f>Inventario[[#This Row],[COSTO UNITARIO MAYORISTA ]]*Inventario[[#This Row],[CANTIDAD]]</f>
        <v>20000</v>
      </c>
      <c r="H156" s="12">
        <v>0.4</v>
      </c>
      <c r="I156" s="40">
        <v>40000</v>
      </c>
      <c r="J156" s="143">
        <f>Inventario[[#This Row],[PRECIO DE VENTA]]-Inventario[[#This Row],[COSTO UNITARIO MAYORISTA ]]</f>
        <v>20000</v>
      </c>
      <c r="K156" s="14">
        <f>Inventario[[#This Row],[PRECIO UTILIDAD]]/Inventario[[#This Row],[PRECIO DE VENTA]]</f>
        <v>0.5</v>
      </c>
    </row>
    <row r="157" spans="1:11" ht="33" customHeight="1">
      <c r="A157" s="21">
        <v>6948509523139</v>
      </c>
      <c r="B157" s="142" t="s">
        <v>386</v>
      </c>
      <c r="C157" s="123" t="s">
        <v>12</v>
      </c>
      <c r="D157" s="142" t="s">
        <v>387</v>
      </c>
      <c r="E157" s="11">
        <v>25000</v>
      </c>
      <c r="F157" s="26">
        <v>1</v>
      </c>
      <c r="G157" s="41">
        <f>Inventario[[#This Row],[COSTO UNITARIO MAYORISTA ]]*Inventario[[#This Row],[CANTIDAD]]</f>
        <v>25000</v>
      </c>
      <c r="H157" s="12">
        <v>0.4</v>
      </c>
      <c r="I157" s="39">
        <v>35000</v>
      </c>
      <c r="J157" s="143">
        <f>Inventario[[#This Row],[PRECIO DE VENTA]]-Inventario[[#This Row],[COSTO UNITARIO MAYORISTA ]]</f>
        <v>10000</v>
      </c>
      <c r="K157" s="14">
        <f>Inventario[[#This Row],[PRECIO UTILIDAD]]/Inventario[[#This Row],[PRECIO DE VENTA]]</f>
        <v>0.2857142857142857</v>
      </c>
    </row>
    <row r="158" spans="1:11" ht="33" customHeight="1">
      <c r="A158" s="228" t="s">
        <v>903</v>
      </c>
      <c r="B158" s="142" t="s">
        <v>388</v>
      </c>
      <c r="C158" s="123" t="s">
        <v>44</v>
      </c>
      <c r="D158" s="142" t="s">
        <v>389</v>
      </c>
      <c r="E158" s="11">
        <v>5000</v>
      </c>
      <c r="F158" s="26">
        <v>1</v>
      </c>
      <c r="G158" s="11">
        <f>Inventario[[#This Row],[COSTO UNITARIO MAYORISTA ]]*Inventario[[#This Row],[CANTIDAD]]</f>
        <v>5000</v>
      </c>
      <c r="H158" s="12">
        <v>0.4</v>
      </c>
      <c r="I158" s="39">
        <v>8000</v>
      </c>
      <c r="J158" s="143">
        <f>Inventario[[#This Row],[PRECIO DE VENTA]]-Inventario[[#This Row],[COSTO UNITARIO MAYORISTA ]]</f>
        <v>3000</v>
      </c>
      <c r="K158" s="14">
        <f>Inventario[[#This Row],[PRECIO UTILIDAD]]/Inventario[[#This Row],[PRECIO DE VENTA]]</f>
        <v>0.375</v>
      </c>
    </row>
    <row r="159" spans="1:11" ht="33" customHeight="1">
      <c r="A159" s="142" t="s">
        <v>390</v>
      </c>
      <c r="B159" s="142" t="s">
        <v>391</v>
      </c>
      <c r="C159" s="123" t="s">
        <v>44</v>
      </c>
      <c r="D159" s="142" t="s">
        <v>392</v>
      </c>
      <c r="E159" s="11">
        <v>7500</v>
      </c>
      <c r="F159" s="26">
        <v>1</v>
      </c>
      <c r="G159" s="41">
        <f>Inventario[[#This Row],[COSTO UNITARIO MAYORISTA ]]*Inventario[[#This Row],[CANTIDAD]]</f>
        <v>7500</v>
      </c>
      <c r="H159" s="12">
        <v>0.4</v>
      </c>
      <c r="I159" s="39">
        <v>15000</v>
      </c>
      <c r="J159" s="143">
        <f>Inventario[[#This Row],[PRECIO DE VENTA]]-Inventario[[#This Row],[COSTO UNITARIO MAYORISTA ]]</f>
        <v>7500</v>
      </c>
      <c r="K159" s="14">
        <f>Inventario[[#This Row],[PRECIO UTILIDAD]]/Inventario[[#This Row],[PRECIO DE VENTA]]</f>
        <v>0.5</v>
      </c>
    </row>
    <row r="160" spans="1:11" ht="33" customHeight="1">
      <c r="A160" s="146" t="s">
        <v>393</v>
      </c>
      <c r="B160" s="142" t="s">
        <v>394</v>
      </c>
      <c r="C160" s="123" t="s">
        <v>25</v>
      </c>
      <c r="D160" s="142" t="s">
        <v>395</v>
      </c>
      <c r="E160" s="11">
        <v>250</v>
      </c>
      <c r="F160" s="26">
        <v>12</v>
      </c>
      <c r="G160" s="11">
        <f>Inventario[[#This Row],[COSTO UNITARIO MAYORISTA ]]*Inventario[[#This Row],[CANTIDAD]]</f>
        <v>3000</v>
      </c>
      <c r="H160" s="12">
        <v>0.4</v>
      </c>
      <c r="I160" s="39">
        <v>500</v>
      </c>
      <c r="J160" s="143">
        <f>Inventario[[#This Row],[PRECIO DE VENTA]]-Inventario[[#This Row],[COSTO UNITARIO MAYORISTA ]]</f>
        <v>250</v>
      </c>
      <c r="K160" s="14">
        <f>Inventario[[#This Row],[PRECIO UTILIDAD]]/Inventario[[#This Row],[PRECIO DE VENTA]]</f>
        <v>0.5</v>
      </c>
    </row>
    <row r="161" spans="1:11" ht="33" customHeight="1">
      <c r="A161" s="142" t="s">
        <v>396</v>
      </c>
      <c r="B161" s="142" t="s">
        <v>397</v>
      </c>
      <c r="C161" s="123" t="s">
        <v>25</v>
      </c>
      <c r="D161" s="142" t="s">
        <v>398</v>
      </c>
      <c r="E161" s="11">
        <v>800</v>
      </c>
      <c r="F161" s="26">
        <v>12</v>
      </c>
      <c r="G161" s="11">
        <f>Inventario[[#This Row],[COSTO UNITARIO MAYORISTA ]]*Inventario[[#This Row],[CANTIDAD]]</f>
        <v>9600</v>
      </c>
      <c r="H161" s="12">
        <v>0.4</v>
      </c>
      <c r="I161" s="39">
        <v>2000</v>
      </c>
      <c r="J161" s="143">
        <f>Inventario[[#This Row],[PRECIO DE VENTA]]-Inventario[[#This Row],[COSTO UNITARIO MAYORISTA ]]</f>
        <v>1200</v>
      </c>
      <c r="K161" s="14">
        <f>Inventario[[#This Row],[PRECIO UTILIDAD]]/Inventario[[#This Row],[PRECIO DE VENTA]]</f>
        <v>0.6</v>
      </c>
    </row>
    <row r="162" spans="1:11" ht="33" customHeight="1">
      <c r="A162" s="21">
        <v>6992226111049</v>
      </c>
      <c r="B162" s="142" t="s">
        <v>399</v>
      </c>
      <c r="C162" s="123" t="s">
        <v>12</v>
      </c>
      <c r="D162" s="142" t="s">
        <v>400</v>
      </c>
      <c r="E162" s="41">
        <v>1000</v>
      </c>
      <c r="F162" s="26">
        <v>1</v>
      </c>
      <c r="G162" s="41">
        <f>Inventario[[#This Row],[COSTO UNITARIO MAYORISTA ]]*Inventario[[#This Row],[CANTIDAD]]</f>
        <v>1000</v>
      </c>
      <c r="H162" s="12">
        <v>0.4</v>
      </c>
      <c r="I162" s="39">
        <v>4000</v>
      </c>
      <c r="J162" s="143">
        <f>Inventario[[#This Row],[PRECIO DE VENTA]]-Inventario[[#This Row],[COSTO UNITARIO MAYORISTA ]]</f>
        <v>3000</v>
      </c>
      <c r="K162" s="14">
        <f>Inventario[[#This Row],[PRECIO UTILIDAD]]/Inventario[[#This Row],[PRECIO DE VENTA]]</f>
        <v>0.75</v>
      </c>
    </row>
    <row r="163" spans="1:11" ht="33" customHeight="1">
      <c r="A163" s="213" t="s">
        <v>401</v>
      </c>
      <c r="B163" s="142" t="s">
        <v>402</v>
      </c>
      <c r="C163" s="123" t="s">
        <v>25</v>
      </c>
      <c r="D163" s="142" t="s">
        <v>403</v>
      </c>
      <c r="E163" s="11">
        <v>3500</v>
      </c>
      <c r="F163" s="26">
        <v>8</v>
      </c>
      <c r="G163" s="11">
        <f>Inventario[[#This Row],[COSTO UNITARIO MAYORISTA ]]*Inventario[[#This Row],[CANTIDAD]]</f>
        <v>28000</v>
      </c>
      <c r="H163" s="12">
        <v>0.4</v>
      </c>
      <c r="I163" s="39">
        <v>7000</v>
      </c>
      <c r="J163" s="143">
        <f>Inventario[[#This Row],[PRECIO DE VENTA]]-Inventario[[#This Row],[COSTO UNITARIO MAYORISTA ]]</f>
        <v>3500</v>
      </c>
      <c r="K163" s="14">
        <f>Inventario[[#This Row],[PRECIO UTILIDAD]]/Inventario[[#This Row],[PRECIO DE VENTA]]</f>
        <v>0.5</v>
      </c>
    </row>
    <row r="164" spans="1:11" ht="33" customHeight="1">
      <c r="A164" s="142">
        <v>6982023157050</v>
      </c>
      <c r="B164" s="142" t="s">
        <v>404</v>
      </c>
      <c r="C164" s="123" t="s">
        <v>16</v>
      </c>
      <c r="D164" s="142" t="s">
        <v>405</v>
      </c>
      <c r="E164" s="11">
        <v>4000</v>
      </c>
      <c r="F164" s="26">
        <v>3</v>
      </c>
      <c r="G164" s="11">
        <f>Inventario[[#This Row],[COSTO UNITARIO MAYORISTA ]]*Inventario[[#This Row],[CANTIDAD]]</f>
        <v>12000</v>
      </c>
      <c r="H164" s="12">
        <v>0.4</v>
      </c>
      <c r="I164" s="39">
        <v>7000</v>
      </c>
      <c r="J164" s="143">
        <f>Inventario[[#This Row],[PRECIO DE VENTA]]-Inventario[[#This Row],[COSTO UNITARIO MAYORISTA ]]</f>
        <v>3000</v>
      </c>
      <c r="K164" s="14">
        <f>Inventario[[#This Row],[PRECIO UTILIDAD]]/Inventario[[#This Row],[PRECIO DE VENTA]]</f>
        <v>0.42857142857142855</v>
      </c>
    </row>
    <row r="165" spans="1:11" ht="33" customHeight="1">
      <c r="A165" s="21">
        <v>6971288310157</v>
      </c>
      <c r="B165" s="142" t="s">
        <v>406</v>
      </c>
      <c r="C165" s="123" t="s">
        <v>185</v>
      </c>
      <c r="D165" s="142" t="s">
        <v>407</v>
      </c>
      <c r="E165" s="11">
        <v>15000</v>
      </c>
      <c r="F165" s="26">
        <v>1</v>
      </c>
      <c r="G165" s="41">
        <f>Inventario[[#This Row],[COSTO UNITARIO MAYORISTA ]]*Inventario[[#This Row],[CANTIDAD]]</f>
        <v>15000</v>
      </c>
      <c r="H165" s="12">
        <v>0.4</v>
      </c>
      <c r="I165" s="39">
        <v>23000</v>
      </c>
      <c r="J165" s="143">
        <f>Inventario[[#This Row],[PRECIO DE VENTA]]-Inventario[[#This Row],[COSTO UNITARIO MAYORISTA ]]</f>
        <v>8000</v>
      </c>
      <c r="K165" s="14">
        <f>Inventario[[#This Row],[PRECIO UTILIDAD]]/Inventario[[#This Row],[PRECIO DE VENTA]]</f>
        <v>0.34782608695652173</v>
      </c>
    </row>
    <row r="166" spans="1:11" ht="33" customHeight="1">
      <c r="A166" s="21">
        <v>6984178621691</v>
      </c>
      <c r="B166" s="142" t="s">
        <v>408</v>
      </c>
      <c r="C166" s="123" t="s">
        <v>12</v>
      </c>
      <c r="D166" s="142" t="s">
        <v>409</v>
      </c>
      <c r="E166" s="11">
        <v>25000</v>
      </c>
      <c r="F166" s="26">
        <v>2</v>
      </c>
      <c r="G166" s="41">
        <f>Inventario[[#This Row],[COSTO UNITARIO MAYORISTA ]]*Inventario[[#This Row],[CANTIDAD]]</f>
        <v>50000</v>
      </c>
      <c r="H166" s="12">
        <v>0.4</v>
      </c>
      <c r="I166" s="39">
        <v>40000</v>
      </c>
      <c r="J166" s="143">
        <f>Inventario[[#This Row],[PRECIO DE VENTA]]-Inventario[[#This Row],[COSTO UNITARIO MAYORISTA ]]</f>
        <v>15000</v>
      </c>
      <c r="K166" s="14">
        <f>Inventario[[#This Row],[PRECIO UTILIDAD]]/Inventario[[#This Row],[PRECIO DE VENTA]]</f>
        <v>0.375</v>
      </c>
    </row>
    <row r="167" spans="1:11" ht="33" customHeight="1">
      <c r="A167" s="142" t="s">
        <v>410</v>
      </c>
      <c r="B167" s="149" t="s">
        <v>411</v>
      </c>
      <c r="C167" s="10" t="s">
        <v>412</v>
      </c>
      <c r="D167" s="15" t="s">
        <v>56</v>
      </c>
      <c r="E167" s="11">
        <v>50000</v>
      </c>
      <c r="F167" s="26">
        <v>1</v>
      </c>
      <c r="G167" s="11">
        <f>Inventario[[#This Row],[COSTO UNITARIO MAYORISTA ]]*Inventario[[#This Row],[CANTIDAD]]</f>
        <v>50000</v>
      </c>
      <c r="H167" s="12">
        <v>0.4</v>
      </c>
      <c r="I167" s="39">
        <v>70000</v>
      </c>
      <c r="J167" s="143">
        <f>Inventario[[#This Row],[PRECIO DE VENTA]]-Inventario[[#This Row],[COSTO UNITARIO MAYORISTA ]]</f>
        <v>20000</v>
      </c>
      <c r="K167" s="14">
        <f>Inventario[[#This Row],[PRECIO UTILIDAD]]/Inventario[[#This Row],[PRECIO DE VENTA]]</f>
        <v>0.2857142857142857</v>
      </c>
    </row>
    <row r="168" spans="1:11" ht="33" customHeight="1">
      <c r="A168" s="144" t="s">
        <v>413</v>
      </c>
      <c r="B168" s="144" t="s">
        <v>414</v>
      </c>
      <c r="C168" s="124" t="s">
        <v>56</v>
      </c>
      <c r="D168" s="144" t="s">
        <v>415</v>
      </c>
      <c r="E168" s="36">
        <v>13000</v>
      </c>
      <c r="F168" s="37">
        <v>2</v>
      </c>
      <c r="G168" s="11">
        <f>Inventario[[#This Row],[COSTO UNITARIO MAYORISTA ]]*Inventario[[#This Row],[CANTIDAD]]</f>
        <v>26000</v>
      </c>
      <c r="H168" s="12">
        <v>0.4</v>
      </c>
      <c r="I168" s="40">
        <v>20000</v>
      </c>
      <c r="J168" s="143">
        <f>Inventario[[#This Row],[PRECIO DE VENTA]]-Inventario[[#This Row],[COSTO UNITARIO MAYORISTA ]]</f>
        <v>7000</v>
      </c>
      <c r="K168" s="14">
        <f>Inventario[[#This Row],[PRECIO UTILIDAD]]/Inventario[[#This Row],[PRECIO DE VENTA]]</f>
        <v>0.35</v>
      </c>
    </row>
    <row r="169" spans="1:11" ht="33" customHeight="1">
      <c r="A169" s="225" t="s">
        <v>900</v>
      </c>
      <c r="B169" s="142" t="s">
        <v>417</v>
      </c>
      <c r="C169" s="123" t="s">
        <v>418</v>
      </c>
      <c r="D169" s="142" t="s">
        <v>419</v>
      </c>
      <c r="E169" s="11">
        <v>3500</v>
      </c>
      <c r="F169" s="26">
        <v>8</v>
      </c>
      <c r="G169" s="11">
        <f>Inventario[[#This Row],[COSTO UNITARIO MAYORISTA ]]*Inventario[[#This Row],[CANTIDAD]]</f>
        <v>28000</v>
      </c>
      <c r="H169" s="12">
        <v>0.4</v>
      </c>
      <c r="I169" s="39">
        <v>8000</v>
      </c>
      <c r="J169" s="143">
        <f>Inventario[[#This Row],[PRECIO DE VENTA]]-Inventario[[#This Row],[COSTO UNITARIO MAYORISTA ]]</f>
        <v>4500</v>
      </c>
      <c r="K169" s="14">
        <f>Inventario[[#This Row],[PRECIO UTILIDAD]]/Inventario[[#This Row],[PRECIO DE VENTA]]</f>
        <v>0.5625</v>
      </c>
    </row>
    <row r="170" spans="1:11" ht="33" customHeight="1">
      <c r="A170" s="145" t="s">
        <v>420</v>
      </c>
      <c r="B170" s="142" t="s">
        <v>421</v>
      </c>
      <c r="C170" s="123" t="s">
        <v>44</v>
      </c>
      <c r="D170" s="142" t="s">
        <v>421</v>
      </c>
      <c r="E170" s="11">
        <v>3000</v>
      </c>
      <c r="F170" s="26">
        <v>1</v>
      </c>
      <c r="G170" s="11">
        <f>Inventario[[#This Row],[COSTO UNITARIO MAYORISTA ]]*Inventario[[#This Row],[CANTIDAD]]</f>
        <v>3000</v>
      </c>
      <c r="H170" s="12">
        <v>0.4</v>
      </c>
      <c r="I170" s="39">
        <f>Inventario[[#This Row],[COSTO UNITARIO MAYORISTA ]]/(1-Inventario[[#This Row],[MARGEN DE UTILIDAD]])</f>
        <v>5000</v>
      </c>
      <c r="J170" s="143">
        <f>Inventario[[#This Row],[PRECIO DE VENTA]]-Inventario[[#This Row],[COSTO UNITARIO MAYORISTA ]]</f>
        <v>2000</v>
      </c>
      <c r="K170" s="14">
        <f>Inventario[[#This Row],[PRECIO UTILIDAD]]/Inventario[[#This Row],[PRECIO DE VENTA]]</f>
        <v>0.4</v>
      </c>
    </row>
    <row r="171" spans="1:11" ht="33" customHeight="1">
      <c r="A171" s="219" t="s">
        <v>885</v>
      </c>
      <c r="B171" s="10" t="s">
        <v>422</v>
      </c>
      <c r="C171" s="10" t="s">
        <v>185</v>
      </c>
      <c r="D171" s="10" t="s">
        <v>423</v>
      </c>
      <c r="E171" s="11">
        <v>60000</v>
      </c>
      <c r="F171" s="26">
        <v>1</v>
      </c>
      <c r="G171" s="11">
        <f>Inventario[[#This Row],[COSTO UNITARIO MAYORISTA ]]*Inventario[[#This Row],[CANTIDAD]]</f>
        <v>60000</v>
      </c>
      <c r="H171" s="12">
        <v>0.4</v>
      </c>
      <c r="I171" s="39">
        <v>110000</v>
      </c>
      <c r="J171" s="143">
        <f>Inventario[[#This Row],[PRECIO DE VENTA]]-Inventario[[#This Row],[COSTO UNITARIO MAYORISTA ]]</f>
        <v>50000</v>
      </c>
      <c r="K171" s="14">
        <f>Inventario[[#This Row],[PRECIO UTILIDAD]]/Inventario[[#This Row],[PRECIO DE VENTA]]</f>
        <v>0.45454545454545453</v>
      </c>
    </row>
    <row r="172" spans="1:11" ht="33" customHeight="1">
      <c r="A172" s="142" t="s">
        <v>424</v>
      </c>
      <c r="B172" s="142" t="s">
        <v>425</v>
      </c>
      <c r="C172" s="123" t="s">
        <v>52</v>
      </c>
      <c r="D172" s="142" t="s">
        <v>426</v>
      </c>
      <c r="E172" s="11">
        <v>65000</v>
      </c>
      <c r="F172" s="26">
        <v>1</v>
      </c>
      <c r="G172" s="11">
        <f>Inventario[[#This Row],[COSTO UNITARIO MAYORISTA ]]*Inventario[[#This Row],[CANTIDAD]]</f>
        <v>65000</v>
      </c>
      <c r="H172" s="12">
        <v>0.4</v>
      </c>
      <c r="I172" s="39">
        <v>110000</v>
      </c>
      <c r="J172" s="143">
        <f>Inventario[[#This Row],[PRECIO DE VENTA]]-Inventario[[#This Row],[COSTO UNITARIO MAYORISTA ]]</f>
        <v>45000</v>
      </c>
      <c r="K172" s="14">
        <f>Inventario[[#This Row],[PRECIO UTILIDAD]]/Inventario[[#This Row],[PRECIO DE VENTA]]</f>
        <v>0.40909090909090912</v>
      </c>
    </row>
    <row r="173" spans="1:11" ht="33" customHeight="1">
      <c r="A173" s="21">
        <v>6954720451793</v>
      </c>
      <c r="B173" s="142" t="s">
        <v>427</v>
      </c>
      <c r="C173" s="123" t="s">
        <v>202</v>
      </c>
      <c r="D173" s="142" t="s">
        <v>428</v>
      </c>
      <c r="E173" s="11">
        <v>16000</v>
      </c>
      <c r="F173" s="26">
        <v>1</v>
      </c>
      <c r="G173" s="41">
        <f>Inventario[[#This Row],[COSTO UNITARIO MAYORISTA ]]*Inventario[[#This Row],[CANTIDAD]]</f>
        <v>16000</v>
      </c>
      <c r="H173" s="12">
        <v>0.4</v>
      </c>
      <c r="I173" s="39">
        <v>30000</v>
      </c>
      <c r="J173" s="143">
        <f>Inventario[[#This Row],[PRECIO DE VENTA]]-Inventario[[#This Row],[COSTO UNITARIO MAYORISTA ]]</f>
        <v>14000</v>
      </c>
      <c r="K173" s="14">
        <f>Inventario[[#This Row],[PRECIO UTILIDAD]]/Inventario[[#This Row],[PRECIO DE VENTA]]</f>
        <v>0.46666666666666667</v>
      </c>
    </row>
    <row r="174" spans="1:11" ht="33" customHeight="1">
      <c r="A174" s="151" t="s">
        <v>429</v>
      </c>
      <c r="B174" s="142" t="s">
        <v>430</v>
      </c>
      <c r="C174" s="123" t="s">
        <v>44</v>
      </c>
      <c r="D174" s="142" t="s">
        <v>431</v>
      </c>
      <c r="E174" s="11">
        <v>21000</v>
      </c>
      <c r="F174" s="26">
        <v>1</v>
      </c>
      <c r="G174" s="11">
        <f>Inventario[[#This Row],[COSTO UNITARIO MAYORISTA ]]*Inventario[[#This Row],[CANTIDAD]]</f>
        <v>21000</v>
      </c>
      <c r="H174" s="12">
        <v>0.4</v>
      </c>
      <c r="I174" s="39">
        <f>Inventario[[#This Row],[COSTO UNITARIO MAYORISTA ]]/(1-Inventario[[#This Row],[MARGEN DE UTILIDAD]])</f>
        <v>35000</v>
      </c>
      <c r="J174" s="143">
        <f>Inventario[[#This Row],[PRECIO DE VENTA]]-Inventario[[#This Row],[COSTO UNITARIO MAYORISTA ]]</f>
        <v>14000</v>
      </c>
      <c r="K174" s="14">
        <f>Inventario[[#This Row],[PRECIO UTILIDAD]]/Inventario[[#This Row],[PRECIO DE VENTA]]</f>
        <v>0.4</v>
      </c>
    </row>
    <row r="175" spans="1:11" ht="33" customHeight="1">
      <c r="A175" s="77">
        <v>6909620885865</v>
      </c>
      <c r="B175" s="142" t="s">
        <v>432</v>
      </c>
      <c r="C175" s="123" t="s">
        <v>12</v>
      </c>
      <c r="D175" s="142" t="s">
        <v>433</v>
      </c>
      <c r="E175" s="11">
        <v>2000</v>
      </c>
      <c r="F175" s="26">
        <v>2</v>
      </c>
      <c r="G175" s="41">
        <f>Inventario[[#This Row],[COSTO UNITARIO MAYORISTA ]]*Inventario[[#This Row],[CANTIDAD]]</f>
        <v>4000</v>
      </c>
      <c r="H175" s="12">
        <v>0.4</v>
      </c>
      <c r="I175" s="39">
        <v>5000</v>
      </c>
      <c r="J175" s="143">
        <f>Inventario[[#This Row],[PRECIO DE VENTA]]-Inventario[[#This Row],[COSTO UNITARIO MAYORISTA ]]</f>
        <v>3000</v>
      </c>
      <c r="K175" s="14">
        <f>Inventario[[#This Row],[PRECIO UTILIDAD]]/Inventario[[#This Row],[PRECIO DE VENTA]]</f>
        <v>0.6</v>
      </c>
    </row>
    <row r="176" spans="1:11" ht="33" customHeight="1">
      <c r="A176" s="21">
        <v>6972423478022</v>
      </c>
      <c r="B176" s="142" t="s">
        <v>434</v>
      </c>
      <c r="C176" s="123" t="s">
        <v>12</v>
      </c>
      <c r="D176" s="142" t="s">
        <v>435</v>
      </c>
      <c r="E176" s="48">
        <v>3500</v>
      </c>
      <c r="F176" s="26">
        <v>2</v>
      </c>
      <c r="G176" s="41">
        <f>Inventario[[#This Row],[COSTO UNITARIO MAYORISTA ]]*Inventario[[#This Row],[CANTIDAD]]</f>
        <v>7000</v>
      </c>
      <c r="H176" s="12">
        <v>0.4</v>
      </c>
      <c r="I176" s="39">
        <v>6000</v>
      </c>
      <c r="J176" s="143">
        <f>Inventario[[#This Row],[PRECIO DE VENTA]]-Inventario[[#This Row],[COSTO UNITARIO MAYORISTA ]]</f>
        <v>2500</v>
      </c>
      <c r="K176" s="14">
        <f>Inventario[[#This Row],[PRECIO UTILIDAD]]/Inventario[[#This Row],[PRECIO DE VENTA]]</f>
        <v>0.41666666666666669</v>
      </c>
    </row>
    <row r="177" spans="1:11" ht="33" customHeight="1">
      <c r="A177" s="238" t="s">
        <v>911</v>
      </c>
      <c r="B177" s="142" t="s">
        <v>437</v>
      </c>
      <c r="C177" s="123" t="s">
        <v>67</v>
      </c>
      <c r="D177" s="142" t="s">
        <v>438</v>
      </c>
      <c r="E177" s="11">
        <v>14000</v>
      </c>
      <c r="F177" s="26">
        <v>2</v>
      </c>
      <c r="G177" s="41">
        <f>Inventario[[#This Row],[COSTO UNITARIO MAYORISTA ]]*Inventario[[#This Row],[CANTIDAD]]</f>
        <v>28000</v>
      </c>
      <c r="H177" s="12">
        <v>0.4</v>
      </c>
      <c r="I177" s="39">
        <v>25000</v>
      </c>
      <c r="J177" s="143">
        <f>Inventario[[#This Row],[PRECIO DE VENTA]]-Inventario[[#This Row],[COSTO UNITARIO MAYORISTA ]]</f>
        <v>11000</v>
      </c>
      <c r="K177" s="14">
        <f>Inventario[[#This Row],[PRECIO UTILIDAD]]/Inventario[[#This Row],[PRECIO DE VENTA]]</f>
        <v>0.44</v>
      </c>
    </row>
    <row r="178" spans="1:11" ht="33" customHeight="1">
      <c r="A178" s="21">
        <v>4512155179518</v>
      </c>
      <c r="B178" s="142" t="s">
        <v>439</v>
      </c>
      <c r="C178" s="123" t="s">
        <v>440</v>
      </c>
      <c r="D178" s="142" t="s">
        <v>441</v>
      </c>
      <c r="E178" s="11">
        <v>5000</v>
      </c>
      <c r="F178" s="26">
        <v>1</v>
      </c>
      <c r="G178" s="41">
        <f>Inventario[[#This Row],[COSTO UNITARIO MAYORISTA ]]*Inventario[[#This Row],[CANTIDAD]]</f>
        <v>5000</v>
      </c>
      <c r="H178" s="12">
        <v>0.4</v>
      </c>
      <c r="I178" s="39">
        <v>15000</v>
      </c>
      <c r="J178" s="143">
        <f>Inventario[[#This Row],[PRECIO DE VENTA]]-Inventario[[#This Row],[COSTO UNITARIO MAYORISTA ]]</f>
        <v>10000</v>
      </c>
      <c r="K178" s="14">
        <f>Inventario[[#This Row],[PRECIO UTILIDAD]]/Inventario[[#This Row],[PRECIO DE VENTA]]</f>
        <v>0.66666666666666663</v>
      </c>
    </row>
    <row r="179" spans="1:11" ht="33" customHeight="1">
      <c r="A179" s="21">
        <v>6975320531937</v>
      </c>
      <c r="B179" s="142" t="s">
        <v>442</v>
      </c>
      <c r="C179" s="123" t="s">
        <v>12</v>
      </c>
      <c r="D179" s="142" t="s">
        <v>443</v>
      </c>
      <c r="E179" s="11">
        <v>7000</v>
      </c>
      <c r="F179" s="26">
        <v>1</v>
      </c>
      <c r="G179" s="11">
        <f>Inventario[[#This Row],[COSTO UNITARIO MAYORISTA ]]*Inventario[[#This Row],[CANTIDAD]]</f>
        <v>7000</v>
      </c>
      <c r="H179" s="12">
        <v>0.4</v>
      </c>
      <c r="I179" s="39">
        <v>15000</v>
      </c>
      <c r="J179" s="143">
        <f>Inventario[[#This Row],[PRECIO DE VENTA]]-Inventario[[#This Row],[COSTO UNITARIO MAYORISTA ]]</f>
        <v>8000</v>
      </c>
      <c r="K179" s="14">
        <f>Inventario[[#This Row],[PRECIO UTILIDAD]]/Inventario[[#This Row],[PRECIO DE VENTA]]</f>
        <v>0.53333333333333333</v>
      </c>
    </row>
    <row r="180" spans="1:11" ht="33" customHeight="1">
      <c r="A180" s="35">
        <v>6934520143678</v>
      </c>
      <c r="B180" s="144" t="s">
        <v>444</v>
      </c>
      <c r="C180" s="124" t="s">
        <v>12</v>
      </c>
      <c r="D180" s="144" t="s">
        <v>445</v>
      </c>
      <c r="E180" s="41">
        <v>2800</v>
      </c>
      <c r="F180" s="26">
        <v>2</v>
      </c>
      <c r="G180" s="41">
        <f>Inventario[[#This Row],[COSTO UNITARIO MAYORISTA ]]*Inventario[[#This Row],[CANTIDAD]]</f>
        <v>5600</v>
      </c>
      <c r="H180" s="12">
        <v>0.4</v>
      </c>
      <c r="I180" s="39">
        <v>8000</v>
      </c>
      <c r="J180" s="143">
        <f>Inventario[[#This Row],[PRECIO DE VENTA]]-Inventario[[#This Row],[COSTO UNITARIO MAYORISTA ]]</f>
        <v>5200</v>
      </c>
      <c r="K180" s="14">
        <f>Inventario[[#This Row],[PRECIO UTILIDAD]]/Inventario[[#This Row],[PRECIO DE VENTA]]</f>
        <v>0.65</v>
      </c>
    </row>
    <row r="181" spans="1:11" ht="33" customHeight="1">
      <c r="A181" s="35">
        <v>6934520143067</v>
      </c>
      <c r="B181" s="144" t="s">
        <v>444</v>
      </c>
      <c r="C181" s="124" t="s">
        <v>12</v>
      </c>
      <c r="D181" s="144" t="s">
        <v>446</v>
      </c>
      <c r="E181" s="42">
        <v>2800</v>
      </c>
      <c r="F181" s="37">
        <v>2</v>
      </c>
      <c r="G181" s="42">
        <f>Inventario[[#This Row],[COSTO UNITARIO MAYORISTA ]]*Inventario[[#This Row],[CANTIDAD]]</f>
        <v>5600</v>
      </c>
      <c r="H181" s="12">
        <v>0.4</v>
      </c>
      <c r="I181" s="40">
        <v>8000</v>
      </c>
      <c r="J181" s="143">
        <f>Inventario[[#This Row],[PRECIO DE VENTA]]-Inventario[[#This Row],[COSTO UNITARIO MAYORISTA ]]</f>
        <v>5200</v>
      </c>
      <c r="K181" s="14">
        <f>Inventario[[#This Row],[PRECIO UTILIDAD]]/Inventario[[#This Row],[PRECIO DE VENTA]]</f>
        <v>0.65</v>
      </c>
    </row>
    <row r="182" spans="1:11" ht="33" customHeight="1">
      <c r="A182" s="21">
        <v>6934520170438</v>
      </c>
      <c r="B182" s="142" t="s">
        <v>444</v>
      </c>
      <c r="C182" s="124" t="s">
        <v>12</v>
      </c>
      <c r="D182" s="142" t="s">
        <v>447</v>
      </c>
      <c r="E182" s="41">
        <v>2800</v>
      </c>
      <c r="F182" s="26">
        <v>1</v>
      </c>
      <c r="G182" s="41">
        <f>Inventario[[#This Row],[COSTO UNITARIO MAYORISTA ]]*Inventario[[#This Row],[CANTIDAD]]</f>
        <v>2800</v>
      </c>
      <c r="H182" s="12">
        <v>0.4</v>
      </c>
      <c r="I182" s="39">
        <v>8000</v>
      </c>
      <c r="J182" s="143">
        <f>Inventario[[#This Row],[PRECIO DE VENTA]]-Inventario[[#This Row],[COSTO UNITARIO MAYORISTA ]]</f>
        <v>5200</v>
      </c>
      <c r="K182" s="14">
        <f>Inventario[[#This Row],[PRECIO UTILIDAD]]/Inventario[[#This Row],[PRECIO DE VENTA]]</f>
        <v>0.65</v>
      </c>
    </row>
    <row r="183" spans="1:11" ht="33" customHeight="1">
      <c r="A183" s="21">
        <v>6934520146020</v>
      </c>
      <c r="B183" s="142" t="s">
        <v>448</v>
      </c>
      <c r="C183" s="124" t="s">
        <v>12</v>
      </c>
      <c r="D183" s="142" t="s">
        <v>448</v>
      </c>
      <c r="E183" s="11">
        <v>2800</v>
      </c>
      <c r="F183" s="26">
        <v>1</v>
      </c>
      <c r="G183" s="41">
        <f>Inventario[[#This Row],[COSTO UNITARIO MAYORISTA ]]*Inventario[[#This Row],[CANTIDAD]]</f>
        <v>2800</v>
      </c>
      <c r="H183" s="12">
        <v>0.4</v>
      </c>
      <c r="I183" s="39">
        <v>8000</v>
      </c>
      <c r="J183" s="143">
        <f>Inventario[[#This Row],[PRECIO DE VENTA]]-Inventario[[#This Row],[COSTO UNITARIO MAYORISTA ]]</f>
        <v>5200</v>
      </c>
      <c r="K183" s="14">
        <f>Inventario[[#This Row],[PRECIO UTILIDAD]]/Inventario[[#This Row],[PRECIO DE VENTA]]</f>
        <v>0.65</v>
      </c>
    </row>
    <row r="184" spans="1:11" ht="33" customHeight="1">
      <c r="A184" s="142" t="s">
        <v>449</v>
      </c>
      <c r="B184" s="142" t="s">
        <v>450</v>
      </c>
      <c r="C184" s="123" t="s">
        <v>451</v>
      </c>
      <c r="D184" s="123" t="s">
        <v>452</v>
      </c>
      <c r="E184" s="11">
        <v>14500</v>
      </c>
      <c r="F184" s="26">
        <v>1</v>
      </c>
      <c r="G184" s="41">
        <f>Inventario[[#This Row],[COSTO UNITARIO MAYORISTA ]]*Inventario[[#This Row],[CANTIDAD]]</f>
        <v>14500</v>
      </c>
      <c r="H184" s="12">
        <v>0.4</v>
      </c>
      <c r="I184" s="39">
        <v>30000</v>
      </c>
      <c r="J184" s="143">
        <f>Inventario[[#This Row],[PRECIO DE VENTA]]-Inventario[[#This Row],[COSTO UNITARIO MAYORISTA ]]</f>
        <v>15500</v>
      </c>
      <c r="K184" s="14">
        <f>Inventario[[#This Row],[PRECIO UTILIDAD]]/Inventario[[#This Row],[PRECIO DE VENTA]]</f>
        <v>0.51666666666666672</v>
      </c>
    </row>
    <row r="185" spans="1:11" ht="33" customHeight="1">
      <c r="A185" s="77">
        <v>6971010807337</v>
      </c>
      <c r="B185" s="142" t="s">
        <v>453</v>
      </c>
      <c r="C185" s="123" t="s">
        <v>12</v>
      </c>
      <c r="D185" s="142" t="s">
        <v>454</v>
      </c>
      <c r="E185" s="11">
        <v>3600</v>
      </c>
      <c r="F185" s="26">
        <v>3</v>
      </c>
      <c r="G185" s="41">
        <f>Inventario[[#This Row],[COSTO UNITARIO MAYORISTA ]]*Inventario[[#This Row],[CANTIDAD]]</f>
        <v>10800</v>
      </c>
      <c r="H185" s="12">
        <v>0.4</v>
      </c>
      <c r="I185" s="39">
        <v>4500</v>
      </c>
      <c r="J185" s="143">
        <f>Inventario[[#This Row],[PRECIO DE VENTA]]-Inventario[[#This Row],[COSTO UNITARIO MAYORISTA ]]</f>
        <v>900</v>
      </c>
      <c r="K185" s="14">
        <f>Inventario[[#This Row],[PRECIO UTILIDAD]]/Inventario[[#This Row],[PRECIO DE VENTA]]</f>
        <v>0.2</v>
      </c>
    </row>
    <row r="186" spans="1:11" ht="33" customHeight="1">
      <c r="A186" s="142" t="s">
        <v>455</v>
      </c>
      <c r="B186" s="142" t="s">
        <v>456</v>
      </c>
      <c r="C186" s="123" t="s">
        <v>25</v>
      </c>
      <c r="D186" s="142" t="s">
        <v>457</v>
      </c>
      <c r="E186" s="11">
        <v>9000</v>
      </c>
      <c r="F186" s="26">
        <v>1</v>
      </c>
      <c r="G186" s="11">
        <f>Inventario[[#This Row],[COSTO UNITARIO MAYORISTA ]]*Inventario[[#This Row],[CANTIDAD]]</f>
        <v>9000</v>
      </c>
      <c r="H186" s="12">
        <v>0.4</v>
      </c>
      <c r="I186" s="39">
        <v>20000</v>
      </c>
      <c r="J186" s="143">
        <f>Inventario[[#This Row],[PRECIO DE VENTA]]-Inventario[[#This Row],[COSTO UNITARIO MAYORISTA ]]</f>
        <v>11000</v>
      </c>
      <c r="K186" s="14">
        <f>Inventario[[#This Row],[PRECIO UTILIDAD]]/Inventario[[#This Row],[PRECIO DE VENTA]]</f>
        <v>0.55000000000000004</v>
      </c>
    </row>
    <row r="187" spans="1:11" ht="33" customHeight="1">
      <c r="A187" s="142" t="s">
        <v>458</v>
      </c>
      <c r="B187" s="142" t="s">
        <v>459</v>
      </c>
      <c r="C187" s="123" t="s">
        <v>37</v>
      </c>
      <c r="D187" s="142" t="s">
        <v>460</v>
      </c>
      <c r="E187" s="11">
        <v>3000</v>
      </c>
      <c r="F187" s="26">
        <v>34</v>
      </c>
      <c r="G187" s="11">
        <f>Inventario[[#This Row],[COSTO UNITARIO MAYORISTA ]]*Inventario[[#This Row],[CANTIDAD]]</f>
        <v>102000</v>
      </c>
      <c r="H187" s="12">
        <v>0.4</v>
      </c>
      <c r="I187" s="39">
        <v>7000</v>
      </c>
      <c r="J187" s="143">
        <f>Inventario[[#This Row],[PRECIO DE VENTA]]-Inventario[[#This Row],[COSTO UNITARIO MAYORISTA ]]</f>
        <v>4000</v>
      </c>
      <c r="K187" s="14">
        <f>Inventario[[#This Row],[PRECIO UTILIDAD]]/Inventario[[#This Row],[PRECIO DE VENTA]]</f>
        <v>0.5714285714285714</v>
      </c>
    </row>
    <row r="188" spans="1:11" ht="33" customHeight="1">
      <c r="A188" s="142" t="s">
        <v>461</v>
      </c>
      <c r="B188" s="142" t="s">
        <v>462</v>
      </c>
      <c r="C188" s="123" t="s">
        <v>12</v>
      </c>
      <c r="D188" s="142" t="s">
        <v>463</v>
      </c>
      <c r="E188" s="11">
        <v>33000</v>
      </c>
      <c r="F188" s="26">
        <v>1</v>
      </c>
      <c r="G188" s="11">
        <f>Inventario[[#This Row],[COSTO UNITARIO MAYORISTA ]]*Inventario[[#This Row],[CANTIDAD]]</f>
        <v>33000</v>
      </c>
      <c r="H188" s="12"/>
      <c r="I188" s="39">
        <v>60000</v>
      </c>
      <c r="J188" s="143">
        <f>Inventario[[#This Row],[PRECIO DE VENTA]]-Inventario[[#This Row],[COSTO UNITARIO MAYORISTA ]]</f>
        <v>27000</v>
      </c>
      <c r="K188" s="14">
        <f>Inventario[[#This Row],[PRECIO UTILIDAD]]/Inventario[[#This Row],[PRECIO DE VENTA]]</f>
        <v>0.45</v>
      </c>
    </row>
    <row r="189" spans="1:11" ht="33" customHeight="1">
      <c r="A189" s="87">
        <v>6920556405002</v>
      </c>
      <c r="B189" s="142" t="s">
        <v>464</v>
      </c>
      <c r="C189" s="123" t="s">
        <v>44</v>
      </c>
      <c r="D189" s="123" t="s">
        <v>465</v>
      </c>
      <c r="E189" s="11">
        <v>15000</v>
      </c>
      <c r="F189" s="26">
        <v>1</v>
      </c>
      <c r="G189" s="41">
        <f>Inventario[[#This Row],[COSTO UNITARIO MAYORISTA ]]*Inventario[[#This Row],[CANTIDAD]]</f>
        <v>15000</v>
      </c>
      <c r="H189" s="12">
        <v>0.4</v>
      </c>
      <c r="I189" s="39">
        <v>30000</v>
      </c>
      <c r="J189" s="143">
        <f>Inventario[[#This Row],[PRECIO DE VENTA]]-Inventario[[#This Row],[COSTO UNITARIO MAYORISTA ]]</f>
        <v>15000</v>
      </c>
      <c r="K189" s="14">
        <f>Inventario[[#This Row],[PRECIO UTILIDAD]]/Inventario[[#This Row],[PRECIO DE VENTA]]</f>
        <v>0.5</v>
      </c>
    </row>
    <row r="190" spans="1:11" ht="33" customHeight="1">
      <c r="A190" s="146" t="s">
        <v>466</v>
      </c>
      <c r="B190" s="142" t="s">
        <v>467</v>
      </c>
      <c r="C190" s="123" t="s">
        <v>12</v>
      </c>
      <c r="D190" s="142" t="s">
        <v>468</v>
      </c>
      <c r="E190" s="11">
        <v>2200</v>
      </c>
      <c r="F190" s="26">
        <v>3</v>
      </c>
      <c r="G190" s="11">
        <f>Inventario[[#This Row],[COSTO UNITARIO MAYORISTA ]]*Inventario[[#This Row],[CANTIDAD]]</f>
        <v>6600</v>
      </c>
      <c r="H190" s="12">
        <v>0.4</v>
      </c>
      <c r="I190" s="39">
        <v>5000</v>
      </c>
      <c r="J190" s="143">
        <f>Inventario[[#This Row],[PRECIO DE VENTA]]-Inventario[[#This Row],[COSTO UNITARIO MAYORISTA ]]</f>
        <v>2800</v>
      </c>
      <c r="K190" s="14">
        <f>Inventario[[#This Row],[PRECIO UTILIDAD]]/Inventario[[#This Row],[PRECIO DE VENTA]]</f>
        <v>0.56000000000000005</v>
      </c>
    </row>
    <row r="191" spans="1:11" ht="33" customHeight="1">
      <c r="A191" s="149" t="s">
        <v>469</v>
      </c>
      <c r="B191" s="10" t="s">
        <v>470</v>
      </c>
      <c r="C191" s="149" t="s">
        <v>44</v>
      </c>
      <c r="D191" s="142" t="s">
        <v>471</v>
      </c>
      <c r="E191" s="11">
        <v>6000</v>
      </c>
      <c r="F191" s="26">
        <v>11</v>
      </c>
      <c r="G191" s="41">
        <f>Inventario[[#This Row],[COSTO UNITARIO MAYORISTA ]]*Inventario[[#This Row],[CANTIDAD]]</f>
        <v>66000</v>
      </c>
      <c r="H191" s="12">
        <v>0.4</v>
      </c>
      <c r="I191" s="39">
        <f>Inventario[[#This Row],[COSTO UNITARIO MAYORISTA ]]/(1-Inventario[[#This Row],[MARGEN DE UTILIDAD]])</f>
        <v>10000</v>
      </c>
      <c r="J191" s="143">
        <f>Inventario[[#This Row],[PRECIO DE VENTA]]-Inventario[[#This Row],[COSTO UNITARIO MAYORISTA ]]</f>
        <v>4000</v>
      </c>
      <c r="K191" s="14">
        <f>Inventario[[#This Row],[PRECIO UTILIDAD]]/Inventario[[#This Row],[PRECIO DE VENTA]]</f>
        <v>0.4</v>
      </c>
    </row>
    <row r="192" spans="1:11" ht="33" customHeight="1">
      <c r="A192" s="150" t="s">
        <v>472</v>
      </c>
      <c r="B192" s="246" t="s">
        <v>473</v>
      </c>
      <c r="C192" s="15" t="s">
        <v>44</v>
      </c>
      <c r="D192" s="142" t="s">
        <v>474</v>
      </c>
      <c r="E192" s="11">
        <v>4500</v>
      </c>
      <c r="F192" s="26">
        <v>13</v>
      </c>
      <c r="G192" s="41">
        <f>Inventario[[#This Row],[COSTO UNITARIO MAYORISTA ]]*Inventario[[#This Row],[CANTIDAD]]</f>
        <v>58500</v>
      </c>
      <c r="H192" s="12">
        <v>0.4</v>
      </c>
      <c r="I192" s="39">
        <v>9000</v>
      </c>
      <c r="J192" s="143">
        <f>Inventario[[#This Row],[PRECIO DE VENTA]]-Inventario[[#This Row],[COSTO UNITARIO MAYORISTA ]]</f>
        <v>4500</v>
      </c>
      <c r="K192" s="14">
        <f>Inventario[[#This Row],[PRECIO UTILIDAD]]/Inventario[[#This Row],[PRECIO DE VENTA]]</f>
        <v>0.5</v>
      </c>
    </row>
    <row r="193" spans="1:11" ht="33" customHeight="1">
      <c r="A193" s="142" t="s">
        <v>475</v>
      </c>
      <c r="B193" s="142" t="s">
        <v>476</v>
      </c>
      <c r="C193" s="123" t="s">
        <v>56</v>
      </c>
      <c r="D193" s="142" t="s">
        <v>477</v>
      </c>
      <c r="E193" s="11">
        <v>8000</v>
      </c>
      <c r="F193" s="26">
        <v>1</v>
      </c>
      <c r="G193" s="41">
        <f>Inventario[[#This Row],[COSTO UNITARIO MAYORISTA ]]*Inventario[[#This Row],[CANTIDAD]]</f>
        <v>8000</v>
      </c>
      <c r="H193" s="12">
        <v>0.4</v>
      </c>
      <c r="I193" s="39">
        <v>15000</v>
      </c>
      <c r="J193" s="143">
        <f>Inventario[[#This Row],[PRECIO DE VENTA]]-Inventario[[#This Row],[COSTO UNITARIO MAYORISTA ]]</f>
        <v>7000</v>
      </c>
      <c r="K193" s="14">
        <f>Inventario[[#This Row],[PRECIO UTILIDAD]]/Inventario[[#This Row],[PRECIO DE VENTA]]</f>
        <v>0.46666666666666667</v>
      </c>
    </row>
    <row r="194" spans="1:11" ht="33" customHeight="1">
      <c r="A194" s="144" t="s">
        <v>478</v>
      </c>
      <c r="B194" s="142" t="s">
        <v>479</v>
      </c>
      <c r="C194" s="123" t="s">
        <v>56</v>
      </c>
      <c r="D194" s="144" t="s">
        <v>480</v>
      </c>
      <c r="E194" s="11">
        <v>7000</v>
      </c>
      <c r="F194" s="37">
        <v>1</v>
      </c>
      <c r="G194" s="42">
        <f>Inventario[[#This Row],[COSTO UNITARIO MAYORISTA ]]*Inventario[[#This Row],[CANTIDAD]]</f>
        <v>7000</v>
      </c>
      <c r="H194" s="12">
        <v>0.4</v>
      </c>
      <c r="I194" s="39">
        <v>10000</v>
      </c>
      <c r="J194" s="143">
        <f>Inventario[[#This Row],[PRECIO DE VENTA]]-Inventario[[#This Row],[COSTO UNITARIO MAYORISTA ]]</f>
        <v>3000</v>
      </c>
      <c r="K194" s="14">
        <f>Inventario[[#This Row],[PRECIO UTILIDAD]]/Inventario[[#This Row],[PRECIO DE VENTA]]</f>
        <v>0.3</v>
      </c>
    </row>
    <row r="195" spans="1:11" ht="33" customHeight="1">
      <c r="A195" s="216" t="s">
        <v>894</v>
      </c>
      <c r="B195" s="142" t="s">
        <v>481</v>
      </c>
      <c r="C195" s="123" t="s">
        <v>37</v>
      </c>
      <c r="D195" s="227" t="s">
        <v>895</v>
      </c>
      <c r="E195" s="11">
        <v>12000</v>
      </c>
      <c r="F195" s="37">
        <v>4</v>
      </c>
      <c r="G195" s="41">
        <f>Inventario[[#This Row],[COSTO UNITARIO MAYORISTA ]]*Inventario[[#This Row],[CANTIDAD]]</f>
        <v>48000</v>
      </c>
      <c r="H195" s="12">
        <v>0.4</v>
      </c>
      <c r="I195" s="39">
        <f>Inventario[[#This Row],[COSTO UNITARIO MAYORISTA ]]/(1-Inventario[[#This Row],[MARGEN DE UTILIDAD]])</f>
        <v>20000</v>
      </c>
      <c r="J195" s="143">
        <f>Inventario[[#This Row],[PRECIO DE VENTA]]-Inventario[[#This Row],[COSTO UNITARIO MAYORISTA ]]</f>
        <v>8000</v>
      </c>
      <c r="K195" s="14">
        <f>Inventario[[#This Row],[PRECIO UTILIDAD]]/Inventario[[#This Row],[PRECIO DE VENTA]]</f>
        <v>0.4</v>
      </c>
    </row>
    <row r="196" spans="1:11" ht="33" customHeight="1">
      <c r="A196" s="142" t="s">
        <v>483</v>
      </c>
      <c r="B196" s="142" t="s">
        <v>481</v>
      </c>
      <c r="C196" s="123" t="s">
        <v>37</v>
      </c>
      <c r="D196" s="144" t="s">
        <v>482</v>
      </c>
      <c r="E196" s="11">
        <v>12500</v>
      </c>
      <c r="F196" s="37">
        <v>4</v>
      </c>
      <c r="G196" s="11">
        <f>Inventario[[#This Row],[COSTO UNITARIO MAYORISTA ]]*Inventario[[#This Row],[CANTIDAD]]</f>
        <v>50000</v>
      </c>
      <c r="H196" s="12">
        <v>0.4</v>
      </c>
      <c r="I196" s="39">
        <v>25000</v>
      </c>
      <c r="J196" s="143">
        <f>Inventario[[#This Row],[PRECIO DE VENTA]]-Inventario[[#This Row],[COSTO UNITARIO MAYORISTA ]]</f>
        <v>12500</v>
      </c>
      <c r="K196" s="14">
        <f>Inventario[[#This Row],[PRECIO UTILIDAD]]/Inventario[[#This Row],[PRECIO DE VENTA]]</f>
        <v>0.5</v>
      </c>
    </row>
    <row r="197" spans="1:11" ht="33" customHeight="1">
      <c r="A197" s="142" t="s">
        <v>484</v>
      </c>
      <c r="B197" s="216" t="s">
        <v>896</v>
      </c>
      <c r="C197" s="123" t="s">
        <v>103</v>
      </c>
      <c r="D197" s="144" t="s">
        <v>486</v>
      </c>
      <c r="E197" s="11">
        <v>36000</v>
      </c>
      <c r="F197" s="37">
        <v>1</v>
      </c>
      <c r="G197" s="41">
        <f>Inventario[[#This Row],[COSTO UNITARIO MAYORISTA ]]*Inventario[[#This Row],[CANTIDAD]]</f>
        <v>36000</v>
      </c>
      <c r="H197" s="12">
        <v>0.4</v>
      </c>
      <c r="I197" s="39">
        <v>50000</v>
      </c>
      <c r="J197" s="143">
        <f>Inventario[[#This Row],[PRECIO DE VENTA]]-Inventario[[#This Row],[COSTO UNITARIO MAYORISTA ]]</f>
        <v>14000</v>
      </c>
      <c r="K197" s="14">
        <f>Inventario[[#This Row],[PRECIO UTILIDAD]]/Inventario[[#This Row],[PRECIO DE VENTA]]</f>
        <v>0.28000000000000003</v>
      </c>
    </row>
    <row r="198" spans="1:11" ht="33" customHeight="1">
      <c r="A198" s="142" t="s">
        <v>487</v>
      </c>
      <c r="B198" s="142" t="s">
        <v>488</v>
      </c>
      <c r="C198" s="123" t="s">
        <v>56</v>
      </c>
      <c r="D198" s="144" t="s">
        <v>489</v>
      </c>
      <c r="E198" s="11">
        <v>9500</v>
      </c>
      <c r="F198" s="37">
        <v>2</v>
      </c>
      <c r="G198" s="41">
        <f>Inventario[[#This Row],[COSTO UNITARIO MAYORISTA ]]*Inventario[[#This Row],[CANTIDAD]]</f>
        <v>19000</v>
      </c>
      <c r="H198" s="12">
        <v>0.4</v>
      </c>
      <c r="I198" s="39">
        <v>15000</v>
      </c>
      <c r="J198" s="143">
        <f>Inventario[[#This Row],[PRECIO DE VENTA]]-Inventario[[#This Row],[COSTO UNITARIO MAYORISTA ]]</f>
        <v>5500</v>
      </c>
      <c r="K198" s="14">
        <f>Inventario[[#This Row],[PRECIO UTILIDAD]]/Inventario[[#This Row],[PRECIO DE VENTA]]</f>
        <v>0.36666666666666664</v>
      </c>
    </row>
    <row r="199" spans="1:11" ht="33" customHeight="1">
      <c r="A199" s="21">
        <v>6970314793025</v>
      </c>
      <c r="B199" s="142" t="s">
        <v>490</v>
      </c>
      <c r="C199" s="123" t="s">
        <v>12</v>
      </c>
      <c r="D199" s="142" t="s">
        <v>490</v>
      </c>
      <c r="E199" s="11">
        <v>1500</v>
      </c>
      <c r="F199" s="26">
        <v>5</v>
      </c>
      <c r="G199" s="41">
        <f>Inventario[[#This Row],[COSTO UNITARIO MAYORISTA ]]*Inventario[[#This Row],[CANTIDAD]]</f>
        <v>7500</v>
      </c>
      <c r="H199" s="12">
        <v>0.4</v>
      </c>
      <c r="I199" s="39">
        <v>2000</v>
      </c>
      <c r="J199" s="143">
        <f>Inventario[[#This Row],[PRECIO DE VENTA]]-Inventario[[#This Row],[COSTO UNITARIO MAYORISTA ]]</f>
        <v>500</v>
      </c>
      <c r="K199" s="14">
        <f>Inventario[[#This Row],[PRECIO UTILIDAD]]/Inventario[[#This Row],[PRECIO DE VENTA]]</f>
        <v>0.25</v>
      </c>
    </row>
    <row r="200" spans="1:11" ht="33" customHeight="1">
      <c r="A200" s="151" t="s">
        <v>491</v>
      </c>
      <c r="B200" s="142" t="s">
        <v>492</v>
      </c>
      <c r="C200" s="123" t="s">
        <v>451</v>
      </c>
      <c r="D200" s="142" t="s">
        <v>493</v>
      </c>
      <c r="E200" s="11">
        <v>45000</v>
      </c>
      <c r="F200" s="26">
        <v>2</v>
      </c>
      <c r="G200" s="41">
        <f>Inventario[[#This Row],[COSTO UNITARIO MAYORISTA ]]*Inventario[[#This Row],[CANTIDAD]]</f>
        <v>90000</v>
      </c>
      <c r="H200" s="12">
        <v>0.4</v>
      </c>
      <c r="I200" s="39">
        <v>70000</v>
      </c>
      <c r="J200" s="143">
        <f>Inventario[[#This Row],[PRECIO DE VENTA]]-Inventario[[#This Row],[COSTO UNITARIO MAYORISTA ]]</f>
        <v>25000</v>
      </c>
      <c r="K200" s="14">
        <f>Inventario[[#This Row],[PRECIO UTILIDAD]]/Inventario[[#This Row],[PRECIO DE VENTA]]</f>
        <v>0.35714285714285715</v>
      </c>
    </row>
    <row r="201" spans="1:11" ht="33" customHeight="1">
      <c r="A201" s="145" t="s">
        <v>494</v>
      </c>
      <c r="B201" s="142" t="s">
        <v>495</v>
      </c>
      <c r="C201" s="123" t="s">
        <v>44</v>
      </c>
      <c r="D201" s="142" t="s">
        <v>496</v>
      </c>
      <c r="E201" s="11">
        <v>3000</v>
      </c>
      <c r="F201" s="26">
        <v>3</v>
      </c>
      <c r="G201" s="41">
        <f>Inventario[[#This Row],[COSTO UNITARIO MAYORISTA ]]*Inventario[[#This Row],[CANTIDAD]]</f>
        <v>9000</v>
      </c>
      <c r="H201" s="12">
        <v>0.4</v>
      </c>
      <c r="I201" s="39">
        <v>6000</v>
      </c>
      <c r="J201" s="143">
        <f>Inventario[[#This Row],[PRECIO DE VENTA]]-Inventario[[#This Row],[COSTO UNITARIO MAYORISTA ]]</f>
        <v>3000</v>
      </c>
      <c r="K201" s="14">
        <f>Inventario[[#This Row],[PRECIO UTILIDAD]]/Inventario[[#This Row],[PRECIO DE VENTA]]</f>
        <v>0.5</v>
      </c>
    </row>
    <row r="202" spans="1:11" ht="33" customHeight="1">
      <c r="A202" s="151" t="s">
        <v>497</v>
      </c>
      <c r="B202" s="142" t="s">
        <v>498</v>
      </c>
      <c r="C202" s="123" t="s">
        <v>52</v>
      </c>
      <c r="D202" s="142" t="s">
        <v>498</v>
      </c>
      <c r="E202" s="11">
        <v>1500</v>
      </c>
      <c r="F202" s="26">
        <v>20</v>
      </c>
      <c r="G202" s="11">
        <f>Inventario[[#This Row],[COSTO UNITARIO MAYORISTA ]]*Inventario[[#This Row],[CANTIDAD]]</f>
        <v>30000</v>
      </c>
      <c r="H202" s="12">
        <v>0.4</v>
      </c>
      <c r="I202" s="39">
        <v>5000</v>
      </c>
      <c r="J202" s="143">
        <f>Inventario[[#This Row],[PRECIO DE VENTA]]-Inventario[[#This Row],[COSTO UNITARIO MAYORISTA ]]</f>
        <v>3500</v>
      </c>
      <c r="K202" s="14">
        <f>Inventario[[#This Row],[PRECIO UTILIDAD]]/Inventario[[#This Row],[PRECIO DE VENTA]]</f>
        <v>0.7</v>
      </c>
    </row>
    <row r="203" spans="1:11" ht="33" customHeight="1">
      <c r="A203" s="77">
        <v>8886688008800</v>
      </c>
      <c r="B203" s="142" t="s">
        <v>499</v>
      </c>
      <c r="C203" s="123" t="s">
        <v>12</v>
      </c>
      <c r="D203" s="142" t="s">
        <v>500</v>
      </c>
      <c r="E203" s="11">
        <v>7000</v>
      </c>
      <c r="F203" s="26">
        <v>1</v>
      </c>
      <c r="G203" s="41">
        <f>Inventario[[#This Row],[COSTO UNITARIO MAYORISTA ]]*Inventario[[#This Row],[CANTIDAD]]</f>
        <v>7000</v>
      </c>
      <c r="H203" s="12">
        <v>0.4</v>
      </c>
      <c r="I203" s="39">
        <v>10000</v>
      </c>
      <c r="J203" s="143">
        <f>Inventario[[#This Row],[PRECIO DE VENTA]]-Inventario[[#This Row],[COSTO UNITARIO MAYORISTA ]]</f>
        <v>3000</v>
      </c>
      <c r="K203" s="14">
        <f>Inventario[[#This Row],[PRECIO UTILIDAD]]/Inventario[[#This Row],[PRECIO DE VENTA]]</f>
        <v>0.3</v>
      </c>
    </row>
    <row r="204" spans="1:11" ht="33" customHeight="1">
      <c r="A204" s="146" t="s">
        <v>501</v>
      </c>
      <c r="B204" s="142" t="s">
        <v>502</v>
      </c>
      <c r="C204" s="123" t="s">
        <v>44</v>
      </c>
      <c r="D204" s="142" t="s">
        <v>503</v>
      </c>
      <c r="E204" s="11">
        <v>3000</v>
      </c>
      <c r="F204" s="26">
        <v>3</v>
      </c>
      <c r="G204" s="11">
        <f>Inventario[[#This Row],[COSTO UNITARIO MAYORISTA ]]*Inventario[[#This Row],[CANTIDAD]]</f>
        <v>9000</v>
      </c>
      <c r="H204" s="12">
        <v>0.4</v>
      </c>
      <c r="I204" s="39">
        <f>Inventario[[#This Row],[COSTO UNITARIO MAYORISTA ]]/(1-Inventario[[#This Row],[MARGEN DE UTILIDAD]])</f>
        <v>5000</v>
      </c>
      <c r="J204" s="143">
        <f>Inventario[[#This Row],[PRECIO DE VENTA]]-Inventario[[#This Row],[COSTO UNITARIO MAYORISTA ]]</f>
        <v>2000</v>
      </c>
      <c r="K204" s="14">
        <f>Inventario[[#This Row],[PRECIO UTILIDAD]]/Inventario[[#This Row],[PRECIO DE VENTA]]</f>
        <v>0.4</v>
      </c>
    </row>
    <row r="205" spans="1:11" ht="33" customHeight="1">
      <c r="A205" s="21">
        <v>6972148291203</v>
      </c>
      <c r="B205" s="142" t="s">
        <v>504</v>
      </c>
      <c r="C205" s="123" t="s">
        <v>12</v>
      </c>
      <c r="D205" s="142" t="s">
        <v>505</v>
      </c>
      <c r="E205" s="11">
        <v>8000</v>
      </c>
      <c r="F205" s="26">
        <v>1</v>
      </c>
      <c r="G205" s="11">
        <f>Inventario[[#This Row],[COSTO UNITARIO MAYORISTA ]]*Inventario[[#This Row],[CANTIDAD]]</f>
        <v>8000</v>
      </c>
      <c r="H205" s="12">
        <v>0.4</v>
      </c>
      <c r="I205" s="39">
        <v>15000</v>
      </c>
      <c r="J205" s="143">
        <f>Inventario[[#This Row],[PRECIO DE VENTA]]-Inventario[[#This Row],[COSTO UNITARIO MAYORISTA ]]</f>
        <v>7000</v>
      </c>
      <c r="K205" s="14">
        <f>Inventario[[#This Row],[PRECIO UTILIDAD]]/Inventario[[#This Row],[PRECIO DE VENTA]]</f>
        <v>0.46666666666666667</v>
      </c>
    </row>
    <row r="206" spans="1:11" ht="33" customHeight="1">
      <c r="A206" s="142" t="s">
        <v>506</v>
      </c>
      <c r="B206" s="142" t="s">
        <v>507</v>
      </c>
      <c r="C206" s="123" t="s">
        <v>52</v>
      </c>
      <c r="D206" s="142" t="s">
        <v>508</v>
      </c>
      <c r="E206" s="11">
        <v>6000</v>
      </c>
      <c r="F206" s="26">
        <v>5</v>
      </c>
      <c r="G206" s="11">
        <f>Inventario[[#This Row],[COSTO UNITARIO MAYORISTA ]]*Inventario[[#This Row],[CANTIDAD]]</f>
        <v>30000</v>
      </c>
      <c r="H206" s="12">
        <v>0.4</v>
      </c>
      <c r="I206" s="39">
        <f>Inventario[[#This Row],[COSTO UNITARIO MAYORISTA ]]/(1-Inventario[[#This Row],[MARGEN DE UTILIDAD]])</f>
        <v>10000</v>
      </c>
      <c r="J206" s="143">
        <f>Inventario[[#This Row],[PRECIO DE VENTA]]-Inventario[[#This Row],[COSTO UNITARIO MAYORISTA ]]</f>
        <v>4000</v>
      </c>
      <c r="K206" s="14">
        <f>Inventario[[#This Row],[PRECIO UTILIDAD]]/Inventario[[#This Row],[PRECIO DE VENTA]]</f>
        <v>0.4</v>
      </c>
    </row>
    <row r="207" spans="1:11" ht="33" customHeight="1">
      <c r="A207" s="21">
        <v>6945072400102</v>
      </c>
      <c r="B207" s="142" t="s">
        <v>509</v>
      </c>
      <c r="C207" s="123" t="s">
        <v>25</v>
      </c>
      <c r="D207" s="142" t="s">
        <v>510</v>
      </c>
      <c r="E207" s="11">
        <v>800</v>
      </c>
      <c r="F207" s="26">
        <v>2</v>
      </c>
      <c r="G207" s="41">
        <f>Inventario[[#This Row],[COSTO UNITARIO MAYORISTA ]]*Inventario[[#This Row],[CANTIDAD]]</f>
        <v>1600</v>
      </c>
      <c r="H207" s="12">
        <v>0.4</v>
      </c>
      <c r="I207" s="39">
        <v>2000</v>
      </c>
      <c r="J207" s="143">
        <f>Inventario[[#This Row],[PRECIO DE VENTA]]-Inventario[[#This Row],[COSTO UNITARIO MAYORISTA ]]</f>
        <v>1200</v>
      </c>
      <c r="K207" s="14">
        <f>Inventario[[#This Row],[PRECIO UTILIDAD]]/Inventario[[#This Row],[PRECIO DE VENTA]]</f>
        <v>0.6</v>
      </c>
    </row>
    <row r="208" spans="1:11" ht="33" customHeight="1">
      <c r="A208" s="146" t="s">
        <v>511</v>
      </c>
      <c r="B208" s="142" t="s">
        <v>512</v>
      </c>
      <c r="C208" s="123" t="s">
        <v>103</v>
      </c>
      <c r="D208" s="142" t="s">
        <v>513</v>
      </c>
      <c r="E208" s="11">
        <v>1500</v>
      </c>
      <c r="F208" s="26">
        <v>3</v>
      </c>
      <c r="G208" s="11">
        <f>Inventario[[#This Row],[COSTO UNITARIO MAYORISTA ]]*Inventario[[#This Row],[CANTIDAD]]</f>
        <v>4500</v>
      </c>
      <c r="H208" s="12">
        <v>0.4</v>
      </c>
      <c r="I208" s="39">
        <v>3000</v>
      </c>
      <c r="J208" s="143">
        <f>Inventario[[#This Row],[PRECIO DE VENTA]]-Inventario[[#This Row],[COSTO UNITARIO MAYORISTA ]]</f>
        <v>1500</v>
      </c>
      <c r="K208" s="14">
        <f>Inventario[[#This Row],[PRECIO UTILIDAD]]/Inventario[[#This Row],[PRECIO DE VENTA]]</f>
        <v>0.5</v>
      </c>
    </row>
    <row r="209" spans="1:11" ht="33" customHeight="1">
      <c r="A209" s="21">
        <v>8802017200587</v>
      </c>
      <c r="B209" s="142" t="s">
        <v>514</v>
      </c>
      <c r="C209" s="123" t="s">
        <v>25</v>
      </c>
      <c r="D209" s="142" t="s">
        <v>510</v>
      </c>
      <c r="E209" s="11">
        <v>1200</v>
      </c>
      <c r="F209" s="26">
        <v>2</v>
      </c>
      <c r="G209" s="41">
        <f>Inventario[[#This Row],[COSTO UNITARIO MAYORISTA ]]*Inventario[[#This Row],[CANTIDAD]]</f>
        <v>2400</v>
      </c>
      <c r="H209" s="12">
        <v>0.4</v>
      </c>
      <c r="I209" s="39">
        <v>2500</v>
      </c>
      <c r="J209" s="143">
        <f>Inventario[[#This Row],[PRECIO DE VENTA]]-Inventario[[#This Row],[COSTO UNITARIO MAYORISTA ]]</f>
        <v>1300</v>
      </c>
      <c r="K209" s="14">
        <f>Inventario[[#This Row],[PRECIO UTILIDAD]]/Inventario[[#This Row],[PRECIO DE VENTA]]</f>
        <v>0.52</v>
      </c>
    </row>
    <row r="210" spans="1:11" ht="33" customHeight="1">
      <c r="A210" s="216" t="s">
        <v>887</v>
      </c>
      <c r="B210" s="142" t="s">
        <v>516</v>
      </c>
      <c r="C210" s="123" t="s">
        <v>16</v>
      </c>
      <c r="D210" s="142" t="s">
        <v>517</v>
      </c>
      <c r="E210" s="11">
        <v>15000</v>
      </c>
      <c r="F210" s="26">
        <v>2</v>
      </c>
      <c r="G210" s="11">
        <f>Inventario[[#This Row],[COSTO UNITARIO MAYORISTA ]]*Inventario[[#This Row],[CANTIDAD]]</f>
        <v>30000</v>
      </c>
      <c r="H210" s="12">
        <v>0.4</v>
      </c>
      <c r="I210" s="39">
        <v>30000</v>
      </c>
      <c r="J210" s="143">
        <f>Inventario[[#This Row],[PRECIO DE VENTA]]-Inventario[[#This Row],[COSTO UNITARIO MAYORISTA ]]</f>
        <v>15000</v>
      </c>
      <c r="K210" s="14">
        <f>Inventario[[#This Row],[PRECIO UTILIDAD]]/Inventario[[#This Row],[PRECIO DE VENTA]]</f>
        <v>0.5</v>
      </c>
    </row>
    <row r="211" spans="1:11" ht="33" customHeight="1">
      <c r="A211" s="142" t="s">
        <v>518</v>
      </c>
      <c r="B211" s="142" t="s">
        <v>519</v>
      </c>
      <c r="C211" s="123" t="s">
        <v>52</v>
      </c>
      <c r="D211" s="142" t="s">
        <v>520</v>
      </c>
      <c r="E211" s="11">
        <v>20000</v>
      </c>
      <c r="F211" s="26">
        <v>1</v>
      </c>
      <c r="G211" s="11">
        <f>Inventario[[#This Row],[COSTO UNITARIO MAYORISTA ]]*Inventario[[#This Row],[CANTIDAD]]</f>
        <v>20000</v>
      </c>
      <c r="H211" s="12">
        <v>0.4</v>
      </c>
      <c r="I211" s="39">
        <v>40000</v>
      </c>
      <c r="J211" s="143">
        <f>Inventario[[#This Row],[PRECIO DE VENTA]]-Inventario[[#This Row],[COSTO UNITARIO MAYORISTA ]]</f>
        <v>20000</v>
      </c>
      <c r="K211" s="14">
        <f>Inventario[[#This Row],[PRECIO UTILIDAD]]/Inventario[[#This Row],[PRECIO DE VENTA]]</f>
        <v>0.5</v>
      </c>
    </row>
    <row r="212" spans="1:11" ht="33" customHeight="1">
      <c r="A212" s="21">
        <v>9941484881215</v>
      </c>
      <c r="B212" s="142" t="s">
        <v>521</v>
      </c>
      <c r="C212" s="123" t="s">
        <v>12</v>
      </c>
      <c r="D212" s="142" t="s">
        <v>521</v>
      </c>
      <c r="E212" s="11">
        <v>1500</v>
      </c>
      <c r="F212" s="26">
        <v>3</v>
      </c>
      <c r="G212" s="41">
        <f>Inventario[[#This Row],[COSTO UNITARIO MAYORISTA ]]*Inventario[[#This Row],[CANTIDAD]]</f>
        <v>4500</v>
      </c>
      <c r="H212" s="12">
        <v>0.4</v>
      </c>
      <c r="I212" s="39">
        <v>3000</v>
      </c>
      <c r="J212" s="143">
        <f>Inventario[[#This Row],[PRECIO DE VENTA]]-Inventario[[#This Row],[COSTO UNITARIO MAYORISTA ]]</f>
        <v>1500</v>
      </c>
      <c r="K212" s="14">
        <f>Inventario[[#This Row],[PRECIO UTILIDAD]]/Inventario[[#This Row],[PRECIO DE VENTA]]</f>
        <v>0.5</v>
      </c>
    </row>
    <row r="213" spans="1:11" ht="33" customHeight="1">
      <c r="A213" s="21">
        <v>6941104881239</v>
      </c>
      <c r="B213" s="142" t="s">
        <v>522</v>
      </c>
      <c r="C213" s="123" t="s">
        <v>12</v>
      </c>
      <c r="D213" s="142" t="s">
        <v>522</v>
      </c>
      <c r="E213" s="11">
        <v>1500</v>
      </c>
      <c r="F213" s="26">
        <v>1</v>
      </c>
      <c r="G213" s="41">
        <f>Inventario[[#This Row],[COSTO UNITARIO MAYORISTA ]]*Inventario[[#This Row],[CANTIDAD]]</f>
        <v>1500</v>
      </c>
      <c r="H213" s="12">
        <v>0.4</v>
      </c>
      <c r="I213" s="39">
        <v>3000</v>
      </c>
      <c r="J213" s="143">
        <f>Inventario[[#This Row],[PRECIO DE VENTA]]-Inventario[[#This Row],[COSTO UNITARIO MAYORISTA ]]</f>
        <v>1500</v>
      </c>
      <c r="K213" s="14">
        <f>Inventario[[#This Row],[PRECIO UTILIDAD]]/Inventario[[#This Row],[PRECIO DE VENTA]]</f>
        <v>0.5</v>
      </c>
    </row>
    <row r="214" spans="1:11" ht="33" customHeight="1">
      <c r="A214" s="21">
        <v>6690002500642</v>
      </c>
      <c r="B214" s="142" t="s">
        <v>523</v>
      </c>
      <c r="C214" s="123" t="s">
        <v>12</v>
      </c>
      <c r="D214" s="142" t="s">
        <v>524</v>
      </c>
      <c r="E214" s="11">
        <v>9000</v>
      </c>
      <c r="F214" s="26">
        <v>2</v>
      </c>
      <c r="G214" s="11">
        <f>Inventario[[#This Row],[COSTO UNITARIO MAYORISTA ]]*Inventario[[#This Row],[CANTIDAD]]</f>
        <v>18000</v>
      </c>
      <c r="H214" s="12">
        <v>0.4</v>
      </c>
      <c r="I214" s="39">
        <v>20000</v>
      </c>
      <c r="J214" s="143">
        <f>Inventario[[#This Row],[PRECIO DE VENTA]]-Inventario[[#This Row],[COSTO UNITARIO MAYORISTA ]]</f>
        <v>11000</v>
      </c>
      <c r="K214" s="14">
        <f>Inventario[[#This Row],[PRECIO UTILIDAD]]/Inventario[[#This Row],[PRECIO DE VENTA]]</f>
        <v>0.55000000000000004</v>
      </c>
    </row>
    <row r="215" spans="1:11" ht="33" customHeight="1">
      <c r="A215" s="142" t="s">
        <v>525</v>
      </c>
      <c r="B215" s="142" t="s">
        <v>526</v>
      </c>
      <c r="C215" s="123" t="s">
        <v>44</v>
      </c>
      <c r="D215" s="142" t="s">
        <v>527</v>
      </c>
      <c r="E215" s="11">
        <v>20000</v>
      </c>
      <c r="F215" s="26">
        <v>1</v>
      </c>
      <c r="G215" s="41">
        <f>Inventario[[#This Row],[COSTO UNITARIO MAYORISTA ]]*Inventario[[#This Row],[CANTIDAD]]</f>
        <v>20000</v>
      </c>
      <c r="H215" s="12">
        <v>0.4</v>
      </c>
      <c r="I215" s="39">
        <v>30000</v>
      </c>
      <c r="J215" s="143">
        <f>Inventario[[#This Row],[PRECIO DE VENTA]]-Inventario[[#This Row],[COSTO UNITARIO MAYORISTA ]]</f>
        <v>10000</v>
      </c>
      <c r="K215" s="14">
        <f>Inventario[[#This Row],[PRECIO UTILIDAD]]/Inventario[[#This Row],[PRECIO DE VENTA]]</f>
        <v>0.33333333333333331</v>
      </c>
    </row>
    <row r="216" spans="1:11" ht="33" customHeight="1">
      <c r="A216" s="77">
        <v>6973578385104</v>
      </c>
      <c r="B216" s="142" t="s">
        <v>528</v>
      </c>
      <c r="C216" s="123" t="s">
        <v>25</v>
      </c>
      <c r="D216" s="142" t="s">
        <v>529</v>
      </c>
      <c r="E216" s="41">
        <v>7500</v>
      </c>
      <c r="F216" s="26">
        <v>1</v>
      </c>
      <c r="G216" s="41">
        <f>Inventario[[#This Row],[COSTO UNITARIO MAYORISTA ]]*Inventario[[#This Row],[CANTIDAD]]</f>
        <v>7500</v>
      </c>
      <c r="H216" s="12">
        <v>0.4</v>
      </c>
      <c r="I216" s="39">
        <v>15000</v>
      </c>
      <c r="J216" s="143">
        <f>Inventario[[#This Row],[PRECIO DE VENTA]]-Inventario[[#This Row],[COSTO UNITARIO MAYORISTA ]]</f>
        <v>7500</v>
      </c>
      <c r="K216" s="14">
        <f>Inventario[[#This Row],[PRECIO UTILIDAD]]/Inventario[[#This Row],[PRECIO DE VENTA]]</f>
        <v>0.5</v>
      </c>
    </row>
    <row r="217" spans="1:11" ht="33" customHeight="1">
      <c r="A217" s="21">
        <v>6975160081579</v>
      </c>
      <c r="B217" s="142" t="s">
        <v>530</v>
      </c>
      <c r="C217" s="123" t="s">
        <v>25</v>
      </c>
      <c r="D217" s="142" t="s">
        <v>531</v>
      </c>
      <c r="E217" s="11">
        <v>7500</v>
      </c>
      <c r="F217" s="26">
        <v>1</v>
      </c>
      <c r="G217" s="41">
        <f>Inventario[[#This Row],[COSTO UNITARIO MAYORISTA ]]*Inventario[[#This Row],[CANTIDAD]]</f>
        <v>7500</v>
      </c>
      <c r="H217" s="12">
        <v>0.4</v>
      </c>
      <c r="I217" s="39">
        <v>15000</v>
      </c>
      <c r="J217" s="143">
        <f>Inventario[[#This Row],[PRECIO DE VENTA]]-Inventario[[#This Row],[COSTO UNITARIO MAYORISTA ]]</f>
        <v>7500</v>
      </c>
      <c r="K217" s="14">
        <f>Inventario[[#This Row],[PRECIO UTILIDAD]]/Inventario[[#This Row],[PRECIO DE VENTA]]</f>
        <v>0.5</v>
      </c>
    </row>
    <row r="218" spans="1:11" ht="33" customHeight="1">
      <c r="A218" s="142" t="s">
        <v>532</v>
      </c>
      <c r="B218" s="142" t="s">
        <v>533</v>
      </c>
      <c r="C218" s="123" t="s">
        <v>12</v>
      </c>
      <c r="D218" s="142" t="s">
        <v>534</v>
      </c>
      <c r="E218" s="11">
        <v>3800</v>
      </c>
      <c r="F218" s="26">
        <v>4</v>
      </c>
      <c r="G218" s="11">
        <f>Inventario[[#This Row],[COSTO UNITARIO MAYORISTA ]]*Inventario[[#This Row],[CANTIDAD]]</f>
        <v>15200</v>
      </c>
      <c r="H218" s="12">
        <v>0.4</v>
      </c>
      <c r="I218" s="39">
        <v>10000</v>
      </c>
      <c r="J218" s="143">
        <f>Inventario[[#This Row],[PRECIO DE VENTA]]-Inventario[[#This Row],[COSTO UNITARIO MAYORISTA ]]</f>
        <v>6200</v>
      </c>
      <c r="K218" s="14">
        <f>Inventario[[#This Row],[PRECIO UTILIDAD]]/Inventario[[#This Row],[PRECIO DE VENTA]]</f>
        <v>0.62</v>
      </c>
    </row>
    <row r="219" spans="1:11" ht="33" customHeight="1">
      <c r="A219" s="21">
        <v>6972148290022</v>
      </c>
      <c r="B219" s="142" t="s">
        <v>535</v>
      </c>
      <c r="C219" s="123" t="s">
        <v>12</v>
      </c>
      <c r="D219" s="142" t="s">
        <v>536</v>
      </c>
      <c r="E219" s="11">
        <v>6500</v>
      </c>
      <c r="F219" s="26">
        <v>1</v>
      </c>
      <c r="G219" s="41">
        <f>Inventario[[#This Row],[COSTO UNITARIO MAYORISTA ]]*Inventario[[#This Row],[CANTIDAD]]</f>
        <v>6500</v>
      </c>
      <c r="H219" s="12">
        <v>0.4</v>
      </c>
      <c r="I219" s="39">
        <v>15000</v>
      </c>
      <c r="J219" s="143">
        <f>Inventario[[#This Row],[PRECIO DE VENTA]]-Inventario[[#This Row],[COSTO UNITARIO MAYORISTA ]]</f>
        <v>8500</v>
      </c>
      <c r="K219" s="14">
        <f>Inventario[[#This Row],[PRECIO UTILIDAD]]/Inventario[[#This Row],[PRECIO DE VENTA]]</f>
        <v>0.56666666666666665</v>
      </c>
    </row>
    <row r="220" spans="1:11" ht="33" customHeight="1">
      <c r="A220" s="21">
        <v>6926238302843</v>
      </c>
      <c r="B220" s="142" t="s">
        <v>537</v>
      </c>
      <c r="C220" s="123" t="s">
        <v>12</v>
      </c>
      <c r="D220" s="142" t="s">
        <v>538</v>
      </c>
      <c r="E220" s="11">
        <v>6000</v>
      </c>
      <c r="F220" s="26">
        <v>1</v>
      </c>
      <c r="G220" s="41">
        <f>Inventario[[#This Row],[COSTO UNITARIO MAYORISTA ]]*Inventario[[#This Row],[CANTIDAD]]</f>
        <v>6000</v>
      </c>
      <c r="H220" s="12">
        <v>0.4</v>
      </c>
      <c r="I220" s="39">
        <v>1500</v>
      </c>
      <c r="J220" s="143">
        <f>Inventario[[#This Row],[PRECIO DE VENTA]]-Inventario[[#This Row],[COSTO UNITARIO MAYORISTA ]]</f>
        <v>-4500</v>
      </c>
      <c r="K220" s="14">
        <f>Inventario[[#This Row],[PRECIO UTILIDAD]]/Inventario[[#This Row],[PRECIO DE VENTA]]</f>
        <v>-3</v>
      </c>
    </row>
    <row r="221" spans="1:11" ht="33" customHeight="1">
      <c r="A221" s="21">
        <v>6965482362531</v>
      </c>
      <c r="B221" s="142" t="s">
        <v>539</v>
      </c>
      <c r="C221" s="123" t="s">
        <v>25</v>
      </c>
      <c r="D221" s="142" t="s">
        <v>540</v>
      </c>
      <c r="E221" s="11">
        <v>7500</v>
      </c>
      <c r="F221" s="26">
        <v>3</v>
      </c>
      <c r="G221" s="41">
        <f>Inventario[[#This Row],[COSTO UNITARIO MAYORISTA ]]*Inventario[[#This Row],[CANTIDAD]]</f>
        <v>22500</v>
      </c>
      <c r="H221" s="12">
        <v>0.4</v>
      </c>
      <c r="I221" s="39">
        <v>15000</v>
      </c>
      <c r="J221" s="143">
        <f>Inventario[[#This Row],[PRECIO DE VENTA]]-Inventario[[#This Row],[COSTO UNITARIO MAYORISTA ]]</f>
        <v>7500</v>
      </c>
      <c r="K221" s="14">
        <f>Inventario[[#This Row],[PRECIO UTILIDAD]]/Inventario[[#This Row],[PRECIO DE VENTA]]</f>
        <v>0.5</v>
      </c>
    </row>
    <row r="222" spans="1:11" ht="33" customHeight="1">
      <c r="A222" s="77">
        <v>6990621325184</v>
      </c>
      <c r="B222" s="142" t="s">
        <v>541</v>
      </c>
      <c r="C222" s="123" t="s">
        <v>12</v>
      </c>
      <c r="D222" s="142" t="s">
        <v>542</v>
      </c>
      <c r="E222" s="11">
        <v>4500</v>
      </c>
      <c r="F222" s="26">
        <v>1</v>
      </c>
      <c r="G222" s="41">
        <f>Inventario[[#This Row],[COSTO UNITARIO MAYORISTA ]]*Inventario[[#This Row],[CANTIDAD]]</f>
        <v>4500</v>
      </c>
      <c r="H222" s="12">
        <v>0.4</v>
      </c>
      <c r="I222" s="39">
        <v>15000</v>
      </c>
      <c r="J222" s="143">
        <f>Inventario[[#This Row],[PRECIO DE VENTA]]-Inventario[[#This Row],[COSTO UNITARIO MAYORISTA ]]</f>
        <v>10500</v>
      </c>
      <c r="K222" s="14">
        <f>Inventario[[#This Row],[PRECIO UTILIDAD]]/Inventario[[#This Row],[PRECIO DE VENTA]]</f>
        <v>0.7</v>
      </c>
    </row>
    <row r="223" spans="1:11" ht="33" customHeight="1">
      <c r="A223" s="21">
        <v>6965482362203</v>
      </c>
      <c r="B223" s="142" t="s">
        <v>543</v>
      </c>
      <c r="C223" s="123" t="s">
        <v>12</v>
      </c>
      <c r="D223" s="142" t="s">
        <v>538</v>
      </c>
      <c r="E223" s="11">
        <v>6000</v>
      </c>
      <c r="F223" s="26">
        <v>3</v>
      </c>
      <c r="G223" s="41">
        <f>Inventario[[#This Row],[COSTO UNITARIO MAYORISTA ]]*Inventario[[#This Row],[CANTIDAD]]</f>
        <v>18000</v>
      </c>
      <c r="H223" s="12">
        <v>0.4</v>
      </c>
      <c r="I223" s="39">
        <v>15000</v>
      </c>
      <c r="J223" s="143">
        <f>Inventario[[#This Row],[PRECIO DE VENTA]]-Inventario[[#This Row],[COSTO UNITARIO MAYORISTA ]]</f>
        <v>9000</v>
      </c>
      <c r="K223" s="14">
        <f>Inventario[[#This Row],[PRECIO UTILIDAD]]/Inventario[[#This Row],[PRECIO DE VENTA]]</f>
        <v>0.6</v>
      </c>
    </row>
    <row r="224" spans="1:11" ht="33" customHeight="1">
      <c r="A224" s="21">
        <v>6971548835116</v>
      </c>
      <c r="B224" s="142" t="s">
        <v>544</v>
      </c>
      <c r="C224" s="123" t="s">
        <v>12</v>
      </c>
      <c r="D224" s="142" t="s">
        <v>545</v>
      </c>
      <c r="E224" s="11">
        <v>7000</v>
      </c>
      <c r="F224" s="26">
        <v>1</v>
      </c>
      <c r="G224" s="41">
        <f>Inventario[[#This Row],[COSTO UNITARIO MAYORISTA ]]*Inventario[[#This Row],[CANTIDAD]]</f>
        <v>7000</v>
      </c>
      <c r="H224" s="12">
        <v>0.4</v>
      </c>
      <c r="I224" s="39">
        <v>15000</v>
      </c>
      <c r="J224" s="143">
        <f>Inventario[[#This Row],[PRECIO DE VENTA]]-Inventario[[#This Row],[COSTO UNITARIO MAYORISTA ]]</f>
        <v>8000</v>
      </c>
      <c r="K224" s="14">
        <f>Inventario[[#This Row],[PRECIO UTILIDAD]]/Inventario[[#This Row],[PRECIO DE VENTA]]</f>
        <v>0.53333333333333333</v>
      </c>
    </row>
    <row r="225" spans="1:11" ht="33" customHeight="1">
      <c r="A225" s="21">
        <v>6974858728079</v>
      </c>
      <c r="B225" s="142" t="s">
        <v>546</v>
      </c>
      <c r="C225" s="123" t="s">
        <v>25</v>
      </c>
      <c r="D225" s="142" t="s">
        <v>547</v>
      </c>
      <c r="E225" s="11">
        <v>7500</v>
      </c>
      <c r="F225" s="26">
        <v>1</v>
      </c>
      <c r="G225" s="41">
        <f>Inventario[[#This Row],[COSTO UNITARIO MAYORISTA ]]*Inventario[[#This Row],[CANTIDAD]]</f>
        <v>7500</v>
      </c>
      <c r="H225" s="12">
        <v>0.4</v>
      </c>
      <c r="I225" s="39">
        <v>15000</v>
      </c>
      <c r="J225" s="143">
        <f>Inventario[[#This Row],[PRECIO DE VENTA]]-Inventario[[#This Row],[COSTO UNITARIO MAYORISTA ]]</f>
        <v>7500</v>
      </c>
      <c r="K225" s="14">
        <f>Inventario[[#This Row],[PRECIO UTILIDAD]]/Inventario[[#This Row],[PRECIO DE VENTA]]</f>
        <v>0.5</v>
      </c>
    </row>
    <row r="226" spans="1:11" ht="33" customHeight="1">
      <c r="A226" s="21">
        <v>6965482362395</v>
      </c>
      <c r="B226" s="142" t="s">
        <v>548</v>
      </c>
      <c r="C226" s="123" t="s">
        <v>12</v>
      </c>
      <c r="D226" s="142" t="s">
        <v>549</v>
      </c>
      <c r="E226" s="11">
        <v>6000</v>
      </c>
      <c r="F226" s="26">
        <v>4</v>
      </c>
      <c r="G226" s="41">
        <f>Inventario[[#This Row],[COSTO UNITARIO MAYORISTA ]]*Inventario[[#This Row],[CANTIDAD]]</f>
        <v>24000</v>
      </c>
      <c r="H226" s="12">
        <v>0.4</v>
      </c>
      <c r="I226" s="39">
        <v>15000</v>
      </c>
      <c r="J226" s="143">
        <f>Inventario[[#This Row],[PRECIO DE VENTA]]-Inventario[[#This Row],[COSTO UNITARIO MAYORISTA ]]</f>
        <v>9000</v>
      </c>
      <c r="K226" s="14">
        <f>Inventario[[#This Row],[PRECIO UTILIDAD]]/Inventario[[#This Row],[PRECIO DE VENTA]]</f>
        <v>0.6</v>
      </c>
    </row>
    <row r="227" spans="1:11" ht="33" customHeight="1">
      <c r="A227" s="21">
        <v>6972148291180</v>
      </c>
      <c r="B227" s="142" t="s">
        <v>550</v>
      </c>
      <c r="C227" s="123" t="s">
        <v>12</v>
      </c>
      <c r="D227" s="142" t="s">
        <v>551</v>
      </c>
      <c r="E227" s="11">
        <v>4000</v>
      </c>
      <c r="F227" s="26">
        <v>1</v>
      </c>
      <c r="G227" s="11">
        <f>Inventario[[#This Row],[COSTO UNITARIO MAYORISTA ]]*Inventario[[#This Row],[CANTIDAD]]</f>
        <v>4000</v>
      </c>
      <c r="H227" s="12">
        <v>0.4</v>
      </c>
      <c r="I227" s="39">
        <v>15000</v>
      </c>
      <c r="J227" s="143">
        <f>Inventario[[#This Row],[PRECIO DE VENTA]]-Inventario[[#This Row],[COSTO UNITARIO MAYORISTA ]]</f>
        <v>11000</v>
      </c>
      <c r="K227" s="14">
        <f>Inventario[[#This Row],[PRECIO UTILIDAD]]/Inventario[[#This Row],[PRECIO DE VENTA]]</f>
        <v>0.73333333333333328</v>
      </c>
    </row>
    <row r="228" spans="1:11" ht="33" customHeight="1">
      <c r="A228" s="77">
        <v>8809335770785</v>
      </c>
      <c r="B228" s="142" t="s">
        <v>552</v>
      </c>
      <c r="C228" s="123" t="s">
        <v>12</v>
      </c>
      <c r="D228" s="142" t="s">
        <v>553</v>
      </c>
      <c r="E228" s="11">
        <v>6500</v>
      </c>
      <c r="F228" s="26">
        <v>1</v>
      </c>
      <c r="G228" s="41">
        <f>Inventario[[#This Row],[COSTO UNITARIO MAYORISTA ]]*Inventario[[#This Row],[CANTIDAD]]</f>
        <v>6500</v>
      </c>
      <c r="H228" s="12">
        <v>0.4</v>
      </c>
      <c r="I228" s="39">
        <v>15000</v>
      </c>
      <c r="J228" s="143">
        <f>Inventario[[#This Row],[PRECIO DE VENTA]]-Inventario[[#This Row],[COSTO UNITARIO MAYORISTA ]]</f>
        <v>8500</v>
      </c>
      <c r="K228" s="14">
        <f>Inventario[[#This Row],[PRECIO UTILIDAD]]/Inventario[[#This Row],[PRECIO DE VENTA]]</f>
        <v>0.56666666666666665</v>
      </c>
    </row>
    <row r="229" spans="1:11" ht="33" customHeight="1">
      <c r="A229" s="21">
        <v>6920705360909</v>
      </c>
      <c r="B229" s="142" t="s">
        <v>554</v>
      </c>
      <c r="C229" s="123" t="s">
        <v>25</v>
      </c>
      <c r="D229" s="142" t="s">
        <v>555</v>
      </c>
      <c r="E229" s="41">
        <v>6000</v>
      </c>
      <c r="F229" s="26">
        <v>2</v>
      </c>
      <c r="G229" s="41">
        <f>Inventario[[#This Row],[COSTO UNITARIO MAYORISTA ]]*Inventario[[#This Row],[CANTIDAD]]</f>
        <v>12000</v>
      </c>
      <c r="H229" s="12">
        <v>0.4</v>
      </c>
      <c r="I229" s="39">
        <v>15000</v>
      </c>
      <c r="J229" s="143">
        <f>Inventario[[#This Row],[PRECIO DE VENTA]]-Inventario[[#This Row],[COSTO UNITARIO MAYORISTA ]]</f>
        <v>9000</v>
      </c>
      <c r="K229" s="14">
        <f>Inventario[[#This Row],[PRECIO UTILIDAD]]/Inventario[[#This Row],[PRECIO DE VENTA]]</f>
        <v>0.6</v>
      </c>
    </row>
    <row r="230" spans="1:11" ht="33" customHeight="1">
      <c r="A230" s="21">
        <v>6965235633130</v>
      </c>
      <c r="B230" s="142" t="s">
        <v>556</v>
      </c>
      <c r="C230" s="123" t="s">
        <v>12</v>
      </c>
      <c r="D230" s="142" t="s">
        <v>557</v>
      </c>
      <c r="E230" s="11">
        <v>7500</v>
      </c>
      <c r="F230" s="26">
        <v>1</v>
      </c>
      <c r="G230" s="41">
        <v>5000</v>
      </c>
      <c r="H230" s="12">
        <v>0.4</v>
      </c>
      <c r="I230" s="39">
        <v>15000</v>
      </c>
      <c r="J230" s="143">
        <f>Inventario[[#This Row],[PRECIO DE VENTA]]-Inventario[[#This Row],[COSTO UNITARIO MAYORISTA ]]</f>
        <v>7500</v>
      </c>
      <c r="K230" s="14">
        <f>Inventario[[#This Row],[PRECIO UTILIDAD]]/Inventario[[#This Row],[PRECIO DE VENTA]]</f>
        <v>0.5</v>
      </c>
    </row>
    <row r="231" spans="1:11" ht="33" customHeight="1">
      <c r="A231" s="21">
        <v>6971548835116</v>
      </c>
      <c r="B231" s="142" t="s">
        <v>556</v>
      </c>
      <c r="C231" s="123" t="s">
        <v>12</v>
      </c>
      <c r="D231" s="142" t="s">
        <v>558</v>
      </c>
      <c r="E231" s="11">
        <v>7000</v>
      </c>
      <c r="F231" s="26">
        <v>1</v>
      </c>
      <c r="G231" s="11">
        <f>Inventario[[#This Row],[COSTO UNITARIO MAYORISTA ]]*Inventario[[#This Row],[CANTIDAD]]</f>
        <v>7000</v>
      </c>
      <c r="H231" s="12">
        <v>0.4</v>
      </c>
      <c r="I231" s="39">
        <v>15000</v>
      </c>
      <c r="J231" s="143">
        <f>Inventario[[#This Row],[PRECIO DE VENTA]]-Inventario[[#This Row],[COSTO UNITARIO MAYORISTA ]]</f>
        <v>8000</v>
      </c>
      <c r="K231" s="14">
        <f>Inventario[[#This Row],[PRECIO UTILIDAD]]/Inventario[[#This Row],[PRECIO DE VENTA]]</f>
        <v>0.53333333333333333</v>
      </c>
    </row>
    <row r="232" spans="1:11" ht="33" customHeight="1">
      <c r="A232" s="77">
        <v>6986831217203</v>
      </c>
      <c r="B232" s="142" t="s">
        <v>559</v>
      </c>
      <c r="C232" s="123" t="s">
        <v>12</v>
      </c>
      <c r="D232" s="142" t="s">
        <v>560</v>
      </c>
      <c r="E232" s="11">
        <v>7500</v>
      </c>
      <c r="F232" s="26">
        <v>1</v>
      </c>
      <c r="G232" s="41">
        <f>Inventario[[#This Row],[COSTO UNITARIO MAYORISTA ]]*Inventario[[#This Row],[CANTIDAD]]</f>
        <v>7500</v>
      </c>
      <c r="H232" s="12">
        <v>0.4</v>
      </c>
      <c r="I232" s="39">
        <v>15000</v>
      </c>
      <c r="J232" s="143">
        <f>Inventario[[#This Row],[PRECIO DE VENTA]]-Inventario[[#This Row],[COSTO UNITARIO MAYORISTA ]]</f>
        <v>7500</v>
      </c>
      <c r="K232" s="14">
        <f>Inventario[[#This Row],[PRECIO UTILIDAD]]/Inventario[[#This Row],[PRECIO DE VENTA]]</f>
        <v>0.5</v>
      </c>
    </row>
    <row r="233" spans="1:11" ht="33" customHeight="1">
      <c r="A233" s="142" t="s">
        <v>561</v>
      </c>
      <c r="B233" s="142" t="s">
        <v>562</v>
      </c>
      <c r="C233" s="123" t="s">
        <v>451</v>
      </c>
      <c r="D233" s="142" t="s">
        <v>563</v>
      </c>
      <c r="E233" s="11">
        <v>8500</v>
      </c>
      <c r="F233" s="26">
        <v>1</v>
      </c>
      <c r="G233" s="11">
        <f>Inventario[[#This Row],[COSTO UNITARIO MAYORISTA ]]*Inventario[[#This Row],[CANTIDAD]]</f>
        <v>8500</v>
      </c>
      <c r="H233" s="12">
        <v>0.4</v>
      </c>
      <c r="I233" s="39">
        <v>20000</v>
      </c>
      <c r="J233" s="143">
        <f>Inventario[[#This Row],[PRECIO DE VENTA]]-Inventario[[#This Row],[COSTO UNITARIO MAYORISTA ]]</f>
        <v>11500</v>
      </c>
      <c r="K233" s="14">
        <f>Inventario[[#This Row],[PRECIO UTILIDAD]]/Inventario[[#This Row],[PRECIO DE VENTA]]</f>
        <v>0.57499999999999996</v>
      </c>
    </row>
    <row r="234" spans="1:11" ht="33" customHeight="1">
      <c r="A234" s="145">
        <v>6971907230422</v>
      </c>
      <c r="B234" s="142" t="s">
        <v>564</v>
      </c>
      <c r="C234" s="123" t="s">
        <v>12</v>
      </c>
      <c r="D234" s="142" t="s">
        <v>565</v>
      </c>
      <c r="E234" s="11">
        <v>7500</v>
      </c>
      <c r="F234" s="26">
        <v>1</v>
      </c>
      <c r="G234" s="11">
        <f>Inventario[[#This Row],[COSTO UNITARIO MAYORISTA ]]*Inventario[[#This Row],[CANTIDAD]]</f>
        <v>7500</v>
      </c>
      <c r="H234" s="12">
        <v>0.4</v>
      </c>
      <c r="I234" s="39">
        <v>15000</v>
      </c>
      <c r="J234" s="143">
        <f>Inventario[[#This Row],[PRECIO DE VENTA]]-Inventario[[#This Row],[COSTO UNITARIO MAYORISTA ]]</f>
        <v>7500</v>
      </c>
      <c r="K234" s="14">
        <f>Inventario[[#This Row],[PRECIO UTILIDAD]]/Inventario[[#This Row],[PRECIO DE VENTA]]</f>
        <v>0.5</v>
      </c>
    </row>
    <row r="235" spans="1:11" ht="33" customHeight="1">
      <c r="A235" s="142" t="s">
        <v>566</v>
      </c>
      <c r="B235" s="142" t="s">
        <v>567</v>
      </c>
      <c r="C235" s="123" t="s">
        <v>67</v>
      </c>
      <c r="D235" s="142" t="s">
        <v>568</v>
      </c>
      <c r="E235" s="11">
        <v>2500</v>
      </c>
      <c r="F235" s="26">
        <v>1</v>
      </c>
      <c r="G235" s="11">
        <f>Inventario[[#This Row],[COSTO UNITARIO MAYORISTA ]]*Inventario[[#This Row],[CANTIDAD]]</f>
        <v>2500</v>
      </c>
      <c r="H235" s="12">
        <v>0.4</v>
      </c>
      <c r="I235" s="39">
        <v>5000</v>
      </c>
      <c r="J235" s="143">
        <f>Inventario[[#This Row],[PRECIO DE VENTA]]-Inventario[[#This Row],[COSTO UNITARIO MAYORISTA ]]</f>
        <v>2500</v>
      </c>
      <c r="K235" s="14">
        <f>Inventario[[#This Row],[PRECIO UTILIDAD]]/Inventario[[#This Row],[PRECIO DE VENTA]]</f>
        <v>0.5</v>
      </c>
    </row>
    <row r="236" spans="1:11" ht="33" customHeight="1">
      <c r="A236" s="21">
        <v>6836671000094</v>
      </c>
      <c r="B236" s="142" t="s">
        <v>569</v>
      </c>
      <c r="C236" s="123" t="s">
        <v>67</v>
      </c>
      <c r="D236" s="142" t="s">
        <v>570</v>
      </c>
      <c r="E236" s="11">
        <v>11000</v>
      </c>
      <c r="F236" s="26">
        <v>1</v>
      </c>
      <c r="G236" s="11">
        <f>Inventario[[#This Row],[COSTO UNITARIO MAYORISTA ]]*Inventario[[#This Row],[CANTIDAD]]</f>
        <v>11000</v>
      </c>
      <c r="H236" s="12">
        <v>0.4</v>
      </c>
      <c r="I236" s="39">
        <v>20000</v>
      </c>
      <c r="J236" s="143">
        <f>Inventario[[#This Row],[PRECIO DE VENTA]]-Inventario[[#This Row],[COSTO UNITARIO MAYORISTA ]]</f>
        <v>9000</v>
      </c>
      <c r="K236" s="14">
        <f>Inventario[[#This Row],[PRECIO UTILIDAD]]/Inventario[[#This Row],[PRECIO DE VENTA]]</f>
        <v>0.45</v>
      </c>
    </row>
    <row r="237" spans="1:11" ht="33" customHeight="1">
      <c r="A237" s="77">
        <v>6972613449801</v>
      </c>
      <c r="B237" s="142" t="s">
        <v>571</v>
      </c>
      <c r="C237" s="123" t="s">
        <v>12</v>
      </c>
      <c r="D237" s="142" t="s">
        <v>572</v>
      </c>
      <c r="E237" s="41">
        <v>2500</v>
      </c>
      <c r="F237" s="26">
        <v>3</v>
      </c>
      <c r="G237" s="41">
        <f>Inventario[[#This Row],[COSTO UNITARIO MAYORISTA ]]*Inventario[[#This Row],[CANTIDAD]]</f>
        <v>7500</v>
      </c>
      <c r="H237" s="12">
        <v>0.7</v>
      </c>
      <c r="I237" s="39">
        <v>8000</v>
      </c>
      <c r="J237" s="143">
        <f>Inventario[[#This Row],[PRECIO DE VENTA]]-Inventario[[#This Row],[COSTO UNITARIO MAYORISTA ]]</f>
        <v>5500</v>
      </c>
      <c r="K237" s="14">
        <f>Inventario[[#This Row],[PRECIO UTILIDAD]]/Inventario[[#This Row],[PRECIO DE VENTA]]</f>
        <v>0.6875</v>
      </c>
    </row>
    <row r="238" spans="1:11" ht="33" customHeight="1">
      <c r="A238" s="142">
        <v>6938542010239</v>
      </c>
      <c r="B238" s="142" t="s">
        <v>573</v>
      </c>
      <c r="C238" s="123" t="s">
        <v>12</v>
      </c>
      <c r="D238" s="142" t="s">
        <v>574</v>
      </c>
      <c r="E238" s="11">
        <v>2000</v>
      </c>
      <c r="F238" s="26">
        <v>2</v>
      </c>
      <c r="G238" s="11">
        <f>Inventario[[#This Row],[COSTO UNITARIO MAYORISTA ]]*Inventario[[#This Row],[CANTIDAD]]</f>
        <v>4000</v>
      </c>
      <c r="H238" s="12">
        <v>0.4</v>
      </c>
      <c r="I238" s="39">
        <v>5000</v>
      </c>
      <c r="J238" s="143">
        <f>Inventario[[#This Row],[PRECIO DE VENTA]]-Inventario[[#This Row],[COSTO UNITARIO MAYORISTA ]]</f>
        <v>3000</v>
      </c>
      <c r="K238" s="14">
        <f>Inventario[[#This Row],[PRECIO UTILIDAD]]/Inventario[[#This Row],[PRECIO DE VENTA]]</f>
        <v>0.6</v>
      </c>
    </row>
    <row r="239" spans="1:11" ht="33" customHeight="1">
      <c r="A239" s="142" t="s">
        <v>575</v>
      </c>
      <c r="B239" s="142" t="s">
        <v>576</v>
      </c>
      <c r="C239" s="123" t="s">
        <v>52</v>
      </c>
      <c r="D239" s="142" t="s">
        <v>577</v>
      </c>
      <c r="E239" s="11">
        <v>6000</v>
      </c>
      <c r="F239" s="26">
        <v>1</v>
      </c>
      <c r="G239" s="11">
        <f>Inventario[[#This Row],[COSTO UNITARIO MAYORISTA ]]*Inventario[[#This Row],[CANTIDAD]]</f>
        <v>6000</v>
      </c>
      <c r="H239" s="12">
        <v>0.4</v>
      </c>
      <c r="I239" s="39">
        <f>Inventario[[#This Row],[COSTO UNITARIO MAYORISTA ]]/(1-Inventario[[#This Row],[MARGEN DE UTILIDAD]])</f>
        <v>10000</v>
      </c>
      <c r="J239" s="143">
        <f>Inventario[[#This Row],[PRECIO DE VENTA]]-Inventario[[#This Row],[COSTO UNITARIO MAYORISTA ]]</f>
        <v>4000</v>
      </c>
      <c r="K239" s="14">
        <f>Inventario[[#This Row],[PRECIO UTILIDAD]]/Inventario[[#This Row],[PRECIO DE VENTA]]</f>
        <v>0.4</v>
      </c>
    </row>
    <row r="240" spans="1:11" ht="33" customHeight="1">
      <c r="A240" s="142" t="s">
        <v>578</v>
      </c>
      <c r="B240" s="142" t="s">
        <v>579</v>
      </c>
      <c r="C240" s="123" t="s">
        <v>52</v>
      </c>
      <c r="D240" s="142" t="s">
        <v>128</v>
      </c>
      <c r="E240" s="11">
        <v>6000</v>
      </c>
      <c r="F240" s="26">
        <v>1</v>
      </c>
      <c r="G240" s="11">
        <f>Inventario[[#This Row],[COSTO UNITARIO MAYORISTA ]]*Inventario[[#This Row],[CANTIDAD]]</f>
        <v>6000</v>
      </c>
      <c r="H240" s="12">
        <v>0.4</v>
      </c>
      <c r="I240" s="39">
        <v>12000</v>
      </c>
      <c r="J240" s="143">
        <f>Inventario[[#This Row],[PRECIO DE VENTA]]-Inventario[[#This Row],[COSTO UNITARIO MAYORISTA ]]</f>
        <v>6000</v>
      </c>
      <c r="K240" s="14">
        <f>Inventario[[#This Row],[PRECIO UTILIDAD]]/Inventario[[#This Row],[PRECIO DE VENTA]]</f>
        <v>0.5</v>
      </c>
    </row>
    <row r="241" spans="1:11" ht="33" customHeight="1">
      <c r="A241" s="142" t="s">
        <v>580</v>
      </c>
      <c r="B241" s="142" t="s">
        <v>581</v>
      </c>
      <c r="C241" s="123" t="s">
        <v>16</v>
      </c>
      <c r="D241" s="142" t="s">
        <v>582</v>
      </c>
      <c r="E241" s="11">
        <v>6000</v>
      </c>
      <c r="F241" s="26">
        <v>1</v>
      </c>
      <c r="G241" s="11">
        <f>Inventario[[#This Row],[COSTO UNITARIO MAYORISTA ]]*Inventario[[#This Row],[CANTIDAD]]</f>
        <v>6000</v>
      </c>
      <c r="H241" s="12">
        <v>0.4</v>
      </c>
      <c r="I241" s="39">
        <f>Inventario[[#This Row],[COSTO UNITARIO MAYORISTA ]]/(1-Inventario[[#This Row],[MARGEN DE UTILIDAD]])</f>
        <v>10000</v>
      </c>
      <c r="J241" s="143">
        <f>Inventario[[#This Row],[PRECIO DE VENTA]]-Inventario[[#This Row],[COSTO UNITARIO MAYORISTA ]]</f>
        <v>4000</v>
      </c>
      <c r="K241" s="14">
        <f>Inventario[[#This Row],[PRECIO UTILIDAD]]/Inventario[[#This Row],[PRECIO DE VENTA]]</f>
        <v>0.4</v>
      </c>
    </row>
    <row r="242" spans="1:11" ht="33" customHeight="1">
      <c r="A242" s="149" t="s">
        <v>583</v>
      </c>
      <c r="B242" s="10" t="s">
        <v>584</v>
      </c>
      <c r="C242" s="10" t="s">
        <v>185</v>
      </c>
      <c r="D242" s="142" t="s">
        <v>585</v>
      </c>
      <c r="E242" s="11">
        <v>20000</v>
      </c>
      <c r="F242" s="26">
        <v>1</v>
      </c>
      <c r="G242" s="41">
        <f>Inventario[[#This Row],[COSTO UNITARIO MAYORISTA ]]*Inventario[[#This Row],[CANTIDAD]]</f>
        <v>20000</v>
      </c>
      <c r="H242" s="12">
        <v>0.4</v>
      </c>
      <c r="I242" s="39">
        <v>35000</v>
      </c>
      <c r="J242" s="143">
        <f>Inventario[[#This Row],[PRECIO DE VENTA]]-Inventario[[#This Row],[COSTO UNITARIO MAYORISTA ]]</f>
        <v>15000</v>
      </c>
      <c r="K242" s="14">
        <f>Inventario[[#This Row],[PRECIO UTILIDAD]]/Inventario[[#This Row],[PRECIO DE VENTA]]</f>
        <v>0.42857142857142855</v>
      </c>
    </row>
    <row r="243" spans="1:11" ht="33" customHeight="1">
      <c r="A243" s="142" t="s">
        <v>586</v>
      </c>
      <c r="B243" s="142" t="s">
        <v>587</v>
      </c>
      <c r="C243" s="123" t="s">
        <v>44</v>
      </c>
      <c r="D243" s="142" t="s">
        <v>588</v>
      </c>
      <c r="E243" s="11">
        <v>592</v>
      </c>
      <c r="F243" s="26">
        <v>40</v>
      </c>
      <c r="G243" s="11">
        <f>Inventario[[#This Row],[COSTO UNITARIO MAYORISTA ]]*Inventario[[#This Row],[CANTIDAD]]</f>
        <v>23680</v>
      </c>
      <c r="H243" s="12">
        <v>0.4</v>
      </c>
      <c r="I243" s="39">
        <f>Inventario[[#This Row],[COSTO UNITARIO MAYORISTA ]]/(1-Inventario[[#This Row],[MARGEN DE UTILIDAD]])</f>
        <v>986.66666666666674</v>
      </c>
      <c r="J243" s="143">
        <f>Inventario[[#This Row],[PRECIO DE VENTA]]-Inventario[[#This Row],[COSTO UNITARIO MAYORISTA ]]</f>
        <v>394.66666666666674</v>
      </c>
      <c r="K243" s="14">
        <f>Inventario[[#This Row],[PRECIO UTILIDAD]]/Inventario[[#This Row],[PRECIO DE VENTA]]</f>
        <v>0.4</v>
      </c>
    </row>
    <row r="244" spans="1:11" ht="33" customHeight="1">
      <c r="A244" s="146" t="s">
        <v>589</v>
      </c>
      <c r="B244" s="142" t="s">
        <v>590</v>
      </c>
      <c r="C244" s="123" t="s">
        <v>37</v>
      </c>
      <c r="D244" s="142" t="s">
        <v>591</v>
      </c>
      <c r="E244" s="11">
        <v>500</v>
      </c>
      <c r="F244" s="26">
        <v>296</v>
      </c>
      <c r="G244" s="11">
        <f>Inventario[[#This Row],[COSTO UNITARIO MAYORISTA ]]*Inventario[[#This Row],[CANTIDAD]]</f>
        <v>148000</v>
      </c>
      <c r="H244" s="12">
        <v>0.4</v>
      </c>
      <c r="I244" s="39">
        <v>1000</v>
      </c>
      <c r="J244" s="143">
        <f>Inventario[[#This Row],[PRECIO DE VENTA]]-Inventario[[#This Row],[COSTO UNITARIO MAYORISTA ]]</f>
        <v>500</v>
      </c>
      <c r="K244" s="14">
        <f>Inventario[[#This Row],[PRECIO UTILIDAD]]/Inventario[[#This Row],[PRECIO DE VENTA]]</f>
        <v>0.5</v>
      </c>
    </row>
    <row r="245" spans="1:11" ht="33" customHeight="1">
      <c r="A245" s="21">
        <v>6974466947251</v>
      </c>
      <c r="B245" s="142" t="s">
        <v>592</v>
      </c>
      <c r="C245" s="123" t="s">
        <v>25</v>
      </c>
      <c r="D245" s="142" t="s">
        <v>593</v>
      </c>
      <c r="E245" s="11">
        <v>1300</v>
      </c>
      <c r="F245" s="26">
        <v>4</v>
      </c>
      <c r="G245" s="11">
        <f>Inventario[[#This Row],[COSTO UNITARIO MAYORISTA ]]*Inventario[[#This Row],[CANTIDAD]]</f>
        <v>5200</v>
      </c>
      <c r="H245" s="12">
        <v>0.4</v>
      </c>
      <c r="I245" s="39">
        <v>2500</v>
      </c>
      <c r="J245" s="143">
        <f>Inventario[[#This Row],[PRECIO DE VENTA]]-Inventario[[#This Row],[COSTO UNITARIO MAYORISTA ]]</f>
        <v>1200</v>
      </c>
      <c r="K245" s="14">
        <f>Inventario[[#This Row],[PRECIO UTILIDAD]]/Inventario[[#This Row],[PRECIO DE VENTA]]</f>
        <v>0.48</v>
      </c>
    </row>
    <row r="246" spans="1:11" ht="33" customHeight="1">
      <c r="A246" s="142">
        <v>6978156215019</v>
      </c>
      <c r="B246" s="142" t="s">
        <v>594</v>
      </c>
      <c r="C246" s="123" t="s">
        <v>25</v>
      </c>
      <c r="D246" s="142" t="s">
        <v>595</v>
      </c>
      <c r="E246" s="11">
        <v>7000</v>
      </c>
      <c r="F246" s="26">
        <v>2</v>
      </c>
      <c r="G246" s="11">
        <f>Inventario[[#This Row],[COSTO UNITARIO MAYORISTA ]]*Inventario[[#This Row],[CANTIDAD]]</f>
        <v>14000</v>
      </c>
      <c r="H246" s="12">
        <v>0.4</v>
      </c>
      <c r="I246" s="39">
        <v>15000</v>
      </c>
      <c r="J246" s="143">
        <f>Inventario[[#This Row],[PRECIO DE VENTA]]-Inventario[[#This Row],[COSTO UNITARIO MAYORISTA ]]</f>
        <v>8000</v>
      </c>
      <c r="K246" s="14">
        <f>Inventario[[#This Row],[PRECIO UTILIDAD]]/Inventario[[#This Row],[PRECIO DE VENTA]]</f>
        <v>0.53333333333333333</v>
      </c>
    </row>
    <row r="247" spans="1:11" ht="33" customHeight="1">
      <c r="A247" s="21">
        <v>6970574463249</v>
      </c>
      <c r="B247" s="142" t="s">
        <v>596</v>
      </c>
      <c r="C247" s="123" t="s">
        <v>12</v>
      </c>
      <c r="D247" s="142" t="s">
        <v>597</v>
      </c>
      <c r="E247" s="11">
        <v>7000</v>
      </c>
      <c r="F247" s="26">
        <v>1</v>
      </c>
      <c r="G247" s="11">
        <f>Inventario[[#This Row],[COSTO UNITARIO MAYORISTA ]]*Inventario[[#This Row],[CANTIDAD]]</f>
        <v>7000</v>
      </c>
      <c r="H247" s="12">
        <v>0.4</v>
      </c>
      <c r="I247" s="39">
        <v>15000</v>
      </c>
      <c r="J247" s="143">
        <f>Inventario[[#This Row],[PRECIO DE VENTA]]-Inventario[[#This Row],[COSTO UNITARIO MAYORISTA ]]</f>
        <v>8000</v>
      </c>
      <c r="K247" s="14">
        <f>Inventario[[#This Row],[PRECIO UTILIDAD]]/Inventario[[#This Row],[PRECIO DE VENTA]]</f>
        <v>0.53333333333333333</v>
      </c>
    </row>
    <row r="248" spans="1:11" ht="33" customHeight="1">
      <c r="A248" s="21">
        <v>6938716700546</v>
      </c>
      <c r="B248" s="142" t="s">
        <v>598</v>
      </c>
      <c r="C248" s="123" t="s">
        <v>12</v>
      </c>
      <c r="D248" s="142" t="s">
        <v>599</v>
      </c>
      <c r="E248" s="11">
        <v>3000</v>
      </c>
      <c r="F248" s="26">
        <v>2</v>
      </c>
      <c r="G248" s="41">
        <f>Inventario[[#This Row],[COSTO UNITARIO MAYORISTA ]]*Inventario[[#This Row],[CANTIDAD]]</f>
        <v>6000</v>
      </c>
      <c r="H248" s="12">
        <v>0.4</v>
      </c>
      <c r="I248" s="39">
        <v>7000</v>
      </c>
      <c r="J248" s="143">
        <f>Inventario[[#This Row],[PRECIO DE VENTA]]-Inventario[[#This Row],[COSTO UNITARIO MAYORISTA ]]</f>
        <v>4000</v>
      </c>
      <c r="K248" s="14">
        <f>Inventario[[#This Row],[PRECIO UTILIDAD]]/Inventario[[#This Row],[PRECIO DE VENTA]]</f>
        <v>0.5714285714285714</v>
      </c>
    </row>
    <row r="249" spans="1:11" ht="33" customHeight="1">
      <c r="A249" s="21">
        <v>6971010809751</v>
      </c>
      <c r="B249" s="142" t="s">
        <v>598</v>
      </c>
      <c r="C249" s="123" t="s">
        <v>12</v>
      </c>
      <c r="D249" s="142" t="s">
        <v>600</v>
      </c>
      <c r="E249" s="11">
        <v>3000</v>
      </c>
      <c r="F249" s="26">
        <v>1</v>
      </c>
      <c r="G249" s="41">
        <f>Inventario[[#This Row],[COSTO UNITARIO MAYORISTA ]]*Inventario[[#This Row],[CANTIDAD]]</f>
        <v>3000</v>
      </c>
      <c r="H249" s="12">
        <v>0.4</v>
      </c>
      <c r="I249" s="39">
        <f>Inventario[[#This Row],[COSTO UNITARIO MAYORISTA ]]/(1-Inventario[[#This Row],[MARGEN DE UTILIDAD]])</f>
        <v>5000</v>
      </c>
      <c r="J249" s="143">
        <f>Inventario[[#This Row],[PRECIO DE VENTA]]-Inventario[[#This Row],[COSTO UNITARIO MAYORISTA ]]</f>
        <v>2000</v>
      </c>
      <c r="K249" s="14">
        <f>Inventario[[#This Row],[PRECIO UTILIDAD]]/Inventario[[#This Row],[PRECIO DE VENTA]]</f>
        <v>0.4</v>
      </c>
    </row>
    <row r="250" spans="1:11" ht="33" customHeight="1">
      <c r="A250" s="21">
        <v>6971010809607</v>
      </c>
      <c r="B250" s="142" t="s">
        <v>601</v>
      </c>
      <c r="C250" s="123" t="s">
        <v>25</v>
      </c>
      <c r="D250" s="142" t="s">
        <v>601</v>
      </c>
      <c r="E250" s="11">
        <v>3500</v>
      </c>
      <c r="F250" s="26">
        <v>1</v>
      </c>
      <c r="G250" s="41">
        <f>Inventario[[#This Row],[COSTO UNITARIO MAYORISTA ]]*Inventario[[#This Row],[CANTIDAD]]</f>
        <v>3500</v>
      </c>
      <c r="H250" s="12">
        <v>0.4</v>
      </c>
      <c r="I250" s="39">
        <v>10000</v>
      </c>
      <c r="J250" s="143">
        <f>Inventario[[#This Row],[PRECIO DE VENTA]]-Inventario[[#This Row],[COSTO UNITARIO MAYORISTA ]]</f>
        <v>6500</v>
      </c>
      <c r="K250" s="14">
        <f>Inventario[[#This Row],[PRECIO UTILIDAD]]/Inventario[[#This Row],[PRECIO DE VENTA]]</f>
        <v>0.65</v>
      </c>
    </row>
    <row r="251" spans="1:11" ht="33" customHeight="1">
      <c r="A251" s="21">
        <v>6875336130363</v>
      </c>
      <c r="B251" s="142" t="s">
        <v>602</v>
      </c>
      <c r="C251" s="123" t="s">
        <v>25</v>
      </c>
      <c r="D251" s="142" t="s">
        <v>602</v>
      </c>
      <c r="E251" s="11">
        <v>3500</v>
      </c>
      <c r="F251" s="26">
        <v>1</v>
      </c>
      <c r="G251" s="41">
        <f>Inventario[[#This Row],[COSTO UNITARIO MAYORISTA ]]*Inventario[[#This Row],[CANTIDAD]]</f>
        <v>3500</v>
      </c>
      <c r="H251" s="12">
        <v>0.4</v>
      </c>
      <c r="I251" s="39">
        <v>10000</v>
      </c>
      <c r="J251" s="143">
        <f>Inventario[[#This Row],[PRECIO DE VENTA]]-Inventario[[#This Row],[COSTO UNITARIO MAYORISTA ]]</f>
        <v>6500</v>
      </c>
      <c r="K251" s="14">
        <f>Inventario[[#This Row],[PRECIO UTILIDAD]]/Inventario[[#This Row],[PRECIO DE VENTA]]</f>
        <v>0.65</v>
      </c>
    </row>
    <row r="252" spans="1:11" ht="33" customHeight="1">
      <c r="A252" s="21">
        <v>6940079106026</v>
      </c>
      <c r="B252" s="142" t="s">
        <v>603</v>
      </c>
      <c r="C252" s="123" t="s">
        <v>103</v>
      </c>
      <c r="D252" s="142" t="s">
        <v>604</v>
      </c>
      <c r="E252" s="11">
        <v>3000</v>
      </c>
      <c r="F252" s="26">
        <v>1</v>
      </c>
      <c r="G252" s="41">
        <f>Inventario[[#This Row],[COSTO UNITARIO MAYORISTA ]]*Inventario[[#This Row],[CANTIDAD]]</f>
        <v>3000</v>
      </c>
      <c r="H252" s="12">
        <v>0.4</v>
      </c>
      <c r="I252" s="39">
        <v>6000</v>
      </c>
      <c r="J252" s="143">
        <f>Inventario[[#This Row],[PRECIO DE VENTA]]-Inventario[[#This Row],[COSTO UNITARIO MAYORISTA ]]</f>
        <v>3000</v>
      </c>
      <c r="K252" s="14">
        <f>Inventario[[#This Row],[PRECIO UTILIDAD]]/Inventario[[#This Row],[PRECIO DE VENTA]]</f>
        <v>0.5</v>
      </c>
    </row>
    <row r="253" spans="1:11" ht="33" customHeight="1">
      <c r="A253" s="21">
        <v>6971010809577</v>
      </c>
      <c r="B253" s="142" t="s">
        <v>605</v>
      </c>
      <c r="C253" s="123" t="s">
        <v>103</v>
      </c>
      <c r="D253" s="142" t="s">
        <v>605</v>
      </c>
      <c r="E253" s="11">
        <v>3500</v>
      </c>
      <c r="F253" s="26">
        <v>2</v>
      </c>
      <c r="G253" s="41">
        <f>Inventario[[#This Row],[COSTO UNITARIO MAYORISTA ]]*Inventario[[#This Row],[CANTIDAD]]</f>
        <v>7000</v>
      </c>
      <c r="H253" s="12">
        <v>0.4</v>
      </c>
      <c r="I253" s="39">
        <v>6000</v>
      </c>
      <c r="J253" s="143">
        <f>Inventario[[#This Row],[PRECIO DE VENTA]]-Inventario[[#This Row],[COSTO UNITARIO MAYORISTA ]]</f>
        <v>2500</v>
      </c>
      <c r="K253" s="14">
        <f>Inventario[[#This Row],[PRECIO UTILIDAD]]/Inventario[[#This Row],[PRECIO DE VENTA]]</f>
        <v>0.41666666666666669</v>
      </c>
    </row>
    <row r="254" spans="1:11" ht="33" customHeight="1">
      <c r="A254" s="77">
        <v>6991200021428</v>
      </c>
      <c r="B254" s="142" t="s">
        <v>606</v>
      </c>
      <c r="C254" s="123" t="s">
        <v>67</v>
      </c>
      <c r="D254" s="142" t="s">
        <v>607</v>
      </c>
      <c r="E254" s="11">
        <v>6500</v>
      </c>
      <c r="F254" s="26">
        <v>1</v>
      </c>
      <c r="G254" s="11">
        <f>Inventario[[#This Row],[COSTO UNITARIO MAYORISTA ]]*Inventario[[#This Row],[CANTIDAD]]</f>
        <v>6500</v>
      </c>
      <c r="H254" s="12">
        <v>0.4</v>
      </c>
      <c r="I254" s="39">
        <v>15000</v>
      </c>
      <c r="J254" s="143">
        <f>Inventario[[#This Row],[PRECIO DE VENTA]]-Inventario[[#This Row],[COSTO UNITARIO MAYORISTA ]]</f>
        <v>8500</v>
      </c>
      <c r="K254" s="14">
        <f>Inventario[[#This Row],[PRECIO UTILIDAD]]/Inventario[[#This Row],[PRECIO DE VENTA]]</f>
        <v>0.56666666666666665</v>
      </c>
    </row>
    <row r="255" spans="1:11" ht="33" customHeight="1">
      <c r="A255" s="77">
        <v>6957157003092</v>
      </c>
      <c r="B255" s="142" t="s">
        <v>608</v>
      </c>
      <c r="C255" s="123" t="s">
        <v>609</v>
      </c>
      <c r="D255" s="159" t="s">
        <v>610</v>
      </c>
      <c r="E255" s="11">
        <v>8000</v>
      </c>
      <c r="F255" s="26">
        <v>10</v>
      </c>
      <c r="G255" s="41">
        <f>Inventario[[#This Row],[COSTO UNITARIO MAYORISTA ]]*Inventario[[#This Row],[CANTIDAD]]</f>
        <v>80000</v>
      </c>
      <c r="H255" s="12">
        <v>0.4</v>
      </c>
      <c r="I255" s="39">
        <v>15000</v>
      </c>
      <c r="J255" s="143">
        <f>Inventario[[#This Row],[PRECIO DE VENTA]]-Inventario[[#This Row],[COSTO UNITARIO MAYORISTA ]]</f>
        <v>7000</v>
      </c>
      <c r="K255" s="14">
        <f>Inventario[[#This Row],[PRECIO UTILIDAD]]/Inventario[[#This Row],[PRECIO DE VENTA]]</f>
        <v>0.46666666666666667</v>
      </c>
    </row>
    <row r="256" spans="1:11" ht="33" customHeight="1">
      <c r="A256" s="145" t="s">
        <v>611</v>
      </c>
      <c r="B256" s="142" t="s">
        <v>612</v>
      </c>
      <c r="C256" s="123" t="s">
        <v>56</v>
      </c>
      <c r="D256" s="142" t="s">
        <v>613</v>
      </c>
      <c r="E256" s="11">
        <v>9800</v>
      </c>
      <c r="F256" s="26">
        <v>3</v>
      </c>
      <c r="G256" s="11">
        <f>Inventario[[#This Row],[COSTO UNITARIO MAYORISTA ]]*Inventario[[#This Row],[CANTIDAD]]</f>
        <v>29400</v>
      </c>
      <c r="H256" s="12">
        <v>0.4</v>
      </c>
      <c r="I256" s="39">
        <v>20000</v>
      </c>
      <c r="J256" s="143">
        <f>Inventario[[#This Row],[PRECIO DE VENTA]]-Inventario[[#This Row],[COSTO UNITARIO MAYORISTA ]]</f>
        <v>10200</v>
      </c>
      <c r="K256" s="14">
        <f>Inventario[[#This Row],[PRECIO UTILIDAD]]/Inventario[[#This Row],[PRECIO DE VENTA]]</f>
        <v>0.51</v>
      </c>
    </row>
    <row r="257" spans="1:11" ht="33" customHeight="1">
      <c r="A257" s="21">
        <v>6913587944718</v>
      </c>
      <c r="B257" s="142" t="s">
        <v>614</v>
      </c>
      <c r="C257" s="123" t="s">
        <v>202</v>
      </c>
      <c r="D257" s="142" t="s">
        <v>615</v>
      </c>
      <c r="E257" s="48">
        <v>60000</v>
      </c>
      <c r="F257" s="26">
        <v>1</v>
      </c>
      <c r="G257" s="41">
        <f>Inventario[[#This Row],[COSTO UNITARIO MAYORISTA ]]*Inventario[[#This Row],[CANTIDAD]]</f>
        <v>60000</v>
      </c>
      <c r="H257" s="12">
        <v>0.4</v>
      </c>
      <c r="I257" s="39">
        <v>80000</v>
      </c>
      <c r="J257" s="143">
        <f>Inventario[[#This Row],[PRECIO DE VENTA]]-Inventario[[#This Row],[COSTO UNITARIO MAYORISTA ]]</f>
        <v>20000</v>
      </c>
      <c r="K257" s="14">
        <f>Inventario[[#This Row],[PRECIO UTILIDAD]]/Inventario[[#This Row],[PRECIO DE VENTA]]</f>
        <v>0.25</v>
      </c>
    </row>
    <row r="258" spans="1:11" ht="33" customHeight="1">
      <c r="A258" s="237" t="s">
        <v>909</v>
      </c>
      <c r="B258" s="142" t="s">
        <v>616</v>
      </c>
      <c r="C258" s="123" t="s">
        <v>12</v>
      </c>
      <c r="D258" s="142" t="s">
        <v>617</v>
      </c>
      <c r="E258" s="11">
        <v>30000</v>
      </c>
      <c r="F258" s="26">
        <v>2</v>
      </c>
      <c r="G258" s="11">
        <f>Inventario[[#This Row],[COSTO UNITARIO MAYORISTA ]]*Inventario[[#This Row],[CANTIDAD]]</f>
        <v>60000</v>
      </c>
      <c r="H258" s="12">
        <v>0.4</v>
      </c>
      <c r="I258" s="39">
        <v>40000</v>
      </c>
      <c r="J258" s="143">
        <f>Inventario[[#This Row],[PRECIO DE VENTA]]-Inventario[[#This Row],[COSTO UNITARIO MAYORISTA ]]</f>
        <v>10000</v>
      </c>
      <c r="K258" s="14">
        <f>Inventario[[#This Row],[PRECIO UTILIDAD]]/Inventario[[#This Row],[PRECIO DE VENTA]]</f>
        <v>0.25</v>
      </c>
    </row>
    <row r="259" spans="1:11" ht="33" customHeight="1">
      <c r="A259" s="21">
        <v>6920230020019</v>
      </c>
      <c r="B259" s="142" t="s">
        <v>618</v>
      </c>
      <c r="C259" s="123" t="s">
        <v>12</v>
      </c>
      <c r="D259" s="142" t="s">
        <v>619</v>
      </c>
      <c r="E259" s="11">
        <v>21000</v>
      </c>
      <c r="F259" s="26">
        <v>1</v>
      </c>
      <c r="G259" s="41">
        <f>Inventario[[#This Row],[COSTO UNITARIO MAYORISTA ]]*Inventario[[#This Row],[CANTIDAD]]</f>
        <v>21000</v>
      </c>
      <c r="H259" s="12">
        <v>0.4</v>
      </c>
      <c r="I259" s="39">
        <f>Inventario[[#This Row],[COSTO UNITARIO MAYORISTA ]]/(1-Inventario[[#This Row],[MARGEN DE UTILIDAD]])</f>
        <v>35000</v>
      </c>
      <c r="J259" s="143">
        <f>Inventario[[#This Row],[PRECIO DE VENTA]]-Inventario[[#This Row],[COSTO UNITARIO MAYORISTA ]]</f>
        <v>14000</v>
      </c>
      <c r="K259" s="14">
        <f>Inventario[[#This Row],[PRECIO UTILIDAD]]/Inventario[[#This Row],[PRECIO DE VENTA]]</f>
        <v>0.4</v>
      </c>
    </row>
    <row r="260" spans="1:11" ht="33" customHeight="1">
      <c r="A260" s="21">
        <v>6972547490146</v>
      </c>
      <c r="B260" s="142" t="s">
        <v>620</v>
      </c>
      <c r="C260" s="123" t="s">
        <v>12</v>
      </c>
      <c r="D260" s="142" t="s">
        <v>621</v>
      </c>
      <c r="E260" s="11">
        <v>23000</v>
      </c>
      <c r="F260" s="26">
        <v>1</v>
      </c>
      <c r="G260" s="41">
        <f>Inventario[[#This Row],[COSTO UNITARIO MAYORISTA ]]*Inventario[[#This Row],[CANTIDAD]]</f>
        <v>23000</v>
      </c>
      <c r="H260" s="12">
        <v>0.4</v>
      </c>
      <c r="I260" s="39">
        <v>35000</v>
      </c>
      <c r="J260" s="143">
        <f>Inventario[[#This Row],[PRECIO DE VENTA]]-Inventario[[#This Row],[COSTO UNITARIO MAYORISTA ]]</f>
        <v>12000</v>
      </c>
      <c r="K260" s="14">
        <f>Inventario[[#This Row],[PRECIO UTILIDAD]]/Inventario[[#This Row],[PRECIO DE VENTA]]</f>
        <v>0.34285714285714286</v>
      </c>
    </row>
    <row r="261" spans="1:11" ht="33" customHeight="1">
      <c r="A261" s="145" t="s">
        <v>622</v>
      </c>
      <c r="B261" s="142" t="s">
        <v>623</v>
      </c>
      <c r="C261" s="123" t="s">
        <v>56</v>
      </c>
      <c r="D261" s="142" t="s">
        <v>624</v>
      </c>
      <c r="E261" s="11">
        <v>20000</v>
      </c>
      <c r="F261" s="26">
        <v>1</v>
      </c>
      <c r="G261" s="41">
        <f>Inventario[[#This Row],[COSTO UNITARIO MAYORISTA ]]*Inventario[[#This Row],[CANTIDAD]]</f>
        <v>20000</v>
      </c>
      <c r="H261" s="12">
        <v>0.4</v>
      </c>
      <c r="I261" s="39">
        <v>35000</v>
      </c>
      <c r="J261" s="143">
        <f>Inventario[[#This Row],[PRECIO DE VENTA]]-Inventario[[#This Row],[COSTO UNITARIO MAYORISTA ]]</f>
        <v>15000</v>
      </c>
      <c r="K261" s="14">
        <f>Inventario[[#This Row],[PRECIO UTILIDAD]]/Inventario[[#This Row],[PRECIO DE VENTA]]</f>
        <v>0.42857142857142855</v>
      </c>
    </row>
    <row r="262" spans="1:11" ht="33" customHeight="1">
      <c r="A262" s="77">
        <v>6972544691058</v>
      </c>
      <c r="B262" s="142" t="s">
        <v>625</v>
      </c>
      <c r="C262" s="123" t="s">
        <v>12</v>
      </c>
      <c r="D262" s="142" t="s">
        <v>626</v>
      </c>
      <c r="E262" s="11">
        <v>3500</v>
      </c>
      <c r="F262" s="26">
        <v>3</v>
      </c>
      <c r="G262" s="41">
        <f>Inventario[[#This Row],[COSTO UNITARIO MAYORISTA ]]*Inventario[[#This Row],[CANTIDAD]]</f>
        <v>10500</v>
      </c>
      <c r="H262" s="12">
        <v>0.4</v>
      </c>
      <c r="I262" s="39">
        <v>7000</v>
      </c>
      <c r="J262" s="143">
        <f>Inventario[[#This Row],[PRECIO DE VENTA]]-Inventario[[#This Row],[COSTO UNITARIO MAYORISTA ]]</f>
        <v>3500</v>
      </c>
      <c r="K262" s="14">
        <f>Inventario[[#This Row],[PRECIO UTILIDAD]]/Inventario[[#This Row],[PRECIO DE VENTA]]</f>
        <v>0.5</v>
      </c>
    </row>
    <row r="263" spans="1:11" ht="33" customHeight="1">
      <c r="A263" s="145" t="s">
        <v>627</v>
      </c>
      <c r="B263" s="142" t="s">
        <v>628</v>
      </c>
      <c r="C263" s="123" t="s">
        <v>44</v>
      </c>
      <c r="D263" s="142" t="s">
        <v>629</v>
      </c>
      <c r="E263" s="11">
        <v>8000</v>
      </c>
      <c r="F263" s="26">
        <v>1</v>
      </c>
      <c r="G263" s="11">
        <f>Inventario[[#This Row],[COSTO UNITARIO MAYORISTA ]]*Inventario[[#This Row],[CANTIDAD]]</f>
        <v>8000</v>
      </c>
      <c r="H263" s="12">
        <v>0.4</v>
      </c>
      <c r="I263" s="39">
        <v>15000</v>
      </c>
      <c r="J263" s="143">
        <f>Inventario[[#This Row],[PRECIO DE VENTA]]-Inventario[[#This Row],[COSTO UNITARIO MAYORISTA ]]</f>
        <v>7000</v>
      </c>
      <c r="K263" s="14">
        <f>Inventario[[#This Row],[PRECIO UTILIDAD]]/Inventario[[#This Row],[PRECIO DE VENTA]]</f>
        <v>0.46666666666666667</v>
      </c>
    </row>
    <row r="264" spans="1:11" ht="33" customHeight="1">
      <c r="A264" s="21">
        <v>1595169005953</v>
      </c>
      <c r="B264" s="142" t="s">
        <v>630</v>
      </c>
      <c r="C264" s="123" t="s">
        <v>12</v>
      </c>
      <c r="D264" s="142" t="s">
        <v>631</v>
      </c>
      <c r="E264" s="11">
        <v>25000</v>
      </c>
      <c r="F264" s="26">
        <v>1</v>
      </c>
      <c r="G264" s="41">
        <f>Inventario[[#This Row],[COSTO UNITARIO MAYORISTA ]]*Inventario[[#This Row],[CANTIDAD]]</f>
        <v>25000</v>
      </c>
      <c r="H264" s="12">
        <v>0.4</v>
      </c>
      <c r="I264" s="39">
        <v>30000</v>
      </c>
      <c r="J264" s="143">
        <f>Inventario[[#This Row],[PRECIO DE VENTA]]-Inventario[[#This Row],[COSTO UNITARIO MAYORISTA ]]</f>
        <v>5000</v>
      </c>
      <c r="K264" s="14">
        <f>Inventario[[#This Row],[PRECIO UTILIDAD]]/Inventario[[#This Row],[PRECIO DE VENTA]]</f>
        <v>0.16666666666666666</v>
      </c>
    </row>
    <row r="265" spans="1:11" ht="33" customHeight="1" thickBot="1">
      <c r="A265" s="21">
        <v>6867122810962</v>
      </c>
      <c r="B265" s="142" t="s">
        <v>632</v>
      </c>
      <c r="C265" s="123" t="s">
        <v>44</v>
      </c>
      <c r="D265" s="142" t="s">
        <v>633</v>
      </c>
      <c r="E265" s="11">
        <v>25000</v>
      </c>
      <c r="F265" s="26">
        <v>1</v>
      </c>
      <c r="G265" s="41">
        <f>Inventario[[#This Row],[COSTO UNITARIO MAYORISTA ]]*Inventario[[#This Row],[CANTIDAD]]</f>
        <v>25000</v>
      </c>
      <c r="H265" s="12">
        <v>0.4</v>
      </c>
      <c r="I265" s="39">
        <v>40000</v>
      </c>
      <c r="J265" s="143">
        <f>Inventario[[#This Row],[PRECIO DE VENTA]]-Inventario[[#This Row],[COSTO UNITARIO MAYORISTA ]]</f>
        <v>15000</v>
      </c>
      <c r="K265" s="14">
        <f>Inventario[[#This Row],[PRECIO UTILIDAD]]/Inventario[[#This Row],[PRECIO DE VENTA]]</f>
        <v>0.375</v>
      </c>
    </row>
    <row r="266" spans="1:11" ht="33" customHeight="1" thickBot="1">
      <c r="A266" s="117" t="s">
        <v>634</v>
      </c>
      <c r="B266" s="118" t="s">
        <v>635</v>
      </c>
      <c r="C266" s="123" t="s">
        <v>44</v>
      </c>
      <c r="D266" s="135"/>
      <c r="E266" s="11">
        <v>19000</v>
      </c>
      <c r="F266" s="26">
        <v>1</v>
      </c>
      <c r="G266" s="41">
        <f>Inventario[[#This Row],[COSTO UNITARIO MAYORISTA ]]*Inventario[[#This Row],[CANTIDAD]]</f>
        <v>19000</v>
      </c>
      <c r="H266" s="12">
        <v>0.4</v>
      </c>
      <c r="I266" s="39">
        <f>Inventario[[#This Row],[COSTO UNITARIO MAYORISTA ]]/(1-Inventario[[#This Row],[MARGEN DE UTILIDAD]])</f>
        <v>31666.666666666668</v>
      </c>
      <c r="J266" s="143">
        <f>Inventario[[#This Row],[PRECIO DE VENTA]]-Inventario[[#This Row],[COSTO UNITARIO MAYORISTA ]]</f>
        <v>12666.666666666668</v>
      </c>
      <c r="K266" s="14">
        <f>Inventario[[#This Row],[PRECIO UTILIDAD]]/Inventario[[#This Row],[PRECIO DE VENTA]]</f>
        <v>0.4</v>
      </c>
    </row>
    <row r="267" spans="1:11" ht="33" customHeight="1" thickBot="1">
      <c r="A267" s="119" t="s">
        <v>636</v>
      </c>
      <c r="B267" s="120" t="s">
        <v>637</v>
      </c>
      <c r="C267" s="123" t="s">
        <v>44</v>
      </c>
      <c r="D267" s="136"/>
      <c r="E267" s="11">
        <v>11300</v>
      </c>
      <c r="F267" s="26">
        <v>1</v>
      </c>
      <c r="G267" s="41">
        <f>Inventario[[#This Row],[COSTO UNITARIO MAYORISTA ]]*Inventario[[#This Row],[CANTIDAD]]</f>
        <v>11300</v>
      </c>
      <c r="H267" s="12">
        <v>0.4</v>
      </c>
      <c r="I267" s="39">
        <f>Inventario[[#This Row],[COSTO UNITARIO MAYORISTA ]]/(1-Inventario[[#This Row],[MARGEN DE UTILIDAD]])</f>
        <v>18833.333333333336</v>
      </c>
      <c r="J267" s="143">
        <f>Inventario[[#This Row],[PRECIO DE VENTA]]-Inventario[[#This Row],[COSTO UNITARIO MAYORISTA ]]</f>
        <v>7533.3333333333358</v>
      </c>
      <c r="K267" s="14">
        <f>Inventario[[#This Row],[PRECIO UTILIDAD]]/Inventario[[#This Row],[PRECIO DE VENTA]]</f>
        <v>0.40000000000000008</v>
      </c>
    </row>
    <row r="268" spans="1:11" ht="33" customHeight="1" thickBot="1">
      <c r="A268" s="121" t="s">
        <v>638</v>
      </c>
      <c r="B268" s="122" t="s">
        <v>639</v>
      </c>
      <c r="C268" s="123" t="s">
        <v>44</v>
      </c>
      <c r="D268" s="137"/>
      <c r="E268" s="11">
        <v>9200</v>
      </c>
      <c r="F268" s="26">
        <v>2</v>
      </c>
      <c r="G268" s="41">
        <f>Inventario[[#This Row],[COSTO UNITARIO MAYORISTA ]]*Inventario[[#This Row],[CANTIDAD]]</f>
        <v>18400</v>
      </c>
      <c r="H268" s="12">
        <v>0.4</v>
      </c>
      <c r="I268" s="39">
        <f>Inventario[[#This Row],[COSTO UNITARIO MAYORISTA ]]/(1-Inventario[[#This Row],[MARGEN DE UTILIDAD]])</f>
        <v>15333.333333333334</v>
      </c>
      <c r="J268" s="143">
        <f>Inventario[[#This Row],[PRECIO DE VENTA]]-Inventario[[#This Row],[COSTO UNITARIO MAYORISTA ]]</f>
        <v>6133.3333333333339</v>
      </c>
      <c r="K268" s="14">
        <f>Inventario[[#This Row],[PRECIO UTILIDAD]]/Inventario[[#This Row],[PRECIO DE VENTA]]</f>
        <v>0.4</v>
      </c>
    </row>
    <row r="269" spans="1:11" ht="33" customHeight="1" thickBot="1">
      <c r="A269" s="119" t="s">
        <v>640</v>
      </c>
      <c r="B269" s="120" t="s">
        <v>641</v>
      </c>
      <c r="C269" s="123" t="s">
        <v>44</v>
      </c>
      <c r="D269" s="136"/>
      <c r="E269" s="11">
        <v>25000</v>
      </c>
      <c r="F269" s="26">
        <v>1</v>
      </c>
      <c r="G269" s="41">
        <f>Inventario[[#This Row],[COSTO UNITARIO MAYORISTA ]]*Inventario[[#This Row],[CANTIDAD]]</f>
        <v>25000</v>
      </c>
      <c r="H269" s="12">
        <v>0.4</v>
      </c>
      <c r="I269" s="39">
        <f>Inventario[[#This Row],[COSTO UNITARIO MAYORISTA ]]/(1-Inventario[[#This Row],[MARGEN DE UTILIDAD]])</f>
        <v>41666.666666666672</v>
      </c>
      <c r="J269" s="143">
        <f>Inventario[[#This Row],[PRECIO DE VENTA]]-Inventario[[#This Row],[COSTO UNITARIO MAYORISTA ]]</f>
        <v>16666.666666666672</v>
      </c>
      <c r="K269" s="14">
        <f>Inventario[[#This Row],[PRECIO UTILIDAD]]/Inventario[[#This Row],[PRECIO DE VENTA]]</f>
        <v>0.40000000000000008</v>
      </c>
    </row>
    <row r="270" spans="1:11" ht="33" customHeight="1">
      <c r="A270" s="141" t="s">
        <v>642</v>
      </c>
      <c r="B270" s="21" t="s">
        <v>643</v>
      </c>
      <c r="C270" s="15" t="s">
        <v>67</v>
      </c>
      <c r="D270" s="21" t="s">
        <v>644</v>
      </c>
      <c r="E270" s="11">
        <v>7000</v>
      </c>
      <c r="F270" s="26">
        <v>1</v>
      </c>
      <c r="G270" s="41">
        <f>Inventario[[#This Row],[COSTO UNITARIO MAYORISTA ]]*Inventario[[#This Row],[CANTIDAD]]</f>
        <v>7000</v>
      </c>
      <c r="H270" s="12">
        <v>0.4</v>
      </c>
      <c r="I270" s="39">
        <v>15000</v>
      </c>
      <c r="J270" s="143">
        <f>Inventario[[#This Row],[PRECIO DE VENTA]]-Inventario[[#This Row],[COSTO UNITARIO MAYORISTA ]]</f>
        <v>8000</v>
      </c>
      <c r="K270" s="14">
        <f>Inventario[[#This Row],[PRECIO UTILIDAD]]/Inventario[[#This Row],[PRECIO DE VENTA]]</f>
        <v>0.53333333333333333</v>
      </c>
    </row>
    <row r="271" spans="1:11" ht="33" customHeight="1">
      <c r="A271" s="21">
        <v>6976264160825</v>
      </c>
      <c r="B271" s="21" t="s">
        <v>645</v>
      </c>
      <c r="C271" s="15" t="s">
        <v>67</v>
      </c>
      <c r="D271" s="21" t="s">
        <v>646</v>
      </c>
      <c r="E271" s="11">
        <v>600</v>
      </c>
      <c r="F271" s="26">
        <v>9</v>
      </c>
      <c r="G271" s="41">
        <f>Inventario[[#This Row],[COSTO UNITARIO MAYORISTA ]]*Inventario[[#This Row],[CANTIDAD]]</f>
        <v>5400</v>
      </c>
      <c r="H271" s="12">
        <v>0.4</v>
      </c>
      <c r="I271" s="39">
        <v>2000</v>
      </c>
      <c r="J271" s="143">
        <f>Inventario[[#This Row],[PRECIO DE VENTA]]-Inventario[[#This Row],[COSTO UNITARIO MAYORISTA ]]</f>
        <v>1400</v>
      </c>
      <c r="K271" s="14">
        <f>Inventario[[#This Row],[PRECIO UTILIDAD]]/Inventario[[#This Row],[PRECIO DE VENTA]]</f>
        <v>0.7</v>
      </c>
    </row>
    <row r="272" spans="1:11" ht="33" customHeight="1">
      <c r="A272" s="21">
        <v>6974042771065</v>
      </c>
      <c r="B272" s="21" t="s">
        <v>647</v>
      </c>
      <c r="C272" s="15" t="s">
        <v>67</v>
      </c>
      <c r="D272" s="21" t="s">
        <v>648</v>
      </c>
      <c r="E272" s="11">
        <v>550</v>
      </c>
      <c r="F272" s="26">
        <v>9</v>
      </c>
      <c r="G272" s="41">
        <f>Inventario[[#This Row],[COSTO UNITARIO MAYORISTA ]]*Inventario[[#This Row],[CANTIDAD]]</f>
        <v>4950</v>
      </c>
      <c r="H272" s="12">
        <v>0.4</v>
      </c>
      <c r="I272" s="39">
        <v>2000</v>
      </c>
      <c r="J272" s="143">
        <f>Inventario[[#This Row],[PRECIO DE VENTA]]-Inventario[[#This Row],[COSTO UNITARIO MAYORISTA ]]</f>
        <v>1450</v>
      </c>
      <c r="K272" s="14">
        <f>Inventario[[#This Row],[PRECIO UTILIDAD]]/Inventario[[#This Row],[PRECIO DE VENTA]]</f>
        <v>0.72499999999999998</v>
      </c>
    </row>
    <row r="273" spans="1:11" ht="33" customHeight="1">
      <c r="A273" s="21">
        <v>6922291002621</v>
      </c>
      <c r="B273" s="21" t="s">
        <v>649</v>
      </c>
      <c r="C273" s="15" t="s">
        <v>67</v>
      </c>
      <c r="D273" s="21" t="s">
        <v>650</v>
      </c>
      <c r="E273" s="11">
        <v>7500</v>
      </c>
      <c r="F273" s="26">
        <v>1</v>
      </c>
      <c r="G273" s="41">
        <f>Inventario[[#This Row],[COSTO UNITARIO MAYORISTA ]]*Inventario[[#This Row],[CANTIDAD]]</f>
        <v>7500</v>
      </c>
      <c r="H273" s="12">
        <v>0.4</v>
      </c>
      <c r="I273" s="39">
        <v>20000</v>
      </c>
      <c r="J273" s="143">
        <f>Inventario[[#This Row],[PRECIO DE VENTA]]-Inventario[[#This Row],[COSTO UNITARIO MAYORISTA ]]</f>
        <v>12500</v>
      </c>
      <c r="K273" s="14">
        <f>Inventario[[#This Row],[PRECIO UTILIDAD]]/Inventario[[#This Row],[PRECIO DE VENTA]]</f>
        <v>0.625</v>
      </c>
    </row>
    <row r="274" spans="1:11" ht="33" customHeight="1">
      <c r="A274" s="21">
        <v>6973672501189</v>
      </c>
      <c r="B274" s="21" t="s">
        <v>651</v>
      </c>
      <c r="C274" s="15" t="s">
        <v>67</v>
      </c>
      <c r="D274" s="21" t="s">
        <v>652</v>
      </c>
      <c r="E274" s="11">
        <v>2200</v>
      </c>
      <c r="F274" s="26">
        <v>3</v>
      </c>
      <c r="G274" s="41">
        <f>Inventario[[#This Row],[COSTO UNITARIO MAYORISTA ]]*Inventario[[#This Row],[CANTIDAD]]</f>
        <v>6600</v>
      </c>
      <c r="H274" s="12">
        <v>0.4</v>
      </c>
      <c r="I274" s="39">
        <v>5000</v>
      </c>
      <c r="J274" s="143">
        <f>Inventario[[#This Row],[PRECIO DE VENTA]]-Inventario[[#This Row],[COSTO UNITARIO MAYORISTA ]]</f>
        <v>2800</v>
      </c>
      <c r="K274" s="14">
        <f>Inventario[[#This Row],[PRECIO UTILIDAD]]/Inventario[[#This Row],[PRECIO DE VENTA]]</f>
        <v>0.56000000000000005</v>
      </c>
    </row>
    <row r="275" spans="1:11" ht="33" customHeight="1">
      <c r="A275" s="21">
        <v>6971879380453</v>
      </c>
      <c r="B275" s="21" t="s">
        <v>653</v>
      </c>
      <c r="C275" s="15" t="s">
        <v>67</v>
      </c>
      <c r="D275" s="21" t="s">
        <v>654</v>
      </c>
      <c r="E275" s="11">
        <v>12000</v>
      </c>
      <c r="F275" s="26">
        <v>1</v>
      </c>
      <c r="G275" s="41">
        <f>Inventario[[#This Row],[COSTO UNITARIO MAYORISTA ]]*Inventario[[#This Row],[CANTIDAD]]</f>
        <v>12000</v>
      </c>
      <c r="H275" s="12">
        <v>0.4</v>
      </c>
      <c r="I275" s="39">
        <f>Inventario[[#This Row],[COSTO UNITARIO MAYORISTA ]]/(1-Inventario[[#This Row],[MARGEN DE UTILIDAD]])</f>
        <v>20000</v>
      </c>
      <c r="J275" s="143">
        <f>Inventario[[#This Row],[PRECIO DE VENTA]]-Inventario[[#This Row],[COSTO UNITARIO MAYORISTA ]]</f>
        <v>8000</v>
      </c>
      <c r="K275" s="14">
        <f>Inventario[[#This Row],[PRECIO UTILIDAD]]/Inventario[[#This Row],[PRECIO DE VENTA]]</f>
        <v>0.4</v>
      </c>
    </row>
    <row r="276" spans="1:11" ht="33" customHeight="1">
      <c r="A276" s="21">
        <v>6918444312310</v>
      </c>
      <c r="B276" s="21" t="s">
        <v>655</v>
      </c>
      <c r="C276" s="15" t="s">
        <v>67</v>
      </c>
      <c r="D276" s="21" t="s">
        <v>656</v>
      </c>
      <c r="E276" s="11">
        <v>5500</v>
      </c>
      <c r="F276" s="26">
        <v>2</v>
      </c>
      <c r="G276" s="41">
        <f>Inventario[[#This Row],[COSTO UNITARIO MAYORISTA ]]*Inventario[[#This Row],[CANTIDAD]]</f>
        <v>11000</v>
      </c>
      <c r="H276" s="12">
        <v>0.4</v>
      </c>
      <c r="I276" s="39">
        <v>15000</v>
      </c>
      <c r="J276" s="143">
        <f>Inventario[[#This Row],[PRECIO DE VENTA]]-Inventario[[#This Row],[COSTO UNITARIO MAYORISTA ]]</f>
        <v>9500</v>
      </c>
      <c r="K276" s="14">
        <f>Inventario[[#This Row],[PRECIO UTILIDAD]]/Inventario[[#This Row],[PRECIO DE VENTA]]</f>
        <v>0.6333333333333333</v>
      </c>
    </row>
    <row r="277" spans="1:11" ht="33" customHeight="1">
      <c r="A277" s="21">
        <v>6938469311259</v>
      </c>
      <c r="B277" s="21" t="s">
        <v>657</v>
      </c>
      <c r="C277" s="15" t="s">
        <v>67</v>
      </c>
      <c r="D277" s="21" t="s">
        <v>658</v>
      </c>
      <c r="E277" s="11">
        <v>3800</v>
      </c>
      <c r="F277" s="26">
        <v>4</v>
      </c>
      <c r="G277" s="41">
        <f>Inventario[[#This Row],[COSTO UNITARIO MAYORISTA ]]*Inventario[[#This Row],[CANTIDAD]]</f>
        <v>15200</v>
      </c>
      <c r="H277" s="12">
        <v>0.4</v>
      </c>
      <c r="I277" s="39">
        <v>15000</v>
      </c>
      <c r="J277" s="143">
        <f>Inventario[[#This Row],[PRECIO DE VENTA]]-Inventario[[#This Row],[COSTO UNITARIO MAYORISTA ]]</f>
        <v>11200</v>
      </c>
      <c r="K277" s="14">
        <f>Inventario[[#This Row],[PRECIO UTILIDAD]]/Inventario[[#This Row],[PRECIO DE VENTA]]</f>
        <v>0.7466666666666667</v>
      </c>
    </row>
    <row r="278" spans="1:11" ht="33" customHeight="1">
      <c r="A278" s="21">
        <v>6991200001383</v>
      </c>
      <c r="B278" s="21" t="s">
        <v>606</v>
      </c>
      <c r="C278" s="15" t="s">
        <v>67</v>
      </c>
      <c r="D278" s="21" t="s">
        <v>659</v>
      </c>
      <c r="E278" s="11">
        <v>5500</v>
      </c>
      <c r="F278" s="26">
        <v>6</v>
      </c>
      <c r="G278" s="41">
        <f>Inventario[[#This Row],[COSTO UNITARIO MAYORISTA ]]*Inventario[[#This Row],[CANTIDAD]]</f>
        <v>33000</v>
      </c>
      <c r="H278" s="12">
        <v>0.4</v>
      </c>
      <c r="I278" s="39">
        <v>15000</v>
      </c>
      <c r="J278" s="143">
        <f>Inventario[[#This Row],[PRECIO DE VENTA]]-Inventario[[#This Row],[COSTO UNITARIO MAYORISTA ]]</f>
        <v>9500</v>
      </c>
      <c r="K278" s="14">
        <f>Inventario[[#This Row],[PRECIO UTILIDAD]]/Inventario[[#This Row],[PRECIO DE VENTA]]</f>
        <v>0.6333333333333333</v>
      </c>
    </row>
    <row r="279" spans="1:11" ht="33" customHeight="1">
      <c r="A279" s="21" t="s">
        <v>660</v>
      </c>
      <c r="B279" s="21" t="s">
        <v>661</v>
      </c>
      <c r="C279" s="15" t="s">
        <v>67</v>
      </c>
      <c r="D279" s="21" t="s">
        <v>662</v>
      </c>
      <c r="E279" s="11">
        <v>1600</v>
      </c>
      <c r="F279" s="26">
        <v>2</v>
      </c>
      <c r="G279" s="41">
        <f>Inventario[[#This Row],[COSTO UNITARIO MAYORISTA ]]*Inventario[[#This Row],[CANTIDAD]]</f>
        <v>3200</v>
      </c>
      <c r="H279" s="12">
        <v>0.4</v>
      </c>
      <c r="I279" s="39">
        <v>8000</v>
      </c>
      <c r="J279" s="143">
        <f>Inventario[[#This Row],[PRECIO DE VENTA]]-Inventario[[#This Row],[COSTO UNITARIO MAYORISTA ]]</f>
        <v>6400</v>
      </c>
      <c r="K279" s="14">
        <f>Inventario[[#This Row],[PRECIO UTILIDAD]]/Inventario[[#This Row],[PRECIO DE VENTA]]</f>
        <v>0.8</v>
      </c>
    </row>
    <row r="280" spans="1:11" ht="33" customHeight="1">
      <c r="A280" s="21">
        <v>4803413660474</v>
      </c>
      <c r="B280" s="21" t="s">
        <v>663</v>
      </c>
      <c r="C280" s="15" t="s">
        <v>67</v>
      </c>
      <c r="D280" s="21" t="s">
        <v>664</v>
      </c>
      <c r="E280" s="11">
        <v>2500</v>
      </c>
      <c r="F280" s="26">
        <v>3</v>
      </c>
      <c r="G280" s="41">
        <f>Inventario[[#This Row],[COSTO UNITARIO MAYORISTA ]]*Inventario[[#This Row],[CANTIDAD]]</f>
        <v>7500</v>
      </c>
      <c r="H280" s="12">
        <v>0.4</v>
      </c>
      <c r="I280" s="39">
        <v>5000</v>
      </c>
      <c r="J280" s="143">
        <f>Inventario[[#This Row],[PRECIO DE VENTA]]-Inventario[[#This Row],[COSTO UNITARIO MAYORISTA ]]</f>
        <v>2500</v>
      </c>
      <c r="K280" s="14">
        <f>Inventario[[#This Row],[PRECIO UTILIDAD]]/Inventario[[#This Row],[PRECIO DE VENTA]]</f>
        <v>0.5</v>
      </c>
    </row>
    <row r="281" spans="1:11" ht="33" customHeight="1">
      <c r="A281" s="21">
        <v>6975320533368</v>
      </c>
      <c r="B281" s="21" t="s">
        <v>665</v>
      </c>
      <c r="C281" s="15" t="s">
        <v>67</v>
      </c>
      <c r="D281" s="21" t="s">
        <v>666</v>
      </c>
      <c r="E281" s="11">
        <v>2500</v>
      </c>
      <c r="F281" s="26">
        <v>1</v>
      </c>
      <c r="G281" s="41">
        <f>Inventario[[#This Row],[COSTO UNITARIO MAYORISTA ]]*Inventario[[#This Row],[CANTIDAD]]</f>
        <v>2500</v>
      </c>
      <c r="H281" s="12">
        <v>0.4</v>
      </c>
      <c r="I281" s="39">
        <v>5000</v>
      </c>
      <c r="J281" s="143">
        <f>Inventario[[#This Row],[PRECIO DE VENTA]]-Inventario[[#This Row],[COSTO UNITARIO MAYORISTA ]]</f>
        <v>2500</v>
      </c>
      <c r="K281" s="14">
        <f>Inventario[[#This Row],[PRECIO UTILIDAD]]/Inventario[[#This Row],[PRECIO DE VENTA]]</f>
        <v>0.5</v>
      </c>
    </row>
    <row r="282" spans="1:11" ht="33" customHeight="1">
      <c r="A282" s="21">
        <v>6975160081579</v>
      </c>
      <c r="B282" s="21" t="s">
        <v>667</v>
      </c>
      <c r="C282" s="15" t="s">
        <v>67</v>
      </c>
      <c r="D282" s="21" t="s">
        <v>668</v>
      </c>
      <c r="E282" s="11">
        <v>5800</v>
      </c>
      <c r="F282" s="26">
        <v>1</v>
      </c>
      <c r="G282" s="41">
        <f>Inventario[[#This Row],[COSTO UNITARIO MAYORISTA ]]*Inventario[[#This Row],[CANTIDAD]]</f>
        <v>5800</v>
      </c>
      <c r="H282" s="12">
        <v>0.4</v>
      </c>
      <c r="I282" s="39">
        <v>15000</v>
      </c>
      <c r="J282" s="143">
        <f>Inventario[[#This Row],[PRECIO DE VENTA]]-Inventario[[#This Row],[COSTO UNITARIO MAYORISTA ]]</f>
        <v>9200</v>
      </c>
      <c r="K282" s="14">
        <f>Inventario[[#This Row],[PRECIO UTILIDAD]]/Inventario[[#This Row],[PRECIO DE VENTA]]</f>
        <v>0.61333333333333329</v>
      </c>
    </row>
    <row r="283" spans="1:11" ht="33" customHeight="1">
      <c r="A283" s="21">
        <v>6979685367217</v>
      </c>
      <c r="B283" s="21" t="s">
        <v>669</v>
      </c>
      <c r="C283" s="15" t="s">
        <v>67</v>
      </c>
      <c r="D283" s="21" t="s">
        <v>670</v>
      </c>
      <c r="E283" s="11">
        <v>1600</v>
      </c>
      <c r="F283" s="26">
        <v>2</v>
      </c>
      <c r="G283" s="41">
        <f>Inventario[[#This Row],[COSTO UNITARIO MAYORISTA ]]*Inventario[[#This Row],[CANTIDAD]]</f>
        <v>3200</v>
      </c>
      <c r="H283" s="12">
        <v>0.4</v>
      </c>
      <c r="I283" s="39">
        <v>5000</v>
      </c>
      <c r="J283" s="143">
        <f>Inventario[[#This Row],[PRECIO DE VENTA]]-Inventario[[#This Row],[COSTO UNITARIO MAYORISTA ]]</f>
        <v>3400</v>
      </c>
      <c r="K283" s="14">
        <f>Inventario[[#This Row],[PRECIO UTILIDAD]]/Inventario[[#This Row],[PRECIO DE VENTA]]</f>
        <v>0.68</v>
      </c>
    </row>
    <row r="284" spans="1:11" ht="33" customHeight="1">
      <c r="A284" s="21" t="s">
        <v>671</v>
      </c>
      <c r="B284" s="21" t="s">
        <v>672</v>
      </c>
      <c r="C284" s="15" t="s">
        <v>67</v>
      </c>
      <c r="D284" s="21" t="s">
        <v>673</v>
      </c>
      <c r="E284" s="11">
        <v>2000</v>
      </c>
      <c r="F284" s="26">
        <v>2</v>
      </c>
      <c r="G284" s="41">
        <f>Inventario[[#This Row],[COSTO UNITARIO MAYORISTA ]]*Inventario[[#This Row],[CANTIDAD]]</f>
        <v>4000</v>
      </c>
      <c r="H284" s="12">
        <v>0.4</v>
      </c>
      <c r="I284" s="39">
        <v>5000</v>
      </c>
      <c r="J284" s="143">
        <f>Inventario[[#This Row],[PRECIO DE VENTA]]-Inventario[[#This Row],[COSTO UNITARIO MAYORISTA ]]</f>
        <v>3000</v>
      </c>
      <c r="K284" s="14">
        <f>Inventario[[#This Row],[PRECIO UTILIDAD]]/Inventario[[#This Row],[PRECIO DE VENTA]]</f>
        <v>0.6</v>
      </c>
    </row>
    <row r="285" spans="1:11" ht="33" customHeight="1">
      <c r="A285" s="21">
        <v>6920240510111</v>
      </c>
      <c r="B285" s="21" t="s">
        <v>674</v>
      </c>
      <c r="C285" s="15" t="s">
        <v>67</v>
      </c>
      <c r="D285" s="21" t="s">
        <v>674</v>
      </c>
      <c r="E285" s="11">
        <v>380</v>
      </c>
      <c r="F285" s="26">
        <v>10</v>
      </c>
      <c r="G285" s="41">
        <f>Inventario[[#This Row],[COSTO UNITARIO MAYORISTA ]]*Inventario[[#This Row],[CANTIDAD]]</f>
        <v>3800</v>
      </c>
      <c r="H285" s="12">
        <v>0.4</v>
      </c>
      <c r="I285" s="39">
        <v>1000</v>
      </c>
      <c r="J285" s="143">
        <f>Inventario[[#This Row],[PRECIO DE VENTA]]-Inventario[[#This Row],[COSTO UNITARIO MAYORISTA ]]</f>
        <v>620</v>
      </c>
      <c r="K285" s="14">
        <f>Inventario[[#This Row],[PRECIO UTILIDAD]]/Inventario[[#This Row],[PRECIO DE VENTA]]</f>
        <v>0.62</v>
      </c>
    </row>
    <row r="286" spans="1:11" ht="33" customHeight="1">
      <c r="A286" s="226" t="s">
        <v>893</v>
      </c>
      <c r="B286" s="21" t="s">
        <v>675</v>
      </c>
      <c r="C286" s="15" t="s">
        <v>52</v>
      </c>
      <c r="D286" s="21" t="s">
        <v>676</v>
      </c>
      <c r="E286" s="11">
        <v>11000</v>
      </c>
      <c r="F286" s="26">
        <v>4</v>
      </c>
      <c r="G286" s="41">
        <f>Inventario[[#This Row],[COSTO UNITARIO MAYORISTA ]]*Inventario[[#This Row],[CANTIDAD]]</f>
        <v>44000</v>
      </c>
      <c r="H286" s="12">
        <v>0.4</v>
      </c>
      <c r="I286" s="39">
        <v>20000</v>
      </c>
      <c r="J286" s="143">
        <f>Inventario[[#This Row],[PRECIO DE VENTA]]-Inventario[[#This Row],[COSTO UNITARIO MAYORISTA ]]</f>
        <v>9000</v>
      </c>
      <c r="K286" s="14">
        <f>Inventario[[#This Row],[PRECIO UTILIDAD]]/Inventario[[#This Row],[PRECIO DE VENTA]]</f>
        <v>0.45</v>
      </c>
    </row>
    <row r="287" spans="1:11" ht="33" customHeight="1">
      <c r="A287" s="231" t="s">
        <v>910</v>
      </c>
      <c r="B287" s="21" t="s">
        <v>678</v>
      </c>
      <c r="C287" s="15" t="s">
        <v>52</v>
      </c>
      <c r="D287" s="21" t="s">
        <v>679</v>
      </c>
      <c r="E287" s="11">
        <v>10000</v>
      </c>
      <c r="F287" s="26">
        <v>1</v>
      </c>
      <c r="G287" s="41">
        <f>Inventario[[#This Row],[COSTO UNITARIO MAYORISTA ]]*Inventario[[#This Row],[CANTIDAD]]</f>
        <v>10000</v>
      </c>
      <c r="H287" s="12">
        <v>0.4</v>
      </c>
      <c r="I287" s="39">
        <v>20000</v>
      </c>
      <c r="J287" s="143">
        <f>Inventario[[#This Row],[PRECIO DE VENTA]]-Inventario[[#This Row],[COSTO UNITARIO MAYORISTA ]]</f>
        <v>10000</v>
      </c>
      <c r="K287" s="14">
        <f>Inventario[[#This Row],[PRECIO UTILIDAD]]/Inventario[[#This Row],[PRECIO DE VENTA]]</f>
        <v>0.5</v>
      </c>
    </row>
    <row r="288" spans="1:11" ht="33" customHeight="1">
      <c r="A288" s="21" t="s">
        <v>680</v>
      </c>
      <c r="B288" s="21" t="s">
        <v>681</v>
      </c>
      <c r="C288" s="15" t="s">
        <v>52</v>
      </c>
      <c r="D288" s="21" t="s">
        <v>682</v>
      </c>
      <c r="E288" s="11">
        <v>20000</v>
      </c>
      <c r="F288" s="26">
        <v>4</v>
      </c>
      <c r="G288" s="41">
        <f>Inventario[[#This Row],[COSTO UNITARIO MAYORISTA ]]*Inventario[[#This Row],[CANTIDAD]]</f>
        <v>80000</v>
      </c>
      <c r="H288" s="12">
        <v>0.4</v>
      </c>
      <c r="I288" s="39">
        <v>35000</v>
      </c>
      <c r="J288" s="143">
        <f>Inventario[[#This Row],[PRECIO DE VENTA]]-Inventario[[#This Row],[COSTO UNITARIO MAYORISTA ]]</f>
        <v>15000</v>
      </c>
      <c r="K288" s="14">
        <f>Inventario[[#This Row],[PRECIO UTILIDAD]]/Inventario[[#This Row],[PRECIO DE VENTA]]</f>
        <v>0.42857142857142855</v>
      </c>
    </row>
    <row r="289" spans="1:11" ht="33" customHeight="1">
      <c r="A289" s="216" t="s">
        <v>683</v>
      </c>
      <c r="B289" s="21" t="s">
        <v>684</v>
      </c>
      <c r="C289" s="15" t="s">
        <v>52</v>
      </c>
      <c r="D289" s="21" t="s">
        <v>685</v>
      </c>
      <c r="E289" s="11">
        <v>15000</v>
      </c>
      <c r="F289" s="26">
        <v>2</v>
      </c>
      <c r="G289" s="41">
        <f>Inventario[[#This Row],[COSTO UNITARIO MAYORISTA ]]*Inventario[[#This Row],[CANTIDAD]]</f>
        <v>30000</v>
      </c>
      <c r="H289" s="12">
        <v>0.4</v>
      </c>
      <c r="I289" s="39">
        <v>30000</v>
      </c>
      <c r="J289" s="143">
        <f>Inventario[[#This Row],[PRECIO DE VENTA]]-Inventario[[#This Row],[COSTO UNITARIO MAYORISTA ]]</f>
        <v>15000</v>
      </c>
      <c r="K289" s="14">
        <f>Inventario[[#This Row],[PRECIO UTILIDAD]]/Inventario[[#This Row],[PRECIO DE VENTA]]</f>
        <v>0.5</v>
      </c>
    </row>
    <row r="290" spans="1:11" ht="33" customHeight="1">
      <c r="A290" s="216" t="s">
        <v>898</v>
      </c>
      <c r="B290" s="21" t="s">
        <v>687</v>
      </c>
      <c r="C290" s="15" t="s">
        <v>52</v>
      </c>
      <c r="D290" s="21" t="s">
        <v>688</v>
      </c>
      <c r="E290" s="11">
        <v>15000</v>
      </c>
      <c r="F290" s="26">
        <v>1</v>
      </c>
      <c r="G290" s="41">
        <f>Inventario[[#This Row],[COSTO UNITARIO MAYORISTA ]]*Inventario[[#This Row],[CANTIDAD]]</f>
        <v>15000</v>
      </c>
      <c r="H290" s="12">
        <v>0.4</v>
      </c>
      <c r="I290" s="39">
        <f>Inventario[[#This Row],[COSTO UNITARIO MAYORISTA ]]/(1-Inventario[[#This Row],[MARGEN DE UTILIDAD]])</f>
        <v>25000</v>
      </c>
      <c r="J290" s="143">
        <f>Inventario[[#This Row],[PRECIO DE VENTA]]-Inventario[[#This Row],[COSTO UNITARIO MAYORISTA ]]</f>
        <v>10000</v>
      </c>
      <c r="K290" s="14">
        <f>Inventario[[#This Row],[PRECIO UTILIDAD]]/Inventario[[#This Row],[PRECIO DE VENTA]]</f>
        <v>0.4</v>
      </c>
    </row>
    <row r="291" spans="1:11" ht="33" customHeight="1">
      <c r="A291" s="21" t="s">
        <v>689</v>
      </c>
      <c r="B291" s="21" t="s">
        <v>690</v>
      </c>
      <c r="C291" s="15" t="s">
        <v>52</v>
      </c>
      <c r="D291" s="21" t="s">
        <v>691</v>
      </c>
      <c r="E291" s="11">
        <v>29000</v>
      </c>
      <c r="F291" s="26">
        <v>1</v>
      </c>
      <c r="G291" s="41">
        <f>Inventario[[#This Row],[COSTO UNITARIO MAYORISTA ]]*Inventario[[#This Row],[CANTIDAD]]</f>
        <v>29000</v>
      </c>
      <c r="H291" s="12">
        <v>0.4</v>
      </c>
      <c r="I291" s="39">
        <v>70000</v>
      </c>
      <c r="J291" s="143">
        <f>Inventario[[#This Row],[PRECIO DE VENTA]]-Inventario[[#This Row],[COSTO UNITARIO MAYORISTA ]]</f>
        <v>41000</v>
      </c>
      <c r="K291" s="14">
        <f>Inventario[[#This Row],[PRECIO UTILIDAD]]/Inventario[[#This Row],[PRECIO DE VENTA]]</f>
        <v>0.58571428571428574</v>
      </c>
    </row>
    <row r="292" spans="1:11" ht="33" customHeight="1">
      <c r="A292" s="216" t="s">
        <v>886</v>
      </c>
      <c r="B292" s="21" t="s">
        <v>692</v>
      </c>
      <c r="C292" s="15" t="s">
        <v>52</v>
      </c>
      <c r="D292" s="21" t="s">
        <v>693</v>
      </c>
      <c r="E292" s="11">
        <v>66000</v>
      </c>
      <c r="F292" s="26">
        <v>1</v>
      </c>
      <c r="G292" s="41">
        <f>Inventario[[#This Row],[COSTO UNITARIO MAYORISTA ]]*Inventario[[#This Row],[CANTIDAD]]</f>
        <v>66000</v>
      </c>
      <c r="H292" s="12">
        <v>0.4</v>
      </c>
      <c r="I292" s="39">
        <v>100000</v>
      </c>
      <c r="J292" s="143">
        <f>Inventario[[#This Row],[PRECIO DE VENTA]]-Inventario[[#This Row],[COSTO UNITARIO MAYORISTA ]]</f>
        <v>34000</v>
      </c>
      <c r="K292" s="14">
        <f>Inventario[[#This Row],[PRECIO UTILIDAD]]/Inventario[[#This Row],[PRECIO DE VENTA]]</f>
        <v>0.34</v>
      </c>
    </row>
    <row r="293" spans="1:11" ht="33" customHeight="1">
      <c r="A293" s="216" t="s">
        <v>888</v>
      </c>
      <c r="B293" s="21" t="s">
        <v>694</v>
      </c>
      <c r="C293" s="15" t="s">
        <v>52</v>
      </c>
      <c r="D293" s="21" t="s">
        <v>694</v>
      </c>
      <c r="E293" s="11">
        <v>32000</v>
      </c>
      <c r="F293" s="26">
        <v>1</v>
      </c>
      <c r="G293" s="41">
        <f>Inventario[[#This Row],[COSTO UNITARIO MAYORISTA ]]*Inventario[[#This Row],[CANTIDAD]]</f>
        <v>32000</v>
      </c>
      <c r="H293" s="12">
        <v>0.4</v>
      </c>
      <c r="I293" s="39">
        <v>60000</v>
      </c>
      <c r="J293" s="143">
        <f>Inventario[[#This Row],[PRECIO DE VENTA]]-Inventario[[#This Row],[COSTO UNITARIO MAYORISTA ]]</f>
        <v>28000</v>
      </c>
      <c r="K293" s="14">
        <f>Inventario[[#This Row],[PRECIO UTILIDAD]]/Inventario[[#This Row],[PRECIO DE VENTA]]</f>
        <v>0.46666666666666667</v>
      </c>
    </row>
    <row r="294" spans="1:11" ht="33" customHeight="1">
      <c r="A294" s="21" t="s">
        <v>695</v>
      </c>
      <c r="B294" s="21" t="s">
        <v>696</v>
      </c>
      <c r="C294" s="15" t="s">
        <v>52</v>
      </c>
      <c r="D294" s="21" t="s">
        <v>697</v>
      </c>
      <c r="E294" s="11">
        <v>6500</v>
      </c>
      <c r="F294" s="26">
        <v>1</v>
      </c>
      <c r="G294" s="41">
        <f>Inventario[[#This Row],[COSTO UNITARIO MAYORISTA ]]*Inventario[[#This Row],[CANTIDAD]]</f>
        <v>6500</v>
      </c>
      <c r="H294" s="12">
        <v>0.4</v>
      </c>
      <c r="I294" s="39">
        <v>12000</v>
      </c>
      <c r="J294" s="143">
        <f>Inventario[[#This Row],[PRECIO DE VENTA]]-Inventario[[#This Row],[COSTO UNITARIO MAYORISTA ]]</f>
        <v>5500</v>
      </c>
      <c r="K294" s="14">
        <f>Inventario[[#This Row],[PRECIO UTILIDAD]]/Inventario[[#This Row],[PRECIO DE VENTA]]</f>
        <v>0.45833333333333331</v>
      </c>
    </row>
    <row r="295" spans="1:11" ht="33" customHeight="1">
      <c r="A295" s="141" t="s">
        <v>698</v>
      </c>
      <c r="B295" s="21" t="s">
        <v>699</v>
      </c>
      <c r="C295" s="15" t="s">
        <v>16</v>
      </c>
      <c r="D295" s="21" t="s">
        <v>700</v>
      </c>
      <c r="E295" s="11">
        <v>47000</v>
      </c>
      <c r="F295" s="26">
        <v>1</v>
      </c>
      <c r="G295" s="41">
        <f>Inventario[[#This Row],[COSTO UNITARIO MAYORISTA ]]*Inventario[[#This Row],[CANTIDAD]]</f>
        <v>47000</v>
      </c>
      <c r="H295" s="12">
        <v>0.4</v>
      </c>
      <c r="I295" s="39">
        <v>80000</v>
      </c>
      <c r="J295" s="143">
        <f>Inventario[[#This Row],[PRECIO DE VENTA]]-Inventario[[#This Row],[COSTO UNITARIO MAYORISTA ]]</f>
        <v>33000</v>
      </c>
      <c r="K295" s="14">
        <f>Inventario[[#This Row],[PRECIO UTILIDAD]]/Inventario[[#This Row],[PRECIO DE VENTA]]</f>
        <v>0.41249999999999998</v>
      </c>
    </row>
    <row r="296" spans="1:11" ht="33" customHeight="1">
      <c r="A296" s="21" t="s">
        <v>701</v>
      </c>
      <c r="B296" s="21" t="s">
        <v>702</v>
      </c>
      <c r="C296" s="15" t="s">
        <v>16</v>
      </c>
      <c r="D296" s="21" t="s">
        <v>703</v>
      </c>
      <c r="E296" s="11">
        <v>46000</v>
      </c>
      <c r="F296" s="26">
        <v>1</v>
      </c>
      <c r="G296" s="41">
        <f>Inventario[[#This Row],[COSTO UNITARIO MAYORISTA ]]*Inventario[[#This Row],[CANTIDAD]]</f>
        <v>46000</v>
      </c>
      <c r="H296" s="12">
        <v>0.4</v>
      </c>
      <c r="I296" s="39">
        <v>80000</v>
      </c>
      <c r="J296" s="143">
        <f>Inventario[[#This Row],[PRECIO DE VENTA]]-Inventario[[#This Row],[COSTO UNITARIO MAYORISTA ]]</f>
        <v>34000</v>
      </c>
      <c r="K296" s="14">
        <f>Inventario[[#This Row],[PRECIO UTILIDAD]]/Inventario[[#This Row],[PRECIO DE VENTA]]</f>
        <v>0.42499999999999999</v>
      </c>
    </row>
    <row r="297" spans="1:11" ht="33" customHeight="1">
      <c r="A297" s="21" t="s">
        <v>704</v>
      </c>
      <c r="B297" s="21" t="s">
        <v>705</v>
      </c>
      <c r="C297" s="15" t="s">
        <v>16</v>
      </c>
      <c r="D297" s="21" t="s">
        <v>706</v>
      </c>
      <c r="E297" s="11">
        <v>7000</v>
      </c>
      <c r="F297" s="26">
        <v>2</v>
      </c>
      <c r="G297" s="41">
        <f>Inventario[[#This Row],[COSTO UNITARIO MAYORISTA ]]*Inventario[[#This Row],[CANTIDAD]]</f>
        <v>14000</v>
      </c>
      <c r="H297" s="12">
        <v>0.4</v>
      </c>
      <c r="I297" s="39">
        <v>15000</v>
      </c>
      <c r="J297" s="143">
        <f>Inventario[[#This Row],[PRECIO DE VENTA]]-Inventario[[#This Row],[COSTO UNITARIO MAYORISTA ]]</f>
        <v>8000</v>
      </c>
      <c r="K297" s="14">
        <f>Inventario[[#This Row],[PRECIO UTILIDAD]]/Inventario[[#This Row],[PRECIO DE VENTA]]</f>
        <v>0.53333333333333333</v>
      </c>
    </row>
    <row r="298" spans="1:11" ht="33" customHeight="1">
      <c r="A298" s="21" t="s">
        <v>707</v>
      </c>
      <c r="B298" s="21" t="s">
        <v>708</v>
      </c>
      <c r="C298" s="15" t="s">
        <v>16</v>
      </c>
      <c r="D298" s="21" t="s">
        <v>709</v>
      </c>
      <c r="E298" s="11">
        <v>23000</v>
      </c>
      <c r="F298" s="26">
        <v>1</v>
      </c>
      <c r="G298" s="41">
        <f>Inventario[[#This Row],[COSTO UNITARIO MAYORISTA ]]*Inventario[[#This Row],[CANTIDAD]]</f>
        <v>23000</v>
      </c>
      <c r="H298" s="12">
        <v>0.4</v>
      </c>
      <c r="I298" s="39">
        <v>40000</v>
      </c>
      <c r="J298" s="143">
        <f>Inventario[[#This Row],[PRECIO DE VENTA]]-Inventario[[#This Row],[COSTO UNITARIO MAYORISTA ]]</f>
        <v>17000</v>
      </c>
      <c r="K298" s="14">
        <f>Inventario[[#This Row],[PRECIO UTILIDAD]]/Inventario[[#This Row],[PRECIO DE VENTA]]</f>
        <v>0.42499999999999999</v>
      </c>
    </row>
    <row r="299" spans="1:11" ht="33" customHeight="1">
      <c r="A299" s="21" t="s">
        <v>710</v>
      </c>
      <c r="B299" s="21" t="s">
        <v>711</v>
      </c>
      <c r="C299" s="15" t="s">
        <v>16</v>
      </c>
      <c r="D299" s="21" t="s">
        <v>712</v>
      </c>
      <c r="E299" s="11">
        <v>25000</v>
      </c>
      <c r="F299" s="26">
        <v>1</v>
      </c>
      <c r="G299" s="41">
        <f>Inventario[[#This Row],[COSTO UNITARIO MAYORISTA ]]*Inventario[[#This Row],[CANTIDAD]]</f>
        <v>25000</v>
      </c>
      <c r="H299" s="12">
        <v>0.4</v>
      </c>
      <c r="I299" s="39">
        <v>45000</v>
      </c>
      <c r="J299" s="143">
        <f>Inventario[[#This Row],[PRECIO DE VENTA]]-Inventario[[#This Row],[COSTO UNITARIO MAYORISTA ]]</f>
        <v>20000</v>
      </c>
      <c r="K299" s="14">
        <f>Inventario[[#This Row],[PRECIO UTILIDAD]]/Inventario[[#This Row],[PRECIO DE VENTA]]</f>
        <v>0.44444444444444442</v>
      </c>
    </row>
    <row r="300" spans="1:11" ht="33" customHeight="1">
      <c r="A300" s="174">
        <v>2024070398421</v>
      </c>
      <c r="B300" s="172" t="s">
        <v>713</v>
      </c>
      <c r="C300" s="172" t="s">
        <v>16</v>
      </c>
      <c r="D300" s="172" t="s">
        <v>714</v>
      </c>
      <c r="E300" s="212">
        <v>35000</v>
      </c>
      <c r="F300" s="26">
        <v>1</v>
      </c>
      <c r="G300" s="41">
        <f>Inventario[[#This Row],[COSTO UNITARIO MAYORISTA ]]*Inventario[[#This Row],[CANTIDAD]]</f>
        <v>35000</v>
      </c>
      <c r="H300" s="12">
        <v>0.4</v>
      </c>
      <c r="I300" s="39">
        <v>60000</v>
      </c>
      <c r="J300" s="143">
        <f>Inventario[[#This Row],[PRECIO DE VENTA]]-Inventario[[#This Row],[COSTO UNITARIO MAYORISTA ]]</f>
        <v>25000</v>
      </c>
      <c r="K300" s="14">
        <f>Inventario[[#This Row],[PRECIO UTILIDAD]]/Inventario[[#This Row],[PRECIO DE VENTA]]</f>
        <v>0.41666666666666669</v>
      </c>
    </row>
    <row r="301" spans="1:11" ht="33" customHeight="1">
      <c r="A301" s="21">
        <v>6392450996229</v>
      </c>
      <c r="B301" s="21" t="s">
        <v>715</v>
      </c>
      <c r="C301" s="15" t="s">
        <v>16</v>
      </c>
      <c r="D301" s="21" t="s">
        <v>715</v>
      </c>
      <c r="E301" s="11">
        <v>20000</v>
      </c>
      <c r="F301" s="26">
        <v>1</v>
      </c>
      <c r="G301" s="41">
        <f>Inventario[[#This Row],[COSTO UNITARIO MAYORISTA ]]*Inventario[[#This Row],[CANTIDAD]]</f>
        <v>20000</v>
      </c>
      <c r="H301" s="12">
        <v>0.4</v>
      </c>
      <c r="I301" s="39">
        <v>40000</v>
      </c>
      <c r="J301" s="143">
        <f>Inventario[[#This Row],[PRECIO DE VENTA]]-Inventario[[#This Row],[COSTO UNITARIO MAYORISTA ]]</f>
        <v>20000</v>
      </c>
      <c r="K301" s="14">
        <f>Inventario[[#This Row],[PRECIO UTILIDAD]]/Inventario[[#This Row],[PRECIO DE VENTA]]</f>
        <v>0.5</v>
      </c>
    </row>
    <row r="302" spans="1:11" ht="33" customHeight="1">
      <c r="A302" s="21" t="s">
        <v>716</v>
      </c>
      <c r="B302" s="21" t="s">
        <v>717</v>
      </c>
      <c r="C302" s="15" t="s">
        <v>16</v>
      </c>
      <c r="D302" s="21" t="s">
        <v>718</v>
      </c>
      <c r="E302" s="11">
        <v>30000</v>
      </c>
      <c r="F302" s="26">
        <v>1</v>
      </c>
      <c r="G302" s="41">
        <f>Inventario[[#This Row],[COSTO UNITARIO MAYORISTA ]]*Inventario[[#This Row],[CANTIDAD]]</f>
        <v>30000</v>
      </c>
      <c r="H302" s="12">
        <v>0.4</v>
      </c>
      <c r="I302" s="39">
        <v>60000</v>
      </c>
      <c r="J302" s="143">
        <f>Inventario[[#This Row],[PRECIO DE VENTA]]-Inventario[[#This Row],[COSTO UNITARIO MAYORISTA ]]</f>
        <v>30000</v>
      </c>
      <c r="K302" s="14">
        <f>Inventario[[#This Row],[PRECIO UTILIDAD]]/Inventario[[#This Row],[PRECIO DE VENTA]]</f>
        <v>0.5</v>
      </c>
    </row>
    <row r="303" spans="1:11" ht="33" customHeight="1">
      <c r="A303" s="21" t="s">
        <v>719</v>
      </c>
      <c r="B303" s="21" t="s">
        <v>720</v>
      </c>
      <c r="C303" s="15" t="s">
        <v>16</v>
      </c>
      <c r="D303" s="21" t="s">
        <v>721</v>
      </c>
      <c r="E303" s="11">
        <v>13000</v>
      </c>
      <c r="F303" s="26">
        <v>2</v>
      </c>
      <c r="G303" s="41">
        <f>Inventario[[#This Row],[COSTO UNITARIO MAYORISTA ]]*Inventario[[#This Row],[CANTIDAD]]</f>
        <v>26000</v>
      </c>
      <c r="H303" s="12">
        <v>0.4</v>
      </c>
      <c r="I303" s="39">
        <v>25000</v>
      </c>
      <c r="J303" s="143">
        <f>Inventario[[#This Row],[PRECIO DE VENTA]]-Inventario[[#This Row],[COSTO UNITARIO MAYORISTA ]]</f>
        <v>12000</v>
      </c>
      <c r="K303" s="14">
        <f>Inventario[[#This Row],[PRECIO UTILIDAD]]/Inventario[[#This Row],[PRECIO DE VENTA]]</f>
        <v>0.48</v>
      </c>
    </row>
    <row r="304" spans="1:11" ht="33" customHeight="1">
      <c r="A304" s="21" t="s">
        <v>722</v>
      </c>
      <c r="B304" s="21" t="s">
        <v>723</v>
      </c>
      <c r="C304" s="15" t="s">
        <v>52</v>
      </c>
      <c r="D304" s="21" t="s">
        <v>724</v>
      </c>
      <c r="E304" s="11">
        <v>22000</v>
      </c>
      <c r="F304" s="26">
        <v>3</v>
      </c>
      <c r="G304" s="41">
        <f>Inventario[[#This Row],[COSTO UNITARIO MAYORISTA ]]*Inventario[[#This Row],[CANTIDAD]]</f>
        <v>66000</v>
      </c>
      <c r="H304" s="12">
        <v>0.4</v>
      </c>
      <c r="I304" s="39">
        <v>35000</v>
      </c>
      <c r="J304" s="143">
        <f>Inventario[[#This Row],[PRECIO DE VENTA]]-Inventario[[#This Row],[COSTO UNITARIO MAYORISTA ]]</f>
        <v>13000</v>
      </c>
      <c r="K304" s="14">
        <f>Inventario[[#This Row],[PRECIO UTILIDAD]]/Inventario[[#This Row],[PRECIO DE VENTA]]</f>
        <v>0.37142857142857144</v>
      </c>
    </row>
    <row r="305" spans="1:11" ht="33" customHeight="1">
      <c r="A305" s="21" t="s">
        <v>725</v>
      </c>
      <c r="B305" s="21" t="s">
        <v>726</v>
      </c>
      <c r="C305" s="15" t="s">
        <v>727</v>
      </c>
      <c r="D305" s="21" t="s">
        <v>728</v>
      </c>
      <c r="E305" s="11">
        <v>10000</v>
      </c>
      <c r="F305" s="26">
        <v>1</v>
      </c>
      <c r="G305" s="41">
        <f>Inventario[[#This Row],[COSTO UNITARIO MAYORISTA ]]*Inventario[[#This Row],[CANTIDAD]]</f>
        <v>10000</v>
      </c>
      <c r="H305" s="12">
        <v>0.4</v>
      </c>
      <c r="I305" s="39">
        <v>20000</v>
      </c>
      <c r="J305" s="143">
        <f>Inventario[[#This Row],[PRECIO DE VENTA]]-Inventario[[#This Row],[COSTO UNITARIO MAYORISTA ]]</f>
        <v>10000</v>
      </c>
      <c r="K305" s="14">
        <f>Inventario[[#This Row],[PRECIO UTILIDAD]]/Inventario[[#This Row],[PRECIO DE VENTA]]</f>
        <v>0.5</v>
      </c>
    </row>
    <row r="306" spans="1:11" ht="33" customHeight="1">
      <c r="A306" s="175">
        <v>6924851352344</v>
      </c>
      <c r="B306" s="176" t="s">
        <v>729</v>
      </c>
      <c r="C306" s="176" t="s">
        <v>727</v>
      </c>
      <c r="D306" s="176" t="s">
        <v>730</v>
      </c>
      <c r="E306" s="205">
        <v>14000</v>
      </c>
      <c r="F306" s="175">
        <v>1</v>
      </c>
      <c r="G306" s="41">
        <f>Inventario[[#This Row],[COSTO UNITARIO MAYORISTA ]]*Inventario[[#This Row],[CANTIDAD]]</f>
        <v>14000</v>
      </c>
      <c r="H306" s="12">
        <v>0.4</v>
      </c>
      <c r="I306" s="175">
        <v>25000</v>
      </c>
      <c r="J306" s="143">
        <f>Inventario[[#This Row],[PRECIO DE VENTA]]-Inventario[[#This Row],[COSTO UNITARIO MAYORISTA ]]</f>
        <v>11000</v>
      </c>
      <c r="K306" s="14">
        <f>Inventario[[#This Row],[PRECIO UTILIDAD]]/Inventario[[#This Row],[PRECIO DE VENTA]]</f>
        <v>0.44</v>
      </c>
    </row>
    <row r="307" spans="1:11" ht="33" customHeight="1">
      <c r="A307" s="177">
        <v>6931435642753</v>
      </c>
      <c r="B307" s="178" t="s">
        <v>731</v>
      </c>
      <c r="C307" s="178" t="s">
        <v>727</v>
      </c>
      <c r="D307" s="178" t="s">
        <v>732</v>
      </c>
      <c r="E307" s="206">
        <v>12000</v>
      </c>
      <c r="F307" s="177">
        <v>1</v>
      </c>
      <c r="G307" s="41">
        <f>Inventario[[#This Row],[COSTO UNITARIO MAYORISTA ]]*Inventario[[#This Row],[CANTIDAD]]</f>
        <v>12000</v>
      </c>
      <c r="H307" s="12">
        <v>0.4</v>
      </c>
      <c r="I307" s="177">
        <v>20000</v>
      </c>
      <c r="J307" s="143">
        <f>Inventario[[#This Row],[PRECIO DE VENTA]]-Inventario[[#This Row],[COSTO UNITARIO MAYORISTA ]]</f>
        <v>8000</v>
      </c>
      <c r="K307" s="14">
        <f>Inventario[[#This Row],[PRECIO UTILIDAD]]/Inventario[[#This Row],[PRECIO DE VENTA]]</f>
        <v>0.4</v>
      </c>
    </row>
    <row r="308" spans="1:11" ht="33" customHeight="1">
      <c r="A308" s="179">
        <v>6942229817370</v>
      </c>
      <c r="B308" s="180" t="s">
        <v>733</v>
      </c>
      <c r="C308" s="180" t="s">
        <v>727</v>
      </c>
      <c r="D308" s="180" t="s">
        <v>734</v>
      </c>
      <c r="E308" s="207">
        <v>30000</v>
      </c>
      <c r="F308" s="179">
        <v>1</v>
      </c>
      <c r="G308" s="41">
        <f>Inventario[[#This Row],[COSTO UNITARIO MAYORISTA ]]*Inventario[[#This Row],[CANTIDAD]]</f>
        <v>30000</v>
      </c>
      <c r="H308" s="12">
        <v>0.4</v>
      </c>
      <c r="I308" s="179">
        <v>50000</v>
      </c>
      <c r="J308" s="143">
        <f>Inventario[[#This Row],[PRECIO DE VENTA]]-Inventario[[#This Row],[COSTO UNITARIO MAYORISTA ]]</f>
        <v>20000</v>
      </c>
      <c r="K308" s="14">
        <f>Inventario[[#This Row],[PRECIO UTILIDAD]]/Inventario[[#This Row],[PRECIO DE VENTA]]</f>
        <v>0.4</v>
      </c>
    </row>
    <row r="309" spans="1:11" ht="33" customHeight="1">
      <c r="A309" s="177">
        <v>6484512243041</v>
      </c>
      <c r="B309" s="178" t="s">
        <v>735</v>
      </c>
      <c r="C309" s="178" t="s">
        <v>727</v>
      </c>
      <c r="D309" s="178" t="s">
        <v>736</v>
      </c>
      <c r="E309" s="206">
        <v>65000</v>
      </c>
      <c r="F309" s="177">
        <v>1</v>
      </c>
      <c r="G309" s="41">
        <f>Inventario[[#This Row],[COSTO UNITARIO MAYORISTA ]]*Inventario[[#This Row],[CANTIDAD]]</f>
        <v>65000</v>
      </c>
      <c r="H309" s="12">
        <v>0.4</v>
      </c>
      <c r="I309" s="177">
        <v>15000</v>
      </c>
      <c r="J309" s="143">
        <f>Inventario[[#This Row],[PRECIO DE VENTA]]-Inventario[[#This Row],[COSTO UNITARIO MAYORISTA ]]</f>
        <v>-50000</v>
      </c>
      <c r="K309" s="14">
        <f>Inventario[[#This Row],[PRECIO UTILIDAD]]/Inventario[[#This Row],[PRECIO DE VENTA]]</f>
        <v>-3.3333333333333335</v>
      </c>
    </row>
    <row r="310" spans="1:11" ht="33" customHeight="1">
      <c r="A310" s="179">
        <v>6979270810111</v>
      </c>
      <c r="B310" s="180" t="s">
        <v>735</v>
      </c>
      <c r="C310" s="180" t="s">
        <v>727</v>
      </c>
      <c r="D310" s="180" t="s">
        <v>737</v>
      </c>
      <c r="E310" s="207">
        <v>65000</v>
      </c>
      <c r="F310" s="179">
        <v>1</v>
      </c>
      <c r="G310" s="41">
        <f>Inventario[[#This Row],[COSTO UNITARIO MAYORISTA ]]*Inventario[[#This Row],[CANTIDAD]]</f>
        <v>65000</v>
      </c>
      <c r="H310" s="12">
        <v>0.4</v>
      </c>
      <c r="I310" s="179">
        <v>15000</v>
      </c>
      <c r="J310" s="143">
        <f>Inventario[[#This Row],[PRECIO DE VENTA]]-Inventario[[#This Row],[COSTO UNITARIO MAYORISTA ]]</f>
        <v>-50000</v>
      </c>
      <c r="K310" s="14">
        <f>Inventario[[#This Row],[PRECIO UTILIDAD]]/Inventario[[#This Row],[PRECIO DE VENTA]]</f>
        <v>-3.3333333333333335</v>
      </c>
    </row>
    <row r="311" spans="1:11" ht="33" customHeight="1">
      <c r="A311" s="177">
        <v>6978745486547</v>
      </c>
      <c r="B311" s="178" t="s">
        <v>738</v>
      </c>
      <c r="C311" s="178" t="s">
        <v>727</v>
      </c>
      <c r="D311" s="178" t="s">
        <v>739</v>
      </c>
      <c r="E311" s="206">
        <v>10000</v>
      </c>
      <c r="F311" s="177">
        <v>2</v>
      </c>
      <c r="G311" s="41">
        <f>Inventario[[#This Row],[COSTO UNITARIO MAYORISTA ]]*Inventario[[#This Row],[CANTIDAD]]</f>
        <v>20000</v>
      </c>
      <c r="H311" s="12">
        <v>0.4</v>
      </c>
      <c r="I311" s="177">
        <v>20000</v>
      </c>
      <c r="J311" s="143">
        <f>Inventario[[#This Row],[PRECIO DE VENTA]]-Inventario[[#This Row],[COSTO UNITARIO MAYORISTA ]]</f>
        <v>10000</v>
      </c>
      <c r="K311" s="14">
        <f>Inventario[[#This Row],[PRECIO UTILIDAD]]/Inventario[[#This Row],[PRECIO DE VENTA]]</f>
        <v>0.5</v>
      </c>
    </row>
    <row r="312" spans="1:11" ht="33" customHeight="1">
      <c r="A312" s="179" t="s">
        <v>740</v>
      </c>
      <c r="B312" s="180" t="s">
        <v>741</v>
      </c>
      <c r="C312" s="180" t="s">
        <v>727</v>
      </c>
      <c r="D312" s="180" t="s">
        <v>742</v>
      </c>
      <c r="E312" s="207">
        <v>8500</v>
      </c>
      <c r="F312" s="179">
        <v>1</v>
      </c>
      <c r="G312" s="41">
        <f>Inventario[[#This Row],[COSTO UNITARIO MAYORISTA ]]*Inventario[[#This Row],[CANTIDAD]]</f>
        <v>8500</v>
      </c>
      <c r="H312" s="12">
        <v>0.4</v>
      </c>
      <c r="I312" s="179">
        <v>15000</v>
      </c>
      <c r="J312" s="143">
        <f>Inventario[[#This Row],[PRECIO DE VENTA]]-Inventario[[#This Row],[COSTO UNITARIO MAYORISTA ]]</f>
        <v>6500</v>
      </c>
      <c r="K312" s="14">
        <f>Inventario[[#This Row],[PRECIO UTILIDAD]]/Inventario[[#This Row],[PRECIO DE VENTA]]</f>
        <v>0.43333333333333335</v>
      </c>
    </row>
    <row r="313" spans="1:11" ht="33" customHeight="1">
      <c r="A313" s="177">
        <v>6982023157050</v>
      </c>
      <c r="B313" s="178" t="s">
        <v>743</v>
      </c>
      <c r="C313" s="178" t="s">
        <v>727</v>
      </c>
      <c r="D313" s="178" t="s">
        <v>405</v>
      </c>
      <c r="E313" s="206">
        <v>4000</v>
      </c>
      <c r="F313" s="177">
        <v>4</v>
      </c>
      <c r="G313" s="41">
        <f>Inventario[[#This Row],[COSTO UNITARIO MAYORISTA ]]*Inventario[[#This Row],[CANTIDAD]]</f>
        <v>16000</v>
      </c>
      <c r="H313" s="12">
        <v>0.4</v>
      </c>
      <c r="I313" s="177">
        <v>8000</v>
      </c>
      <c r="J313" s="143">
        <f>Inventario[[#This Row],[PRECIO DE VENTA]]-Inventario[[#This Row],[COSTO UNITARIO MAYORISTA ]]</f>
        <v>4000</v>
      </c>
      <c r="K313" s="14">
        <f>Inventario[[#This Row],[PRECIO UTILIDAD]]/Inventario[[#This Row],[PRECIO DE VENTA]]</f>
        <v>0.5</v>
      </c>
    </row>
    <row r="314" spans="1:11" ht="33" customHeight="1">
      <c r="A314" s="179">
        <v>6982023157012</v>
      </c>
      <c r="B314" s="180" t="s">
        <v>744</v>
      </c>
      <c r="C314" s="180" t="s">
        <v>727</v>
      </c>
      <c r="D314" s="180" t="s">
        <v>745</v>
      </c>
      <c r="E314" s="207">
        <v>4000</v>
      </c>
      <c r="F314" s="179">
        <v>2</v>
      </c>
      <c r="G314" s="41">
        <f>Inventario[[#This Row],[COSTO UNITARIO MAYORISTA ]]*Inventario[[#This Row],[CANTIDAD]]</f>
        <v>8000</v>
      </c>
      <c r="H314" s="12">
        <v>0.4</v>
      </c>
      <c r="I314" s="179">
        <v>8000</v>
      </c>
      <c r="J314" s="143">
        <f>Inventario[[#This Row],[PRECIO DE VENTA]]-Inventario[[#This Row],[COSTO UNITARIO MAYORISTA ]]</f>
        <v>4000</v>
      </c>
      <c r="K314" s="14">
        <f>Inventario[[#This Row],[PRECIO UTILIDAD]]/Inventario[[#This Row],[PRECIO DE VENTA]]</f>
        <v>0.5</v>
      </c>
    </row>
    <row r="315" spans="1:11" ht="33" customHeight="1">
      <c r="A315" s="177">
        <v>6936316133689</v>
      </c>
      <c r="B315" s="178" t="s">
        <v>746</v>
      </c>
      <c r="C315" s="178" t="s">
        <v>727</v>
      </c>
      <c r="D315" s="178" t="s">
        <v>747</v>
      </c>
      <c r="E315" s="206">
        <v>7000</v>
      </c>
      <c r="F315" s="177">
        <v>2</v>
      </c>
      <c r="G315" s="41">
        <f>Inventario[[#This Row],[COSTO UNITARIO MAYORISTA ]]*Inventario[[#This Row],[CANTIDAD]]</f>
        <v>14000</v>
      </c>
      <c r="H315" s="12">
        <v>0.4</v>
      </c>
      <c r="I315" s="177">
        <v>15000</v>
      </c>
      <c r="J315" s="143">
        <f>Inventario[[#This Row],[PRECIO DE VENTA]]-Inventario[[#This Row],[COSTO UNITARIO MAYORISTA ]]</f>
        <v>8000</v>
      </c>
      <c r="K315" s="14">
        <f>Inventario[[#This Row],[PRECIO UTILIDAD]]/Inventario[[#This Row],[PRECIO DE VENTA]]</f>
        <v>0.53333333333333333</v>
      </c>
    </row>
    <row r="316" spans="1:11" ht="33" customHeight="1">
      <c r="A316" s="179">
        <v>6958585972011</v>
      </c>
      <c r="B316" s="180" t="s">
        <v>748</v>
      </c>
      <c r="C316" s="180" t="s">
        <v>727</v>
      </c>
      <c r="D316" s="180" t="s">
        <v>749</v>
      </c>
      <c r="E316" s="207">
        <v>28000</v>
      </c>
      <c r="F316" s="179">
        <v>2</v>
      </c>
      <c r="G316" s="41">
        <f>Inventario[[#This Row],[COSTO UNITARIO MAYORISTA ]]*Inventario[[#This Row],[CANTIDAD]]</f>
        <v>56000</v>
      </c>
      <c r="H316" s="12">
        <v>0.4</v>
      </c>
      <c r="I316" s="179">
        <v>5000</v>
      </c>
      <c r="J316" s="143">
        <f>Inventario[[#This Row],[PRECIO DE VENTA]]-Inventario[[#This Row],[COSTO UNITARIO MAYORISTA ]]</f>
        <v>-23000</v>
      </c>
      <c r="K316" s="14">
        <f>Inventario[[#This Row],[PRECIO UTILIDAD]]/Inventario[[#This Row],[PRECIO DE VENTA]]</f>
        <v>-4.5999999999999996</v>
      </c>
    </row>
    <row r="317" spans="1:11" ht="33" customHeight="1">
      <c r="A317" s="177">
        <v>6920158590083</v>
      </c>
      <c r="B317" s="178" t="s">
        <v>750</v>
      </c>
      <c r="C317" s="178" t="s">
        <v>727</v>
      </c>
      <c r="D317" s="178" t="s">
        <v>751</v>
      </c>
      <c r="E317" s="206">
        <v>8000</v>
      </c>
      <c r="F317" s="177">
        <v>1</v>
      </c>
      <c r="G317" s="41">
        <f>Inventario[[#This Row],[COSTO UNITARIO MAYORISTA ]]*Inventario[[#This Row],[CANTIDAD]]</f>
        <v>8000</v>
      </c>
      <c r="H317" s="12">
        <v>0.4</v>
      </c>
      <c r="I317" s="177">
        <v>15000</v>
      </c>
      <c r="J317" s="143">
        <f>Inventario[[#This Row],[PRECIO DE VENTA]]-Inventario[[#This Row],[COSTO UNITARIO MAYORISTA ]]</f>
        <v>7000</v>
      </c>
      <c r="K317" s="14">
        <f>Inventario[[#This Row],[PRECIO UTILIDAD]]/Inventario[[#This Row],[PRECIO DE VENTA]]</f>
        <v>0.46666666666666667</v>
      </c>
    </row>
    <row r="318" spans="1:11" ht="33" customHeight="1">
      <c r="A318" s="179">
        <v>6921456800010</v>
      </c>
      <c r="B318" s="180" t="s">
        <v>752</v>
      </c>
      <c r="C318" s="180" t="s">
        <v>727</v>
      </c>
      <c r="D318" s="180" t="s">
        <v>753</v>
      </c>
      <c r="E318" s="207">
        <v>13000</v>
      </c>
      <c r="F318" s="179">
        <v>2</v>
      </c>
      <c r="G318" s="41">
        <f>Inventario[[#This Row],[COSTO UNITARIO MAYORISTA ]]*Inventario[[#This Row],[CANTIDAD]]</f>
        <v>26000</v>
      </c>
      <c r="H318" s="12">
        <v>0.4</v>
      </c>
      <c r="I318" s="179">
        <v>30000</v>
      </c>
      <c r="J318" s="143">
        <f>Inventario[[#This Row],[PRECIO DE VENTA]]-Inventario[[#This Row],[COSTO UNITARIO MAYORISTA ]]</f>
        <v>17000</v>
      </c>
      <c r="K318" s="14">
        <f>Inventario[[#This Row],[PRECIO UTILIDAD]]/Inventario[[#This Row],[PRECIO DE VENTA]]</f>
        <v>0.56666666666666665</v>
      </c>
    </row>
    <row r="319" spans="1:11" ht="33" customHeight="1">
      <c r="A319" s="177">
        <v>5400141902389</v>
      </c>
      <c r="B319" s="178" t="s">
        <v>754</v>
      </c>
      <c r="C319" s="178" t="s">
        <v>727</v>
      </c>
      <c r="D319" s="178" t="s">
        <v>755</v>
      </c>
      <c r="E319" s="206">
        <v>600</v>
      </c>
      <c r="F319" s="177">
        <v>5</v>
      </c>
      <c r="G319" s="41">
        <f>Inventario[[#This Row],[COSTO UNITARIO MAYORISTA ]]*Inventario[[#This Row],[CANTIDAD]]</f>
        <v>3000</v>
      </c>
      <c r="H319" s="12">
        <v>0.4</v>
      </c>
      <c r="I319" s="177">
        <v>1000</v>
      </c>
      <c r="J319" s="143">
        <f>Inventario[[#This Row],[PRECIO DE VENTA]]-Inventario[[#This Row],[COSTO UNITARIO MAYORISTA ]]</f>
        <v>400</v>
      </c>
      <c r="K319" s="14">
        <f>Inventario[[#This Row],[PRECIO UTILIDAD]]/Inventario[[#This Row],[PRECIO DE VENTA]]</f>
        <v>0.4</v>
      </c>
    </row>
    <row r="320" spans="1:11" ht="33" customHeight="1">
      <c r="A320" s="179">
        <v>6981688870465</v>
      </c>
      <c r="B320" s="180" t="s">
        <v>756</v>
      </c>
      <c r="C320" s="180" t="s">
        <v>727</v>
      </c>
      <c r="D320" s="180" t="s">
        <v>757</v>
      </c>
      <c r="E320" s="207">
        <v>2000</v>
      </c>
      <c r="F320" s="179">
        <v>2</v>
      </c>
      <c r="G320" s="41">
        <f>Inventario[[#This Row],[COSTO UNITARIO MAYORISTA ]]*Inventario[[#This Row],[CANTIDAD]]</f>
        <v>4000</v>
      </c>
      <c r="H320" s="12">
        <v>0.4</v>
      </c>
      <c r="I320" s="179">
        <v>4000</v>
      </c>
      <c r="J320" s="143">
        <f>Inventario[[#This Row],[PRECIO DE VENTA]]-Inventario[[#This Row],[COSTO UNITARIO MAYORISTA ]]</f>
        <v>2000</v>
      </c>
      <c r="K320" s="14">
        <f>Inventario[[#This Row],[PRECIO UTILIDAD]]/Inventario[[#This Row],[PRECIO DE VENTA]]</f>
        <v>0.5</v>
      </c>
    </row>
    <row r="321" spans="1:11" ht="33" customHeight="1">
      <c r="A321" s="182" t="s">
        <v>758</v>
      </c>
      <c r="B321" s="183" t="s">
        <v>759</v>
      </c>
      <c r="C321" s="183" t="s">
        <v>760</v>
      </c>
      <c r="D321" s="182" t="s">
        <v>761</v>
      </c>
      <c r="E321" s="208">
        <v>1666.6666</v>
      </c>
      <c r="F321" s="183">
        <v>24</v>
      </c>
      <c r="G321" s="41">
        <f>Inventario[[#This Row],[COSTO UNITARIO MAYORISTA ]]*Inventario[[#This Row],[CANTIDAD]]</f>
        <v>39999.998399999997</v>
      </c>
      <c r="H321" s="12">
        <v>0.4</v>
      </c>
      <c r="I321" s="39">
        <v>3000</v>
      </c>
      <c r="J321" s="143">
        <f>Inventario[[#This Row],[PRECIO DE VENTA]]-Inventario[[#This Row],[COSTO UNITARIO MAYORISTA ]]</f>
        <v>1333.3334</v>
      </c>
      <c r="K321" s="14">
        <f>Inventario[[#This Row],[PRECIO UTILIDAD]]/Inventario[[#This Row],[PRECIO DE VENTA]]</f>
        <v>0.44444446666666665</v>
      </c>
    </row>
    <row r="322" spans="1:11" ht="33" customHeight="1">
      <c r="A322" s="21" t="s">
        <v>762</v>
      </c>
      <c r="B322" s="21" t="s">
        <v>763</v>
      </c>
      <c r="C322" s="15" t="s">
        <v>44</v>
      </c>
      <c r="D322" s="21" t="s">
        <v>764</v>
      </c>
      <c r="E322" s="11">
        <v>2500</v>
      </c>
      <c r="F322" s="26">
        <v>10</v>
      </c>
      <c r="G322" s="41">
        <f>Inventario[[#This Row],[COSTO UNITARIO MAYORISTA ]]*Inventario[[#This Row],[CANTIDAD]]</f>
        <v>25000</v>
      </c>
      <c r="H322" s="12">
        <v>0.4</v>
      </c>
      <c r="I322" s="39">
        <v>5000</v>
      </c>
      <c r="J322" s="143">
        <f>Inventario[[#This Row],[PRECIO DE VENTA]]-Inventario[[#This Row],[COSTO UNITARIO MAYORISTA ]]</f>
        <v>2500</v>
      </c>
      <c r="K322" s="14">
        <f>Inventario[[#This Row],[PRECIO UTILIDAD]]/Inventario[[#This Row],[PRECIO DE VENTA]]</f>
        <v>0.5</v>
      </c>
    </row>
    <row r="323" spans="1:11" ht="33" customHeight="1">
      <c r="A323" s="21" t="s">
        <v>765</v>
      </c>
      <c r="B323" s="21" t="s">
        <v>766</v>
      </c>
      <c r="C323" s="15" t="s">
        <v>767</v>
      </c>
      <c r="D323" s="21" t="s">
        <v>768</v>
      </c>
      <c r="E323" s="11">
        <v>5500</v>
      </c>
      <c r="F323" s="26">
        <v>5</v>
      </c>
      <c r="G323" s="41">
        <f>Inventario[[#This Row],[COSTO UNITARIO MAYORISTA ]]*Inventario[[#This Row],[CANTIDAD]]</f>
        <v>27500</v>
      </c>
      <c r="H323" s="12">
        <v>0.4</v>
      </c>
      <c r="I323" s="39">
        <v>10000</v>
      </c>
      <c r="J323" s="143">
        <f>Inventario[[#This Row],[PRECIO DE VENTA]]-Inventario[[#This Row],[COSTO UNITARIO MAYORISTA ]]</f>
        <v>4500</v>
      </c>
      <c r="K323" s="14">
        <f>Inventario[[#This Row],[PRECIO UTILIDAD]]/Inventario[[#This Row],[PRECIO DE VENTA]]</f>
        <v>0.45</v>
      </c>
    </row>
    <row r="324" spans="1:11" ht="33" customHeight="1">
      <c r="A324" s="21" t="s">
        <v>769</v>
      </c>
      <c r="B324" s="21" t="s">
        <v>770</v>
      </c>
      <c r="C324" s="15" t="s">
        <v>44</v>
      </c>
      <c r="D324" s="21"/>
      <c r="E324" s="11">
        <v>30000</v>
      </c>
      <c r="F324" s="26">
        <v>1</v>
      </c>
      <c r="G324" s="41">
        <f>Inventario[[#This Row],[COSTO UNITARIO MAYORISTA ]]*Inventario[[#This Row],[CANTIDAD]]</f>
        <v>30000</v>
      </c>
      <c r="H324" s="12">
        <v>0.4</v>
      </c>
      <c r="I324" s="39">
        <v>40000</v>
      </c>
      <c r="J324" s="143">
        <f>Inventario[[#This Row],[PRECIO DE VENTA]]-Inventario[[#This Row],[COSTO UNITARIO MAYORISTA ]]</f>
        <v>10000</v>
      </c>
      <c r="K324" s="14">
        <f>Inventario[[#This Row],[PRECIO UTILIDAD]]/Inventario[[#This Row],[PRECIO DE VENTA]]</f>
        <v>0.25</v>
      </c>
    </row>
    <row r="325" spans="1:11" ht="33" customHeight="1">
      <c r="A325" s="209" t="s">
        <v>833</v>
      </c>
      <c r="B325" s="203" t="s">
        <v>834</v>
      </c>
      <c r="C325" s="204" t="s">
        <v>835</v>
      </c>
      <c r="D325" s="203" t="s">
        <v>836</v>
      </c>
      <c r="E325" s="11">
        <v>25000</v>
      </c>
      <c r="F325" s="26">
        <v>3</v>
      </c>
      <c r="G325" s="41">
        <f>Inventario[[#This Row],[COSTO UNITARIO MAYORISTA ]]*Inventario[[#This Row],[CANTIDAD]]</f>
        <v>75000</v>
      </c>
      <c r="H325" s="12">
        <v>0.4</v>
      </c>
      <c r="I325" s="39">
        <v>36000</v>
      </c>
      <c r="J325" s="143">
        <f>Inventario[[#This Row],[PRECIO DE VENTA]]-Inventario[[#This Row],[COSTO UNITARIO MAYORISTA ]]</f>
        <v>11000</v>
      </c>
      <c r="K325" s="14">
        <f>Inventario[[#This Row],[PRECIO UTILIDAD]]/Inventario[[#This Row],[PRECIO DE VENTA]]</f>
        <v>0.30555555555555558</v>
      </c>
    </row>
    <row r="326" spans="1:11" ht="33" customHeight="1">
      <c r="A326" s="203" t="s">
        <v>837</v>
      </c>
      <c r="B326" s="203" t="s">
        <v>838</v>
      </c>
      <c r="C326" s="204" t="s">
        <v>835</v>
      </c>
      <c r="D326" s="203" t="s">
        <v>839</v>
      </c>
      <c r="E326" s="11">
        <v>20000</v>
      </c>
      <c r="F326" s="26">
        <v>2</v>
      </c>
      <c r="G326" s="41">
        <f>Inventario[[#This Row],[COSTO UNITARIO MAYORISTA ]]*Inventario[[#This Row],[CANTIDAD]]</f>
        <v>40000</v>
      </c>
      <c r="H326" s="12">
        <v>0.4</v>
      </c>
      <c r="I326" s="39">
        <v>36000</v>
      </c>
      <c r="J326" s="143">
        <f>Inventario[[#This Row],[PRECIO DE VENTA]]-Inventario[[#This Row],[COSTO UNITARIO MAYORISTA ]]</f>
        <v>16000</v>
      </c>
      <c r="K326" s="14">
        <f>Inventario[[#This Row],[PRECIO UTILIDAD]]/Inventario[[#This Row],[PRECIO DE VENTA]]</f>
        <v>0.44444444444444442</v>
      </c>
    </row>
    <row r="327" spans="1:11" ht="33" customHeight="1">
      <c r="A327" s="203" t="s">
        <v>840</v>
      </c>
      <c r="B327" s="203" t="s">
        <v>723</v>
      </c>
      <c r="C327" s="204" t="s">
        <v>835</v>
      </c>
      <c r="D327" s="203" t="s">
        <v>841</v>
      </c>
      <c r="E327" s="11">
        <v>20000</v>
      </c>
      <c r="F327" s="26">
        <v>1</v>
      </c>
      <c r="G327" s="41">
        <f>Inventario[[#This Row],[COSTO UNITARIO MAYORISTA ]]*Inventario[[#This Row],[CANTIDAD]]</f>
        <v>20000</v>
      </c>
      <c r="H327" s="12">
        <v>0.4</v>
      </c>
      <c r="I327" s="39">
        <v>35000</v>
      </c>
      <c r="J327" s="143">
        <f>Inventario[[#This Row],[PRECIO DE VENTA]]-Inventario[[#This Row],[COSTO UNITARIO MAYORISTA ]]</f>
        <v>15000</v>
      </c>
      <c r="K327" s="14">
        <f>Inventario[[#This Row],[PRECIO UTILIDAD]]/Inventario[[#This Row],[PRECIO DE VENTA]]</f>
        <v>0.42857142857142855</v>
      </c>
    </row>
    <row r="328" spans="1:11" ht="33" customHeight="1">
      <c r="A328" s="203" t="s">
        <v>842</v>
      </c>
      <c r="B328" s="203" t="s">
        <v>843</v>
      </c>
      <c r="C328" s="204" t="s">
        <v>835</v>
      </c>
      <c r="D328" s="203" t="s">
        <v>844</v>
      </c>
      <c r="E328" s="11">
        <v>14000</v>
      </c>
      <c r="F328" s="26">
        <v>1</v>
      </c>
      <c r="G328" s="41">
        <f>Inventario[[#This Row],[COSTO UNITARIO MAYORISTA ]]*Inventario[[#This Row],[CANTIDAD]]</f>
        <v>14000</v>
      </c>
      <c r="H328" s="12">
        <v>0.4</v>
      </c>
      <c r="I328" s="39">
        <v>25000</v>
      </c>
      <c r="J328" s="143">
        <f>Inventario[[#This Row],[PRECIO DE VENTA]]-Inventario[[#This Row],[COSTO UNITARIO MAYORISTA ]]</f>
        <v>11000</v>
      </c>
      <c r="K328" s="14">
        <f>Inventario[[#This Row],[PRECIO UTILIDAD]]/Inventario[[#This Row],[PRECIO DE VENTA]]</f>
        <v>0.44</v>
      </c>
    </row>
    <row r="329" spans="1:11" ht="33" customHeight="1">
      <c r="A329" s="203" t="s">
        <v>845</v>
      </c>
      <c r="B329" s="203" t="s">
        <v>848</v>
      </c>
      <c r="C329" s="204" t="s">
        <v>835</v>
      </c>
      <c r="D329" s="203" t="s">
        <v>846</v>
      </c>
      <c r="E329" s="11">
        <v>50000</v>
      </c>
      <c r="F329" s="26">
        <v>1</v>
      </c>
      <c r="G329" s="41">
        <f>Inventario[[#This Row],[COSTO UNITARIO MAYORISTA ]]*Inventario[[#This Row],[CANTIDAD]]</f>
        <v>50000</v>
      </c>
      <c r="H329" s="12">
        <v>0.4</v>
      </c>
      <c r="I329" s="39">
        <v>90000</v>
      </c>
      <c r="J329" s="143">
        <f>Inventario[[#This Row],[PRECIO DE VENTA]]-Inventario[[#This Row],[COSTO UNITARIO MAYORISTA ]]</f>
        <v>40000</v>
      </c>
      <c r="K329" s="14">
        <f>Inventario[[#This Row],[PRECIO UTILIDAD]]/Inventario[[#This Row],[PRECIO DE VENTA]]</f>
        <v>0.44444444444444442</v>
      </c>
    </row>
    <row r="330" spans="1:11" ht="33" customHeight="1">
      <c r="A330" s="203" t="s">
        <v>847</v>
      </c>
      <c r="B330" s="203" t="s">
        <v>849</v>
      </c>
      <c r="C330" s="204" t="s">
        <v>52</v>
      </c>
      <c r="D330" s="203" t="s">
        <v>850</v>
      </c>
      <c r="E330" s="11">
        <v>18000</v>
      </c>
      <c r="F330" s="26">
        <v>2</v>
      </c>
      <c r="G330" s="41">
        <f>Inventario[[#This Row],[COSTO UNITARIO MAYORISTA ]]*Inventario[[#This Row],[CANTIDAD]]</f>
        <v>36000</v>
      </c>
      <c r="H330" s="12">
        <v>0.4</v>
      </c>
      <c r="I330" s="39">
        <f>Inventario[[#This Row],[COSTO UNITARIO MAYORISTA ]]/(1-Inventario[[#This Row],[MARGEN DE UTILIDAD]])</f>
        <v>30000</v>
      </c>
      <c r="J330" s="143">
        <f>Inventario[[#This Row],[PRECIO DE VENTA]]-Inventario[[#This Row],[COSTO UNITARIO MAYORISTA ]]</f>
        <v>12000</v>
      </c>
      <c r="K330" s="14">
        <f>Inventario[[#This Row],[PRECIO UTILIDAD]]/Inventario[[#This Row],[PRECIO DE VENTA]]</f>
        <v>0.4</v>
      </c>
    </row>
    <row r="331" spans="1:11" ht="33" customHeight="1">
      <c r="A331" s="203" t="s">
        <v>851</v>
      </c>
      <c r="B331" s="203" t="s">
        <v>852</v>
      </c>
      <c r="C331" s="204" t="s">
        <v>52</v>
      </c>
      <c r="D331" s="203" t="s">
        <v>853</v>
      </c>
      <c r="E331" s="11">
        <v>34000</v>
      </c>
      <c r="F331" s="26">
        <v>1</v>
      </c>
      <c r="G331" s="41">
        <f>Inventario[[#This Row],[COSTO UNITARIO MAYORISTA ]]*Inventario[[#This Row],[CANTIDAD]]</f>
        <v>34000</v>
      </c>
      <c r="H331" s="12">
        <v>0.4</v>
      </c>
      <c r="I331" s="39">
        <v>60000</v>
      </c>
      <c r="J331" s="143">
        <f>Inventario[[#This Row],[PRECIO DE VENTA]]-Inventario[[#This Row],[COSTO UNITARIO MAYORISTA ]]</f>
        <v>26000</v>
      </c>
      <c r="K331" s="14">
        <f>Inventario[[#This Row],[PRECIO UTILIDAD]]/Inventario[[#This Row],[PRECIO DE VENTA]]</f>
        <v>0.43333333333333335</v>
      </c>
    </row>
    <row r="332" spans="1:11" ht="33" customHeight="1">
      <c r="A332" s="203">
        <v>6941848255204</v>
      </c>
      <c r="B332" s="203" t="s">
        <v>854</v>
      </c>
      <c r="C332" s="204" t="s">
        <v>52</v>
      </c>
      <c r="D332" s="203" t="s">
        <v>854</v>
      </c>
      <c r="E332" s="11">
        <v>30000</v>
      </c>
      <c r="F332" s="26">
        <v>3</v>
      </c>
      <c r="G332" s="41">
        <f>Inventario[[#This Row],[COSTO UNITARIO MAYORISTA ]]*Inventario[[#This Row],[CANTIDAD]]</f>
        <v>90000</v>
      </c>
      <c r="H332" s="12">
        <v>0.4</v>
      </c>
      <c r="I332" s="39">
        <f>Inventario[[#This Row],[COSTO UNITARIO MAYORISTA ]]/(1-Inventario[[#This Row],[MARGEN DE UTILIDAD]])</f>
        <v>50000</v>
      </c>
      <c r="J332" s="143">
        <f>Inventario[[#This Row],[PRECIO DE VENTA]]-Inventario[[#This Row],[COSTO UNITARIO MAYORISTA ]]</f>
        <v>20000</v>
      </c>
      <c r="K332" s="14">
        <f>Inventario[[#This Row],[PRECIO UTILIDAD]]/Inventario[[#This Row],[PRECIO DE VENTA]]</f>
        <v>0.4</v>
      </c>
    </row>
    <row r="333" spans="1:11" ht="33" customHeight="1">
      <c r="A333" s="21">
        <v>6956578562348</v>
      </c>
      <c r="B333" s="203" t="s">
        <v>855</v>
      </c>
      <c r="C333" s="204" t="s">
        <v>52</v>
      </c>
      <c r="D333" s="203" t="s">
        <v>856</v>
      </c>
      <c r="E333" s="11">
        <v>1333.33</v>
      </c>
      <c r="F333" s="26">
        <v>12</v>
      </c>
      <c r="G333" s="41">
        <f>Inventario[[#This Row],[COSTO UNITARIO MAYORISTA ]]*Inventario[[#This Row],[CANTIDAD]]</f>
        <v>15999.96</v>
      </c>
      <c r="H333" s="12">
        <v>0.4</v>
      </c>
      <c r="I333" s="39">
        <v>3000</v>
      </c>
      <c r="J333" s="143">
        <f>Inventario[[#This Row],[PRECIO DE VENTA]]-Inventario[[#This Row],[COSTO UNITARIO MAYORISTA ]]</f>
        <v>1666.67</v>
      </c>
      <c r="K333" s="14">
        <f>Inventario[[#This Row],[PRECIO UTILIDAD]]/Inventario[[#This Row],[PRECIO DE VENTA]]</f>
        <v>0.5555566666666667</v>
      </c>
    </row>
    <row r="334" spans="1:11" ht="33" customHeight="1">
      <c r="A334" s="203" t="s">
        <v>857</v>
      </c>
      <c r="B334" s="203" t="s">
        <v>858</v>
      </c>
      <c r="C334" s="204" t="s">
        <v>52</v>
      </c>
      <c r="D334" s="203" t="s">
        <v>859</v>
      </c>
      <c r="E334" s="11">
        <v>3500</v>
      </c>
      <c r="F334" s="26">
        <v>3</v>
      </c>
      <c r="G334" s="41">
        <f>Inventario[[#This Row],[COSTO UNITARIO MAYORISTA ]]*Inventario[[#This Row],[CANTIDAD]]</f>
        <v>10500</v>
      </c>
      <c r="H334" s="12">
        <v>0.4</v>
      </c>
      <c r="I334" s="39">
        <v>8000</v>
      </c>
      <c r="J334" s="143">
        <f>Inventario[[#This Row],[PRECIO DE VENTA]]-Inventario[[#This Row],[COSTO UNITARIO MAYORISTA ]]</f>
        <v>4500</v>
      </c>
      <c r="K334" s="14">
        <f>Inventario[[#This Row],[PRECIO UTILIDAD]]/Inventario[[#This Row],[PRECIO DE VENTA]]</f>
        <v>0.5625</v>
      </c>
    </row>
    <row r="335" spans="1:11" ht="33" customHeight="1">
      <c r="A335" s="21">
        <v>2024032910203</v>
      </c>
      <c r="B335" s="203" t="s">
        <v>713</v>
      </c>
      <c r="C335" s="204" t="s">
        <v>52</v>
      </c>
      <c r="D335" s="203" t="s">
        <v>714</v>
      </c>
      <c r="E335" s="11">
        <v>35000</v>
      </c>
      <c r="F335" s="26">
        <v>1</v>
      </c>
      <c r="G335" s="41">
        <f>Inventario[[#This Row],[COSTO UNITARIO MAYORISTA ]]*Inventario[[#This Row],[CANTIDAD]]</f>
        <v>35000</v>
      </c>
      <c r="H335" s="12">
        <v>0.4</v>
      </c>
      <c r="I335" s="39">
        <v>60000</v>
      </c>
      <c r="J335" s="143">
        <f>Inventario[[#This Row],[PRECIO DE VENTA]]-Inventario[[#This Row],[COSTO UNITARIO MAYORISTA ]]</f>
        <v>25000</v>
      </c>
      <c r="K335" s="14">
        <f>Inventario[[#This Row],[PRECIO UTILIDAD]]/Inventario[[#This Row],[PRECIO DE VENTA]]</f>
        <v>0.41666666666666669</v>
      </c>
    </row>
    <row r="336" spans="1:11" ht="33" customHeight="1">
      <c r="A336" s="21">
        <v>8657954690096</v>
      </c>
      <c r="B336" s="203" t="s">
        <v>860</v>
      </c>
      <c r="C336" s="204" t="s">
        <v>25</v>
      </c>
      <c r="D336" s="203" t="s">
        <v>861</v>
      </c>
      <c r="E336" s="11">
        <v>12000</v>
      </c>
      <c r="F336" s="26">
        <v>1</v>
      </c>
      <c r="G336" s="41">
        <f>Inventario[[#This Row],[COSTO UNITARIO MAYORISTA ]]*Inventario[[#This Row],[CANTIDAD]]</f>
        <v>12000</v>
      </c>
      <c r="H336" s="12">
        <v>0.4</v>
      </c>
      <c r="I336" s="39">
        <v>25000</v>
      </c>
      <c r="J336" s="143">
        <f>Inventario[[#This Row],[PRECIO DE VENTA]]-Inventario[[#This Row],[COSTO UNITARIO MAYORISTA ]]</f>
        <v>13000</v>
      </c>
      <c r="K336" s="14">
        <f>Inventario[[#This Row],[PRECIO UTILIDAD]]/Inventario[[#This Row],[PRECIO DE VENTA]]</f>
        <v>0.52</v>
      </c>
    </row>
    <row r="337" spans="1:11" ht="33" customHeight="1">
      <c r="A337" s="21">
        <v>8220130002541</v>
      </c>
      <c r="B337" s="203" t="s">
        <v>862</v>
      </c>
      <c r="C337" s="204" t="s">
        <v>25</v>
      </c>
      <c r="D337" s="203" t="s">
        <v>863</v>
      </c>
      <c r="E337" s="11">
        <v>10000</v>
      </c>
      <c r="F337" s="26">
        <v>1</v>
      </c>
      <c r="G337" s="41">
        <f>Inventario[[#This Row],[COSTO UNITARIO MAYORISTA ]]*Inventario[[#This Row],[CANTIDAD]]</f>
        <v>10000</v>
      </c>
      <c r="H337" s="12">
        <v>0.4</v>
      </c>
      <c r="I337" s="39">
        <v>20000</v>
      </c>
      <c r="J337" s="143">
        <f>Inventario[[#This Row],[PRECIO DE VENTA]]-Inventario[[#This Row],[COSTO UNITARIO MAYORISTA ]]</f>
        <v>10000</v>
      </c>
      <c r="K337" s="14">
        <f>Inventario[[#This Row],[PRECIO UTILIDAD]]/Inventario[[#This Row],[PRECIO DE VENTA]]</f>
        <v>0.5</v>
      </c>
    </row>
    <row r="338" spans="1:11" ht="33" customHeight="1">
      <c r="A338" s="21">
        <v>6978054580097</v>
      </c>
      <c r="B338" s="203" t="s">
        <v>864</v>
      </c>
      <c r="C338" s="204" t="s">
        <v>25</v>
      </c>
      <c r="D338" s="203" t="s">
        <v>865</v>
      </c>
      <c r="E338" s="11">
        <v>8000</v>
      </c>
      <c r="F338" s="26">
        <v>2</v>
      </c>
      <c r="G338" s="41">
        <f>Inventario[[#This Row],[COSTO UNITARIO MAYORISTA ]]*Inventario[[#This Row],[CANTIDAD]]</f>
        <v>16000</v>
      </c>
      <c r="H338" s="12">
        <v>0.4</v>
      </c>
      <c r="I338" s="39">
        <v>16000</v>
      </c>
      <c r="J338" s="143">
        <f>Inventario[[#This Row],[PRECIO DE VENTA]]-Inventario[[#This Row],[COSTO UNITARIO MAYORISTA ]]</f>
        <v>8000</v>
      </c>
      <c r="K338" s="14">
        <f>Inventario[[#This Row],[PRECIO UTILIDAD]]/Inventario[[#This Row],[PRECIO DE VENTA]]</f>
        <v>0.5</v>
      </c>
    </row>
    <row r="339" spans="1:11" ht="33" customHeight="1">
      <c r="A339" s="203" t="s">
        <v>866</v>
      </c>
      <c r="B339" s="203" t="s">
        <v>867</v>
      </c>
      <c r="C339" s="204" t="s">
        <v>25</v>
      </c>
      <c r="D339" s="203" t="s">
        <v>868</v>
      </c>
      <c r="E339" s="11">
        <v>8000</v>
      </c>
      <c r="F339" s="26">
        <v>3</v>
      </c>
      <c r="G339" s="41">
        <f>Inventario[[#This Row],[COSTO UNITARIO MAYORISTA ]]*Inventario[[#This Row],[CANTIDAD]]</f>
        <v>24000</v>
      </c>
      <c r="H339" s="12">
        <v>0.4</v>
      </c>
      <c r="I339" s="39">
        <v>15000</v>
      </c>
      <c r="J339" s="143">
        <f>Inventario[[#This Row],[PRECIO DE VENTA]]-Inventario[[#This Row],[COSTO UNITARIO MAYORISTA ]]</f>
        <v>7000</v>
      </c>
      <c r="K339" s="14">
        <f>Inventario[[#This Row],[PRECIO UTILIDAD]]/Inventario[[#This Row],[PRECIO DE VENTA]]</f>
        <v>0.46666666666666667</v>
      </c>
    </row>
    <row r="340" spans="1:11" ht="33" customHeight="1">
      <c r="A340" s="203" t="s">
        <v>869</v>
      </c>
      <c r="B340" s="203" t="s">
        <v>870</v>
      </c>
      <c r="C340" s="204" t="s">
        <v>25</v>
      </c>
      <c r="D340" s="203" t="s">
        <v>871</v>
      </c>
      <c r="E340" s="11">
        <v>8000</v>
      </c>
      <c r="F340" s="26">
        <v>1</v>
      </c>
      <c r="G340" s="41">
        <f>Inventario[[#This Row],[COSTO UNITARIO MAYORISTA ]]*Inventario[[#This Row],[CANTIDAD]]</f>
        <v>8000</v>
      </c>
      <c r="H340" s="12">
        <v>0.4</v>
      </c>
      <c r="I340" s="39">
        <v>15000</v>
      </c>
      <c r="J340" s="143">
        <f>Inventario[[#This Row],[PRECIO DE VENTA]]-Inventario[[#This Row],[COSTO UNITARIO MAYORISTA ]]</f>
        <v>7000</v>
      </c>
      <c r="K340" s="14">
        <f>Inventario[[#This Row],[PRECIO UTILIDAD]]/Inventario[[#This Row],[PRECIO DE VENTA]]</f>
        <v>0.46666666666666667</v>
      </c>
    </row>
    <row r="341" spans="1:11" ht="33" customHeight="1">
      <c r="A341" s="203">
        <v>6957615168288</v>
      </c>
      <c r="B341" s="203" t="s">
        <v>872</v>
      </c>
      <c r="C341" s="204" t="s">
        <v>25</v>
      </c>
      <c r="D341" s="203" t="s">
        <v>873</v>
      </c>
      <c r="E341" s="11">
        <v>3500</v>
      </c>
      <c r="F341" s="26">
        <v>3</v>
      </c>
      <c r="G341" s="41">
        <f>Inventario[[#This Row],[COSTO UNITARIO MAYORISTA ]]*Inventario[[#This Row],[CANTIDAD]]</f>
        <v>10500</v>
      </c>
      <c r="H341" s="12">
        <v>0.4</v>
      </c>
      <c r="I341" s="39">
        <v>6000</v>
      </c>
      <c r="J341" s="143">
        <f>Inventario[[#This Row],[PRECIO DE VENTA]]-Inventario[[#This Row],[COSTO UNITARIO MAYORISTA ]]</f>
        <v>2500</v>
      </c>
      <c r="K341" s="14">
        <f>Inventario[[#This Row],[PRECIO UTILIDAD]]/Inventario[[#This Row],[PRECIO DE VENTA]]</f>
        <v>0.41666666666666669</v>
      </c>
    </row>
    <row r="342" spans="1:11" ht="33" customHeight="1">
      <c r="A342" s="21">
        <v>6965482363910</v>
      </c>
      <c r="B342" s="203" t="s">
        <v>874</v>
      </c>
      <c r="C342" s="204" t="s">
        <v>25</v>
      </c>
      <c r="D342" s="203" t="s">
        <v>875</v>
      </c>
      <c r="E342" s="11">
        <v>8000</v>
      </c>
      <c r="F342" s="26">
        <v>3</v>
      </c>
      <c r="G342" s="41">
        <f>Inventario[[#This Row],[COSTO UNITARIO MAYORISTA ]]*Inventario[[#This Row],[CANTIDAD]]</f>
        <v>24000</v>
      </c>
      <c r="H342" s="12">
        <v>0.4</v>
      </c>
      <c r="I342" s="39">
        <v>15000</v>
      </c>
      <c r="J342" s="143">
        <f>Inventario[[#This Row],[PRECIO DE VENTA]]-Inventario[[#This Row],[COSTO UNITARIO MAYORISTA ]]</f>
        <v>7000</v>
      </c>
      <c r="K342" s="14">
        <f>Inventario[[#This Row],[PRECIO UTILIDAD]]/Inventario[[#This Row],[PRECIO DE VENTA]]</f>
        <v>0.46666666666666667</v>
      </c>
    </row>
    <row r="343" spans="1:11" ht="33" customHeight="1">
      <c r="A343" s="21">
        <v>6911223455666</v>
      </c>
      <c r="B343" s="203" t="s">
        <v>876</v>
      </c>
      <c r="C343" s="204" t="s">
        <v>25</v>
      </c>
      <c r="D343" s="203" t="s">
        <v>877</v>
      </c>
      <c r="E343" s="11">
        <v>3000</v>
      </c>
      <c r="F343" s="26">
        <v>4</v>
      </c>
      <c r="G343" s="41">
        <f>Inventario[[#This Row],[COSTO UNITARIO MAYORISTA ]]*Inventario[[#This Row],[CANTIDAD]]</f>
        <v>12000</v>
      </c>
      <c r="H343" s="12">
        <v>0.4</v>
      </c>
      <c r="I343" s="39">
        <v>9000</v>
      </c>
      <c r="J343" s="143">
        <f>Inventario[[#This Row],[PRECIO DE VENTA]]-Inventario[[#This Row],[COSTO UNITARIO MAYORISTA ]]</f>
        <v>6000</v>
      </c>
      <c r="K343" s="14">
        <f>Inventario[[#This Row],[PRECIO UTILIDAD]]/Inventario[[#This Row],[PRECIO DE VENTA]]</f>
        <v>0.66666666666666663</v>
      </c>
    </row>
    <row r="344" spans="1:11" ht="33" customHeight="1">
      <c r="A344" s="35">
        <v>6988562966160</v>
      </c>
      <c r="B344" s="214" t="s">
        <v>878</v>
      </c>
      <c r="C344" s="215" t="s">
        <v>25</v>
      </c>
      <c r="D344" s="214" t="s">
        <v>880</v>
      </c>
      <c r="E344" s="36">
        <v>2300</v>
      </c>
      <c r="F344" s="37">
        <v>2</v>
      </c>
      <c r="G344" s="41">
        <f>Inventario[[#This Row],[COSTO UNITARIO MAYORISTA ]]*Inventario[[#This Row],[CANTIDAD]]</f>
        <v>4600</v>
      </c>
      <c r="H344" s="12">
        <v>0.4</v>
      </c>
      <c r="I344" s="39">
        <v>7000</v>
      </c>
      <c r="J344" s="143">
        <f>Inventario[[#This Row],[PRECIO DE VENTA]]-Inventario[[#This Row],[COSTO UNITARIO MAYORISTA ]]</f>
        <v>4700</v>
      </c>
      <c r="K344" s="14">
        <f>Inventario[[#This Row],[PRECIO UTILIDAD]]/Inventario[[#This Row],[PRECIO DE VENTA]]</f>
        <v>0.67142857142857137</v>
      </c>
    </row>
    <row r="345" spans="1:11" ht="33" customHeight="1">
      <c r="A345" s="203">
        <v>6962365301007</v>
      </c>
      <c r="B345" s="203" t="s">
        <v>879</v>
      </c>
      <c r="C345" s="204" t="s">
        <v>25</v>
      </c>
      <c r="D345" s="203" t="s">
        <v>881</v>
      </c>
      <c r="E345" s="11">
        <v>1500</v>
      </c>
      <c r="F345" s="26">
        <v>11</v>
      </c>
      <c r="G345" s="41">
        <f>Inventario[[#This Row],[COSTO UNITARIO MAYORISTA ]]*Inventario[[#This Row],[CANTIDAD]]</f>
        <v>16500</v>
      </c>
      <c r="H345" s="12">
        <v>0.4</v>
      </c>
      <c r="I345" s="39">
        <v>3000</v>
      </c>
      <c r="J345" s="143">
        <f>Inventario[[#This Row],[PRECIO DE VENTA]]-Inventario[[#This Row],[COSTO UNITARIO MAYORISTA ]]</f>
        <v>1500</v>
      </c>
      <c r="K345" s="14">
        <f>Inventario[[#This Row],[PRECIO UTILIDAD]]/Inventario[[#This Row],[PRECIO DE VENTA]]</f>
        <v>0.5</v>
      </c>
    </row>
    <row r="346" spans="1:11" ht="33" customHeight="1">
      <c r="A346" s="21">
        <v>6971354490882</v>
      </c>
      <c r="B346" s="240" t="s">
        <v>912</v>
      </c>
      <c r="C346" s="241" t="s">
        <v>25</v>
      </c>
      <c r="D346" s="240" t="s">
        <v>913</v>
      </c>
      <c r="E346" s="11">
        <v>2500</v>
      </c>
      <c r="F346" s="26">
        <v>3</v>
      </c>
      <c r="G346" s="41">
        <f>Inventario[[#This Row],[COSTO UNITARIO MAYORISTA ]]*Inventario[[#This Row],[CANTIDAD]]</f>
        <v>7500</v>
      </c>
      <c r="H346" s="12">
        <v>0.4</v>
      </c>
      <c r="I346" s="39">
        <v>8000</v>
      </c>
      <c r="J346" s="143">
        <f>Inventario[[#This Row],[PRECIO DE VENTA]]-Inventario[[#This Row],[COSTO UNITARIO MAYORISTA ]]</f>
        <v>5500</v>
      </c>
      <c r="K346" s="14">
        <f>Inventario[[#This Row],[PRECIO UTILIDAD]]/Inventario[[#This Row],[PRECIO DE VENTA]]</f>
        <v>0.6875</v>
      </c>
    </row>
    <row r="347" spans="1:11" ht="33" customHeight="1">
      <c r="A347" s="245" t="s">
        <v>914</v>
      </c>
      <c r="B347" s="243" t="s">
        <v>916</v>
      </c>
      <c r="C347" s="244" t="s">
        <v>915</v>
      </c>
      <c r="D347" s="243" t="s">
        <v>917</v>
      </c>
      <c r="E347" s="11">
        <v>12000</v>
      </c>
      <c r="F347" s="26">
        <v>1</v>
      </c>
      <c r="G347" s="41">
        <f>Inventario[[#This Row],[COSTO UNITARIO MAYORISTA ]]*Inventario[[#This Row],[CANTIDAD]]</f>
        <v>12000</v>
      </c>
      <c r="H347" s="12">
        <v>0.4</v>
      </c>
      <c r="I347" s="39">
        <f>Inventario[[#This Row],[COSTO UNITARIO MAYORISTA ]]/(1-Inventario[[#This Row],[MARGEN DE UTILIDAD]])</f>
        <v>20000</v>
      </c>
      <c r="J347" s="143">
        <f>Inventario[[#This Row],[PRECIO DE VENTA]]-Inventario[[#This Row],[COSTO UNITARIO MAYORISTA ]]</f>
        <v>8000</v>
      </c>
      <c r="K347" s="14">
        <f>Inventario[[#This Row],[PRECIO UTILIDAD]]/Inventario[[#This Row],[PRECIO DE VENTA]]</f>
        <v>0.4</v>
      </c>
    </row>
    <row r="348" spans="1:11" ht="33" customHeight="1">
      <c r="A348" s="21">
        <v>6970104071197</v>
      </c>
      <c r="B348" s="243" t="s">
        <v>918</v>
      </c>
      <c r="C348" s="244" t="s">
        <v>915</v>
      </c>
      <c r="D348" s="243" t="s">
        <v>919</v>
      </c>
      <c r="E348" s="11">
        <v>8400</v>
      </c>
      <c r="F348" s="26">
        <v>1</v>
      </c>
      <c r="G348" s="41">
        <f>Inventario[[#This Row],[COSTO UNITARIO MAYORISTA ]]*Inventario[[#This Row],[CANTIDAD]]</f>
        <v>8400</v>
      </c>
      <c r="H348" s="12">
        <v>0.4</v>
      </c>
      <c r="I348" s="39">
        <v>15000</v>
      </c>
      <c r="J348" s="143">
        <f>Inventario[[#This Row],[PRECIO DE VENTA]]-Inventario[[#This Row],[COSTO UNITARIO MAYORISTA ]]</f>
        <v>6600</v>
      </c>
      <c r="K348" s="14">
        <f>Inventario[[#This Row],[PRECIO UTILIDAD]]/Inventario[[#This Row],[PRECIO DE VENTA]]</f>
        <v>0.44</v>
      </c>
    </row>
    <row r="349" spans="1:11" ht="33" customHeight="1">
      <c r="A349" s="21">
        <v>6970323261867</v>
      </c>
      <c r="B349" s="243" t="s">
        <v>920</v>
      </c>
      <c r="C349" s="244" t="s">
        <v>915</v>
      </c>
      <c r="D349" s="243" t="s">
        <v>921</v>
      </c>
      <c r="E349" s="11">
        <v>10000</v>
      </c>
      <c r="F349" s="26">
        <v>2</v>
      </c>
      <c r="G349" s="41">
        <f>Inventario[[#This Row],[COSTO UNITARIO MAYORISTA ]]*Inventario[[#This Row],[CANTIDAD]]</f>
        <v>20000</v>
      </c>
      <c r="H349" s="12">
        <v>0.4</v>
      </c>
      <c r="I349" s="39">
        <v>20000</v>
      </c>
      <c r="J349" s="143">
        <f>Inventario[[#This Row],[PRECIO DE VENTA]]-Inventario[[#This Row],[COSTO UNITARIO MAYORISTA ]]</f>
        <v>10000</v>
      </c>
      <c r="K349" s="14">
        <f>Inventario[[#This Row],[PRECIO UTILIDAD]]/Inventario[[#This Row],[PRECIO DE VENTA]]</f>
        <v>0.5</v>
      </c>
    </row>
    <row r="350" spans="1:11" ht="33" customHeight="1">
      <c r="A350" s="243" t="s">
        <v>943</v>
      </c>
      <c r="B350" s="243" t="s">
        <v>922</v>
      </c>
      <c r="C350" s="244" t="s">
        <v>915</v>
      </c>
      <c r="D350" s="243" t="s">
        <v>923</v>
      </c>
      <c r="E350" s="11">
        <v>13000</v>
      </c>
      <c r="F350" s="26">
        <v>1</v>
      </c>
      <c r="G350" s="41">
        <f>Inventario[[#This Row],[COSTO UNITARIO MAYORISTA ]]*Inventario[[#This Row],[CANTIDAD]]</f>
        <v>13000</v>
      </c>
      <c r="H350" s="12">
        <v>0.4</v>
      </c>
      <c r="I350" s="39">
        <v>25000</v>
      </c>
      <c r="J350" s="143">
        <f>Inventario[[#This Row],[PRECIO DE VENTA]]-Inventario[[#This Row],[COSTO UNITARIO MAYORISTA ]]</f>
        <v>12000</v>
      </c>
      <c r="K350" s="14">
        <f>Inventario[[#This Row],[PRECIO UTILIDAD]]/Inventario[[#This Row],[PRECIO DE VENTA]]</f>
        <v>0.48</v>
      </c>
    </row>
    <row r="351" spans="1:11" ht="33" customHeight="1">
      <c r="A351" s="21">
        <v>6973511066619</v>
      </c>
      <c r="B351" s="243" t="s">
        <v>924</v>
      </c>
      <c r="C351" s="244" t="s">
        <v>915</v>
      </c>
      <c r="D351" s="243" t="s">
        <v>925</v>
      </c>
      <c r="E351" s="11">
        <v>5000</v>
      </c>
      <c r="F351" s="26">
        <v>1</v>
      </c>
      <c r="G351" s="41">
        <f>Inventario[[#This Row],[COSTO UNITARIO MAYORISTA ]]*Inventario[[#This Row],[CANTIDAD]]</f>
        <v>5000</v>
      </c>
      <c r="H351" s="12">
        <v>0.4</v>
      </c>
      <c r="I351" s="39">
        <v>10000</v>
      </c>
      <c r="J351" s="143">
        <f>Inventario[[#This Row],[PRECIO DE VENTA]]-Inventario[[#This Row],[COSTO UNITARIO MAYORISTA ]]</f>
        <v>5000</v>
      </c>
      <c r="K351" s="14">
        <f>Inventario[[#This Row],[PRECIO UTILIDAD]]/Inventario[[#This Row],[PRECIO DE VENTA]]</f>
        <v>0.5</v>
      </c>
    </row>
    <row r="352" spans="1:11" ht="33" customHeight="1">
      <c r="A352" s="243" t="s">
        <v>929</v>
      </c>
      <c r="B352" s="243" t="s">
        <v>926</v>
      </c>
      <c r="C352" s="244" t="s">
        <v>915</v>
      </c>
      <c r="D352" s="243" t="s">
        <v>927</v>
      </c>
      <c r="E352" s="11">
        <v>17500</v>
      </c>
      <c r="F352" s="26">
        <v>1</v>
      </c>
      <c r="G352" s="41">
        <f>Inventario[[#This Row],[COSTO UNITARIO MAYORISTA ]]*Inventario[[#This Row],[CANTIDAD]]</f>
        <v>17500</v>
      </c>
      <c r="H352" s="12">
        <v>0.4</v>
      </c>
      <c r="I352" s="39">
        <v>30000</v>
      </c>
      <c r="J352" s="143">
        <f>Inventario[[#This Row],[PRECIO DE VENTA]]-Inventario[[#This Row],[COSTO UNITARIO MAYORISTA ]]</f>
        <v>12500</v>
      </c>
      <c r="K352" s="14">
        <f>Inventario[[#This Row],[PRECIO UTILIDAD]]/Inventario[[#This Row],[PRECIO DE VENTA]]</f>
        <v>0.41666666666666669</v>
      </c>
    </row>
    <row r="353" spans="1:11" ht="33" customHeight="1">
      <c r="A353" s="243" t="s">
        <v>928</v>
      </c>
      <c r="B353" s="243" t="s">
        <v>930</v>
      </c>
      <c r="C353" s="244" t="s">
        <v>915</v>
      </c>
      <c r="D353" s="243" t="s">
        <v>931</v>
      </c>
      <c r="E353" s="11">
        <v>8000</v>
      </c>
      <c r="F353" s="26">
        <v>2</v>
      </c>
      <c r="G353" s="41">
        <f>Inventario[[#This Row],[COSTO UNITARIO MAYORISTA ]]*Inventario[[#This Row],[CANTIDAD]]</f>
        <v>16000</v>
      </c>
      <c r="H353" s="12">
        <v>0.4</v>
      </c>
      <c r="I353" s="39">
        <v>15000</v>
      </c>
      <c r="J353" s="143">
        <f>Inventario[[#This Row],[PRECIO DE VENTA]]-Inventario[[#This Row],[COSTO UNITARIO MAYORISTA ]]</f>
        <v>7000</v>
      </c>
      <c r="K353" s="14">
        <f>Inventario[[#This Row],[PRECIO UTILIDAD]]/Inventario[[#This Row],[PRECIO DE VENTA]]</f>
        <v>0.46666666666666667</v>
      </c>
    </row>
    <row r="354" spans="1:11" ht="33" customHeight="1">
      <c r="A354" s="21">
        <v>6972927852977</v>
      </c>
      <c r="B354" s="243" t="s">
        <v>932</v>
      </c>
      <c r="C354" s="244" t="s">
        <v>915</v>
      </c>
      <c r="D354" s="243" t="s">
        <v>933</v>
      </c>
      <c r="E354" s="11">
        <v>1000</v>
      </c>
      <c r="F354" s="26">
        <v>12</v>
      </c>
      <c r="G354" s="41">
        <f>Inventario[[#This Row],[COSTO UNITARIO MAYORISTA ]]*Inventario[[#This Row],[CANTIDAD]]</f>
        <v>12000</v>
      </c>
      <c r="H354" s="12">
        <v>0.4</v>
      </c>
      <c r="I354" s="39">
        <v>2000</v>
      </c>
      <c r="J354" s="143">
        <f>Inventario[[#This Row],[PRECIO DE VENTA]]-Inventario[[#This Row],[COSTO UNITARIO MAYORISTA ]]</f>
        <v>1000</v>
      </c>
      <c r="K354" s="14">
        <f>Inventario[[#This Row],[PRECIO UTILIDAD]]/Inventario[[#This Row],[PRECIO DE VENTA]]</f>
        <v>0.5</v>
      </c>
    </row>
    <row r="355" spans="1:11" ht="33" customHeight="1">
      <c r="A355" s="243" t="s">
        <v>934</v>
      </c>
      <c r="B355" s="243" t="s">
        <v>935</v>
      </c>
      <c r="C355" s="244" t="s">
        <v>915</v>
      </c>
      <c r="D355" s="243" t="s">
        <v>936</v>
      </c>
      <c r="E355" s="11">
        <v>8000</v>
      </c>
      <c r="F355" s="26">
        <v>4</v>
      </c>
      <c r="G355" s="41">
        <f>Inventario[[#This Row],[COSTO UNITARIO MAYORISTA ]]*Inventario[[#This Row],[CANTIDAD]]</f>
        <v>32000</v>
      </c>
      <c r="H355" s="12">
        <v>0.4</v>
      </c>
      <c r="I355" s="39">
        <v>20000</v>
      </c>
      <c r="J355" s="143">
        <f>Inventario[[#This Row],[PRECIO DE VENTA]]-Inventario[[#This Row],[COSTO UNITARIO MAYORISTA ]]</f>
        <v>12000</v>
      </c>
      <c r="K355" s="14">
        <f>Inventario[[#This Row],[PRECIO UTILIDAD]]/Inventario[[#This Row],[PRECIO DE VENTA]]</f>
        <v>0.6</v>
      </c>
    </row>
    <row r="356" spans="1:11" ht="33" customHeight="1">
      <c r="A356" s="243" t="s">
        <v>941</v>
      </c>
      <c r="B356" s="243" t="s">
        <v>937</v>
      </c>
      <c r="C356" s="244" t="s">
        <v>915</v>
      </c>
      <c r="D356" s="243" t="s">
        <v>938</v>
      </c>
      <c r="E356" s="11">
        <v>30000</v>
      </c>
      <c r="F356" s="26">
        <v>1</v>
      </c>
      <c r="G356" s="41">
        <f>Inventario[[#This Row],[COSTO UNITARIO MAYORISTA ]]*Inventario[[#This Row],[CANTIDAD]]</f>
        <v>30000</v>
      </c>
      <c r="H356" s="12">
        <v>0.4</v>
      </c>
      <c r="I356" s="39">
        <f>Inventario[[#This Row],[COSTO UNITARIO MAYORISTA ]]/(1-Inventario[[#This Row],[MARGEN DE UTILIDAD]])</f>
        <v>50000</v>
      </c>
      <c r="J356" s="143">
        <f>Inventario[[#This Row],[PRECIO DE VENTA]]-Inventario[[#This Row],[COSTO UNITARIO MAYORISTA ]]</f>
        <v>20000</v>
      </c>
      <c r="K356" s="14">
        <f>Inventario[[#This Row],[PRECIO UTILIDAD]]/Inventario[[#This Row],[PRECIO DE VENTA]]</f>
        <v>0.4</v>
      </c>
    </row>
    <row r="357" spans="1:11" ht="33" customHeight="1">
      <c r="A357" s="243" t="s">
        <v>942</v>
      </c>
      <c r="B357" s="243" t="s">
        <v>939</v>
      </c>
      <c r="C357" s="244" t="s">
        <v>915</v>
      </c>
      <c r="D357" s="243" t="s">
        <v>940</v>
      </c>
      <c r="E357" s="11">
        <v>28000</v>
      </c>
      <c r="F357" s="26">
        <v>1</v>
      </c>
      <c r="G357" s="41">
        <f>Inventario[[#This Row],[COSTO UNITARIO MAYORISTA ]]*Inventario[[#This Row],[CANTIDAD]]</f>
        <v>28000</v>
      </c>
      <c r="H357" s="12">
        <v>0.4</v>
      </c>
      <c r="I357" s="39">
        <v>48000</v>
      </c>
      <c r="J357" s="143">
        <f>Inventario[[#This Row],[PRECIO DE VENTA]]-Inventario[[#This Row],[COSTO UNITARIO MAYORISTA ]]</f>
        <v>20000</v>
      </c>
      <c r="K357" s="14">
        <f>Inventario[[#This Row],[PRECIO UTILIDAD]]/Inventario[[#This Row],[PRECIO DE VENTA]]</f>
        <v>0.41666666666666669</v>
      </c>
    </row>
    <row r="358" spans="1:11" ht="33" customHeight="1">
      <c r="A358" s="243" t="s">
        <v>944</v>
      </c>
      <c r="B358" s="243" t="s">
        <v>945</v>
      </c>
      <c r="C358" s="244" t="s">
        <v>915</v>
      </c>
      <c r="D358" s="243" t="s">
        <v>946</v>
      </c>
      <c r="E358" s="11">
        <v>5800</v>
      </c>
      <c r="F358" s="26">
        <v>10</v>
      </c>
      <c r="G358" s="41">
        <f>Inventario[[#This Row],[COSTO UNITARIO MAYORISTA ]]*Inventario[[#This Row],[CANTIDAD]]</f>
        <v>58000</v>
      </c>
      <c r="H358" s="12">
        <v>0.4</v>
      </c>
      <c r="I358" s="39">
        <v>10000</v>
      </c>
      <c r="J358" s="143">
        <f>Inventario[[#This Row],[PRECIO DE VENTA]]-Inventario[[#This Row],[COSTO UNITARIO MAYORISTA ]]</f>
        <v>4200</v>
      </c>
      <c r="K358" s="14">
        <f>Inventario[[#This Row],[PRECIO UTILIDAD]]/Inventario[[#This Row],[PRECIO DE VENTA]]</f>
        <v>0.42</v>
      </c>
    </row>
    <row r="359" spans="1:11" ht="33" customHeight="1">
      <c r="A359" s="21">
        <v>2303829</v>
      </c>
      <c r="B359" s="243" t="s">
        <v>947</v>
      </c>
      <c r="C359" s="244" t="s">
        <v>835</v>
      </c>
      <c r="D359" s="243" t="s">
        <v>948</v>
      </c>
      <c r="E359" s="11">
        <v>10000</v>
      </c>
      <c r="F359" s="26">
        <v>2</v>
      </c>
      <c r="G359" s="41">
        <f>Inventario[[#This Row],[COSTO UNITARIO MAYORISTA ]]*Inventario[[#This Row],[CANTIDAD]]</f>
        <v>20000</v>
      </c>
      <c r="H359" s="12">
        <v>0.4</v>
      </c>
      <c r="I359" s="39">
        <v>25000</v>
      </c>
      <c r="J359" s="143">
        <f>Inventario[[#This Row],[PRECIO DE VENTA]]-Inventario[[#This Row],[COSTO UNITARIO MAYORISTA ]]</f>
        <v>15000</v>
      </c>
      <c r="K359" s="14">
        <f>Inventario[[#This Row],[PRECIO UTILIDAD]]/Inventario[[#This Row],[PRECIO DE VENTA]]</f>
        <v>0.6</v>
      </c>
    </row>
    <row r="360" spans="1:11" ht="33" customHeight="1">
      <c r="A360" s="243" t="s">
        <v>949</v>
      </c>
      <c r="B360" s="243" t="s">
        <v>950</v>
      </c>
      <c r="C360" s="244" t="s">
        <v>835</v>
      </c>
      <c r="D360" s="243" t="s">
        <v>951</v>
      </c>
      <c r="E360" s="11">
        <v>20000</v>
      </c>
      <c r="F360" s="26">
        <v>1</v>
      </c>
      <c r="G360" s="41">
        <f>Inventario[[#This Row],[COSTO UNITARIO MAYORISTA ]]*Inventario[[#This Row],[CANTIDAD]]</f>
        <v>20000</v>
      </c>
      <c r="H360" s="12">
        <v>0.4</v>
      </c>
      <c r="I360" s="39">
        <v>40000</v>
      </c>
      <c r="J360" s="143">
        <f>Inventario[[#This Row],[PRECIO DE VENTA]]-Inventario[[#This Row],[COSTO UNITARIO MAYORISTA ]]</f>
        <v>20000</v>
      </c>
      <c r="K360" s="14">
        <f>Inventario[[#This Row],[PRECIO UTILIDAD]]/Inventario[[#This Row],[PRECIO DE VENTA]]</f>
        <v>0.5</v>
      </c>
    </row>
    <row r="361" spans="1:11" ht="33" customHeight="1">
      <c r="A361" s="243" t="s">
        <v>952</v>
      </c>
      <c r="B361" s="243" t="s">
        <v>953</v>
      </c>
      <c r="C361" s="244" t="s">
        <v>835</v>
      </c>
      <c r="D361" s="243" t="s">
        <v>954</v>
      </c>
      <c r="E361" s="11">
        <v>20000</v>
      </c>
      <c r="F361" s="26">
        <v>1</v>
      </c>
      <c r="G361" s="41">
        <f>Inventario[[#This Row],[COSTO UNITARIO MAYORISTA ]]*Inventario[[#This Row],[CANTIDAD]]</f>
        <v>20000</v>
      </c>
      <c r="H361" s="12">
        <v>0.4</v>
      </c>
      <c r="I361" s="39">
        <v>40000</v>
      </c>
      <c r="J361" s="143">
        <f>Inventario[[#This Row],[PRECIO DE VENTA]]-Inventario[[#This Row],[COSTO UNITARIO MAYORISTA ]]</f>
        <v>20000</v>
      </c>
      <c r="K361" s="14">
        <f>Inventario[[#This Row],[PRECIO UTILIDAD]]/Inventario[[#This Row],[PRECIO DE VENTA]]</f>
        <v>0.5</v>
      </c>
    </row>
    <row r="362" spans="1:11" ht="33" customHeight="1">
      <c r="A362" s="21">
        <v>8435419464884</v>
      </c>
      <c r="B362" s="243" t="s">
        <v>955</v>
      </c>
      <c r="C362" s="244" t="s">
        <v>185</v>
      </c>
      <c r="D362" s="243" t="s">
        <v>956</v>
      </c>
      <c r="E362" s="11">
        <v>18900</v>
      </c>
      <c r="F362" s="26">
        <v>1</v>
      </c>
      <c r="G362" s="41">
        <f>Inventario[[#This Row],[COSTO UNITARIO MAYORISTA ]]*Inventario[[#This Row],[CANTIDAD]]</f>
        <v>18900</v>
      </c>
      <c r="H362" s="12">
        <v>0.4</v>
      </c>
      <c r="I362" s="39">
        <v>35000</v>
      </c>
      <c r="J362" s="143">
        <f>Inventario[[#This Row],[PRECIO DE VENTA]]-Inventario[[#This Row],[COSTO UNITARIO MAYORISTA ]]</f>
        <v>16100</v>
      </c>
      <c r="K362" s="14">
        <f>Inventario[[#This Row],[PRECIO UTILIDAD]]/Inventario[[#This Row],[PRECIO DE VENTA]]</f>
        <v>0.46</v>
      </c>
    </row>
    <row r="363" spans="1:11" ht="33" customHeight="1">
      <c r="A363" s="21">
        <v>6972716546162</v>
      </c>
      <c r="B363" s="243" t="s">
        <v>957</v>
      </c>
      <c r="C363" s="244" t="s">
        <v>185</v>
      </c>
      <c r="D363" s="243" t="s">
        <v>958</v>
      </c>
      <c r="E363" s="11">
        <v>8500</v>
      </c>
      <c r="F363" s="26">
        <v>1</v>
      </c>
      <c r="G363" s="41">
        <f>Inventario[[#This Row],[COSTO UNITARIO MAYORISTA ]]*Inventario[[#This Row],[CANTIDAD]]</f>
        <v>8500</v>
      </c>
      <c r="H363" s="12">
        <v>0.4</v>
      </c>
      <c r="I363" s="39">
        <v>15000</v>
      </c>
      <c r="J363" s="143">
        <f>Inventario[[#This Row],[PRECIO DE VENTA]]-Inventario[[#This Row],[COSTO UNITARIO MAYORISTA ]]</f>
        <v>6500</v>
      </c>
      <c r="K363" s="14">
        <f>Inventario[[#This Row],[PRECIO UTILIDAD]]/Inventario[[#This Row],[PRECIO DE VENTA]]</f>
        <v>0.43333333333333335</v>
      </c>
    </row>
    <row r="364" spans="1:11" ht="33" customHeight="1">
      <c r="A364" s="21">
        <v>6942349742323</v>
      </c>
      <c r="B364" s="243" t="s">
        <v>959</v>
      </c>
      <c r="C364" s="244" t="s">
        <v>185</v>
      </c>
      <c r="D364" s="243" t="s">
        <v>960</v>
      </c>
      <c r="E364" s="11">
        <v>1000</v>
      </c>
      <c r="F364" s="26">
        <v>1</v>
      </c>
      <c r="G364" s="41">
        <f>Inventario[[#This Row],[COSTO UNITARIO MAYORISTA ]]*Inventario[[#This Row],[CANTIDAD]]</f>
        <v>1000</v>
      </c>
      <c r="H364" s="12">
        <v>0.4</v>
      </c>
      <c r="I364" s="39">
        <v>3000</v>
      </c>
      <c r="J364" s="143">
        <f>Inventario[[#This Row],[PRECIO DE VENTA]]-Inventario[[#This Row],[COSTO UNITARIO MAYORISTA ]]</f>
        <v>2000</v>
      </c>
      <c r="K364" s="14">
        <f>Inventario[[#This Row],[PRECIO UTILIDAD]]/Inventario[[#This Row],[PRECIO DE VENTA]]</f>
        <v>0.66666666666666663</v>
      </c>
    </row>
    <row r="365" spans="1:11" ht="33" customHeight="1">
      <c r="A365" s="21">
        <v>7894902060131</v>
      </c>
      <c r="B365" s="243" t="s">
        <v>961</v>
      </c>
      <c r="C365" s="244" t="s">
        <v>185</v>
      </c>
      <c r="D365" s="243" t="s">
        <v>962</v>
      </c>
      <c r="E365" s="11">
        <v>7000</v>
      </c>
      <c r="F365" s="26">
        <v>1</v>
      </c>
      <c r="G365" s="41">
        <f>Inventario[[#This Row],[COSTO UNITARIO MAYORISTA ]]*Inventario[[#This Row],[CANTIDAD]]</f>
        <v>7000</v>
      </c>
      <c r="H365" s="12">
        <v>0.4</v>
      </c>
      <c r="I365" s="39">
        <v>15000</v>
      </c>
      <c r="J365" s="143">
        <f>Inventario[[#This Row],[PRECIO DE VENTA]]-Inventario[[#This Row],[COSTO UNITARIO MAYORISTA ]]</f>
        <v>8000</v>
      </c>
      <c r="K365" s="14">
        <f>Inventario[[#This Row],[PRECIO UTILIDAD]]/Inventario[[#This Row],[PRECIO DE VENTA]]</f>
        <v>0.53333333333333333</v>
      </c>
    </row>
    <row r="366" spans="1:11" ht="33" customHeight="1">
      <c r="A366" s="21">
        <v>6975308870874</v>
      </c>
      <c r="B366" s="243" t="s">
        <v>961</v>
      </c>
      <c r="C366" s="244" t="s">
        <v>185</v>
      </c>
      <c r="D366" s="243" t="s">
        <v>963</v>
      </c>
      <c r="E366" s="11">
        <v>7000</v>
      </c>
      <c r="F366" s="26">
        <v>1</v>
      </c>
      <c r="G366" s="41">
        <f>Inventario[[#This Row],[COSTO UNITARIO MAYORISTA ]]*Inventario[[#This Row],[CANTIDAD]]</f>
        <v>7000</v>
      </c>
      <c r="H366" s="12">
        <v>0.4</v>
      </c>
      <c r="I366" s="39">
        <v>15000</v>
      </c>
      <c r="J366" s="143">
        <f>Inventario[[#This Row],[PRECIO DE VENTA]]-Inventario[[#This Row],[COSTO UNITARIO MAYORISTA ]]</f>
        <v>8000</v>
      </c>
      <c r="K366" s="14">
        <f>Inventario[[#This Row],[PRECIO UTILIDAD]]/Inventario[[#This Row],[PRECIO DE VENTA]]</f>
        <v>0.53333333333333333</v>
      </c>
    </row>
    <row r="367" spans="1:11" ht="33" customHeight="1">
      <c r="A367" s="243" t="s">
        <v>964</v>
      </c>
      <c r="B367" s="243" t="s">
        <v>965</v>
      </c>
      <c r="C367" s="244" t="s">
        <v>185</v>
      </c>
      <c r="D367" s="243" t="s">
        <v>966</v>
      </c>
      <c r="E367" s="11">
        <v>2500</v>
      </c>
      <c r="F367" s="26">
        <v>3</v>
      </c>
      <c r="G367" s="41">
        <f>Inventario[[#This Row],[COSTO UNITARIO MAYORISTA ]]*Inventario[[#This Row],[CANTIDAD]]</f>
        <v>7500</v>
      </c>
      <c r="H367" s="12">
        <v>0.4</v>
      </c>
      <c r="I367" s="39">
        <v>10000</v>
      </c>
      <c r="J367" s="143">
        <f>Inventario[[#This Row],[PRECIO DE VENTA]]-Inventario[[#This Row],[COSTO UNITARIO MAYORISTA ]]</f>
        <v>7500</v>
      </c>
      <c r="K367" s="14">
        <f>Inventario[[#This Row],[PRECIO UTILIDAD]]/Inventario[[#This Row],[PRECIO DE VENTA]]</f>
        <v>0.75</v>
      </c>
    </row>
    <row r="368" spans="1:11" ht="33" customHeight="1">
      <c r="A368" s="21">
        <v>6937118816343</v>
      </c>
      <c r="B368" s="243" t="s">
        <v>967</v>
      </c>
      <c r="C368" s="244" t="s">
        <v>185</v>
      </c>
      <c r="D368" s="243" t="s">
        <v>968</v>
      </c>
      <c r="E368" s="11">
        <v>10500</v>
      </c>
      <c r="F368" s="26">
        <v>1</v>
      </c>
      <c r="G368" s="41">
        <f>Inventario[[#This Row],[COSTO UNITARIO MAYORISTA ]]*Inventario[[#This Row],[CANTIDAD]]</f>
        <v>10500</v>
      </c>
      <c r="H368" s="12">
        <v>0.4</v>
      </c>
      <c r="I368" s="39">
        <v>18000</v>
      </c>
      <c r="J368" s="143">
        <f>Inventario[[#This Row],[PRECIO DE VENTA]]-Inventario[[#This Row],[COSTO UNITARIO MAYORISTA ]]</f>
        <v>7500</v>
      </c>
      <c r="K368" s="14">
        <f>Inventario[[#This Row],[PRECIO UTILIDAD]]/Inventario[[#This Row],[PRECIO DE VENTA]]</f>
        <v>0.41666666666666669</v>
      </c>
    </row>
    <row r="369" spans="1:11" ht="33" customHeight="1">
      <c r="A369" s="21"/>
      <c r="B369" s="21"/>
      <c r="C369" s="15"/>
      <c r="D369" s="21"/>
      <c r="E369" s="11"/>
      <c r="F369" s="26"/>
      <c r="G369" s="41">
        <f>Inventario[[#This Row],[COSTO UNITARIO MAYORISTA ]]*Inventario[[#This Row],[CANTIDAD]]</f>
        <v>0</v>
      </c>
      <c r="H369" s="12">
        <v>0.4</v>
      </c>
      <c r="I369" s="39">
        <f>Inventario[[#This Row],[COSTO UNITARIO MAYORISTA ]]/(1-Inventario[[#This Row],[MARGEN DE UTILIDAD]])</f>
        <v>0</v>
      </c>
      <c r="J369" s="143">
        <f>Inventario[[#This Row],[PRECIO DE VENTA]]-Inventario[[#This Row],[COSTO UNITARIO MAYORISTA ]]</f>
        <v>0</v>
      </c>
      <c r="K369" s="14" t="e">
        <f>Inventario[[#This Row],[PRECIO UTILIDAD]]/Inventario[[#This Row],[PRECIO DE VENTA]]</f>
        <v>#DIV/0!</v>
      </c>
    </row>
    <row r="370" spans="1:11" ht="33" customHeight="1">
      <c r="A370" s="21"/>
      <c r="B370" s="21"/>
      <c r="C370" s="15"/>
      <c r="D370" s="21"/>
      <c r="E370" s="11"/>
      <c r="F370" s="26"/>
      <c r="G370" s="41">
        <f>Inventario[[#This Row],[COSTO UNITARIO MAYORISTA ]]*Inventario[[#This Row],[CANTIDAD]]</f>
        <v>0</v>
      </c>
      <c r="H370" s="12">
        <v>0.4</v>
      </c>
      <c r="I370" s="39">
        <f>Inventario[[#This Row],[COSTO UNITARIO MAYORISTA ]]/(1-Inventario[[#This Row],[MARGEN DE UTILIDAD]])</f>
        <v>0</v>
      </c>
      <c r="J370" s="143">
        <f>Inventario[[#This Row],[PRECIO DE VENTA]]-Inventario[[#This Row],[COSTO UNITARIO MAYORISTA ]]</f>
        <v>0</v>
      </c>
      <c r="K370" s="14" t="e">
        <f>Inventario[[#This Row],[PRECIO UTILIDAD]]/Inventario[[#This Row],[PRECIO DE VENTA]]</f>
        <v>#DIV/0!</v>
      </c>
    </row>
    <row r="371" spans="1:11" ht="33" customHeight="1">
      <c r="A371" s="21"/>
      <c r="B371" s="21"/>
      <c r="C371" s="15"/>
      <c r="D371" s="21"/>
      <c r="E371" s="11"/>
      <c r="F371" s="26"/>
      <c r="G371" s="41">
        <f>Inventario[[#This Row],[COSTO UNITARIO MAYORISTA ]]*Inventario[[#This Row],[CANTIDAD]]</f>
        <v>0</v>
      </c>
      <c r="H371" s="12">
        <v>0.4</v>
      </c>
      <c r="I371" s="39">
        <f>Inventario[[#This Row],[COSTO UNITARIO MAYORISTA ]]/(1-Inventario[[#This Row],[MARGEN DE UTILIDAD]])</f>
        <v>0</v>
      </c>
      <c r="J371" s="143">
        <f>Inventario[[#This Row],[PRECIO DE VENTA]]-Inventario[[#This Row],[COSTO UNITARIO MAYORISTA ]]</f>
        <v>0</v>
      </c>
      <c r="K371" s="14" t="e">
        <f>Inventario[[#This Row],[PRECIO UTILIDAD]]/Inventario[[#This Row],[PRECIO DE VENTA]]</f>
        <v>#DIV/0!</v>
      </c>
    </row>
    <row r="372" spans="1:11" ht="33" customHeight="1">
      <c r="A372" s="21"/>
      <c r="B372" s="21"/>
      <c r="C372" s="15"/>
      <c r="D372" s="21"/>
      <c r="E372" s="11"/>
      <c r="F372" s="26"/>
      <c r="G372" s="41">
        <f>Inventario[[#This Row],[COSTO UNITARIO MAYORISTA ]]*Inventario[[#This Row],[CANTIDAD]]</f>
        <v>0</v>
      </c>
      <c r="H372" s="12">
        <v>0.4</v>
      </c>
      <c r="I372" s="39">
        <f>Inventario[[#This Row],[COSTO UNITARIO MAYORISTA ]]/(1-Inventario[[#This Row],[MARGEN DE UTILIDAD]])</f>
        <v>0</v>
      </c>
      <c r="J372" s="143">
        <f>Inventario[[#This Row],[PRECIO DE VENTA]]-Inventario[[#This Row],[COSTO UNITARIO MAYORISTA ]]</f>
        <v>0</v>
      </c>
      <c r="K372" s="14" t="e">
        <f>Inventario[[#This Row],[PRECIO UTILIDAD]]/Inventario[[#This Row],[PRECIO DE VENTA]]</f>
        <v>#DIV/0!</v>
      </c>
    </row>
    <row r="373" spans="1:11" ht="33" customHeight="1">
      <c r="A373" s="21"/>
      <c r="B373" s="21"/>
      <c r="C373" s="15"/>
      <c r="D373" s="21"/>
      <c r="E373" s="11"/>
      <c r="F373" s="26"/>
      <c r="G373" s="41">
        <f>Inventario[[#This Row],[COSTO UNITARIO MAYORISTA ]]*Inventario[[#This Row],[CANTIDAD]]</f>
        <v>0</v>
      </c>
      <c r="H373" s="12">
        <v>0.4</v>
      </c>
      <c r="I373" s="39">
        <f>Inventario[[#This Row],[COSTO UNITARIO MAYORISTA ]]/(1-Inventario[[#This Row],[MARGEN DE UTILIDAD]])</f>
        <v>0</v>
      </c>
      <c r="J373" s="143">
        <f>Inventario[[#This Row],[PRECIO DE VENTA]]-Inventario[[#This Row],[COSTO UNITARIO MAYORISTA ]]</f>
        <v>0</v>
      </c>
      <c r="K373" s="14" t="e">
        <f>Inventario[[#This Row],[PRECIO UTILIDAD]]/Inventario[[#This Row],[PRECIO DE VENTA]]</f>
        <v>#DIV/0!</v>
      </c>
    </row>
    <row r="374" spans="1:11" ht="33" customHeight="1">
      <c r="A374" s="21"/>
      <c r="B374" s="21"/>
      <c r="C374" s="15"/>
      <c r="D374" s="21"/>
      <c r="E374" s="11"/>
      <c r="F374" s="26"/>
      <c r="G374" s="41">
        <f>Inventario[[#This Row],[COSTO UNITARIO MAYORISTA ]]*Inventario[[#This Row],[CANTIDAD]]</f>
        <v>0</v>
      </c>
      <c r="H374" s="12">
        <v>0.4</v>
      </c>
      <c r="I374" s="39">
        <f>Inventario[[#This Row],[COSTO UNITARIO MAYORISTA ]]/(1-Inventario[[#This Row],[MARGEN DE UTILIDAD]])</f>
        <v>0</v>
      </c>
      <c r="J374" s="143">
        <f>Inventario[[#This Row],[PRECIO DE VENTA]]-Inventario[[#This Row],[COSTO UNITARIO MAYORISTA ]]</f>
        <v>0</v>
      </c>
      <c r="K374" s="14" t="e">
        <f>Inventario[[#This Row],[PRECIO UTILIDAD]]/Inventario[[#This Row],[PRECIO DE VENTA]]</f>
        <v>#DIV/0!</v>
      </c>
    </row>
    <row r="375" spans="1:11" ht="33" customHeight="1">
      <c r="A375" s="21"/>
      <c r="B375" s="21"/>
      <c r="C375" s="15"/>
      <c r="D375" s="21"/>
      <c r="E375" s="11"/>
      <c r="F375" s="26"/>
      <c r="G375" s="41">
        <f>Inventario[[#This Row],[COSTO UNITARIO MAYORISTA ]]*Inventario[[#This Row],[CANTIDAD]]</f>
        <v>0</v>
      </c>
      <c r="H375" s="12">
        <v>0.4</v>
      </c>
      <c r="I375" s="39">
        <f>Inventario[[#This Row],[COSTO UNITARIO MAYORISTA ]]/(1-Inventario[[#This Row],[MARGEN DE UTILIDAD]])</f>
        <v>0</v>
      </c>
      <c r="J375" s="143">
        <f>Inventario[[#This Row],[PRECIO DE VENTA]]-Inventario[[#This Row],[COSTO UNITARIO MAYORISTA ]]</f>
        <v>0</v>
      </c>
      <c r="K375" s="14" t="e">
        <f>Inventario[[#This Row],[PRECIO UTILIDAD]]/Inventario[[#This Row],[PRECIO DE VENTA]]</f>
        <v>#DIV/0!</v>
      </c>
    </row>
    <row r="376" spans="1:11" ht="33" customHeight="1">
      <c r="A376" s="21"/>
      <c r="B376" s="21"/>
      <c r="C376" s="15"/>
      <c r="D376" s="21"/>
      <c r="E376" s="11"/>
      <c r="F376" s="26"/>
      <c r="G376" s="41">
        <f>Inventario[[#This Row],[COSTO UNITARIO MAYORISTA ]]*Inventario[[#This Row],[CANTIDAD]]</f>
        <v>0</v>
      </c>
      <c r="H376" s="12">
        <v>0.4</v>
      </c>
      <c r="I376" s="39">
        <f>Inventario[[#This Row],[COSTO UNITARIO MAYORISTA ]]/(1-Inventario[[#This Row],[MARGEN DE UTILIDAD]])</f>
        <v>0</v>
      </c>
      <c r="J376" s="143">
        <f>Inventario[[#This Row],[PRECIO DE VENTA]]-Inventario[[#This Row],[COSTO UNITARIO MAYORISTA ]]</f>
        <v>0</v>
      </c>
      <c r="K376" s="14" t="e">
        <f>Inventario[[#This Row],[PRECIO UTILIDAD]]/Inventario[[#This Row],[PRECIO DE VENTA]]</f>
        <v>#DIV/0!</v>
      </c>
    </row>
    <row r="377" spans="1:11" ht="33" customHeight="1">
      <c r="A377" s="21"/>
      <c r="B377" s="21"/>
      <c r="C377" s="15"/>
      <c r="D377" s="21"/>
      <c r="E377" s="11"/>
      <c r="F377" s="26"/>
      <c r="G377" s="41">
        <f>Inventario[[#This Row],[COSTO UNITARIO MAYORISTA ]]*Inventario[[#This Row],[CANTIDAD]]</f>
        <v>0</v>
      </c>
      <c r="H377" s="12">
        <v>0.4</v>
      </c>
      <c r="I377" s="39">
        <f>Inventario[[#This Row],[COSTO UNITARIO MAYORISTA ]]/(1-Inventario[[#This Row],[MARGEN DE UTILIDAD]])</f>
        <v>0</v>
      </c>
      <c r="J377" s="143">
        <f>Inventario[[#This Row],[PRECIO DE VENTA]]-Inventario[[#This Row],[COSTO UNITARIO MAYORISTA ]]</f>
        <v>0</v>
      </c>
      <c r="K377" s="14" t="e">
        <f>Inventario[[#This Row],[PRECIO UTILIDAD]]/Inventario[[#This Row],[PRECIO DE VENTA]]</f>
        <v>#DIV/0!</v>
      </c>
    </row>
    <row r="378" spans="1:11" ht="33" customHeight="1">
      <c r="A378" s="21"/>
      <c r="B378" s="21"/>
      <c r="C378" s="15"/>
      <c r="D378" s="21"/>
      <c r="E378" s="11"/>
      <c r="F378" s="26"/>
      <c r="G378" s="41">
        <f>Inventario[[#This Row],[COSTO UNITARIO MAYORISTA ]]*Inventario[[#This Row],[CANTIDAD]]</f>
        <v>0</v>
      </c>
      <c r="H378" s="12">
        <v>0.4</v>
      </c>
      <c r="I378" s="39">
        <f>Inventario[[#This Row],[COSTO UNITARIO MAYORISTA ]]/(1-Inventario[[#This Row],[MARGEN DE UTILIDAD]])</f>
        <v>0</v>
      </c>
      <c r="J378" s="143">
        <f>Inventario[[#This Row],[PRECIO DE VENTA]]-Inventario[[#This Row],[COSTO UNITARIO MAYORISTA ]]</f>
        <v>0</v>
      </c>
      <c r="K378" s="14" t="e">
        <f>Inventario[[#This Row],[PRECIO UTILIDAD]]/Inventario[[#This Row],[PRECIO DE VENTA]]</f>
        <v>#DIV/0!</v>
      </c>
    </row>
    <row r="379" spans="1:11" ht="33" customHeight="1">
      <c r="A379" s="21"/>
      <c r="B379" s="21"/>
      <c r="C379" s="15"/>
      <c r="D379" s="21"/>
      <c r="E379" s="11"/>
      <c r="F379" s="26"/>
      <c r="G379" s="41">
        <f>Inventario[[#This Row],[COSTO UNITARIO MAYORISTA ]]*Inventario[[#This Row],[CANTIDAD]]</f>
        <v>0</v>
      </c>
      <c r="H379" s="12">
        <v>0.4</v>
      </c>
      <c r="I379" s="39">
        <f>Inventario[[#This Row],[COSTO UNITARIO MAYORISTA ]]/(1-Inventario[[#This Row],[MARGEN DE UTILIDAD]])</f>
        <v>0</v>
      </c>
      <c r="J379" s="143">
        <f>Inventario[[#This Row],[PRECIO DE VENTA]]-Inventario[[#This Row],[COSTO UNITARIO MAYORISTA ]]</f>
        <v>0</v>
      </c>
      <c r="K379" s="14" t="e">
        <f>Inventario[[#This Row],[PRECIO UTILIDAD]]/Inventario[[#This Row],[PRECIO DE VENTA]]</f>
        <v>#DIV/0!</v>
      </c>
    </row>
    <row r="380" spans="1:11" ht="33" customHeight="1">
      <c r="A380" s="21"/>
      <c r="B380" s="21"/>
      <c r="C380" s="15"/>
      <c r="D380" s="21"/>
      <c r="E380" s="11"/>
      <c r="F380" s="26"/>
      <c r="G380" s="41">
        <f>Inventario[[#This Row],[COSTO UNITARIO MAYORISTA ]]*Inventario[[#This Row],[CANTIDAD]]</f>
        <v>0</v>
      </c>
      <c r="H380" s="12">
        <v>0.4</v>
      </c>
      <c r="I380" s="39">
        <f>Inventario[[#This Row],[COSTO UNITARIO MAYORISTA ]]/(1-Inventario[[#This Row],[MARGEN DE UTILIDAD]])</f>
        <v>0</v>
      </c>
      <c r="J380" s="143">
        <f>Inventario[[#This Row],[PRECIO DE VENTA]]-Inventario[[#This Row],[COSTO UNITARIO MAYORISTA ]]</f>
        <v>0</v>
      </c>
      <c r="K380" s="14" t="e">
        <f>Inventario[[#This Row],[PRECIO UTILIDAD]]/Inventario[[#This Row],[PRECIO DE VENTA]]</f>
        <v>#DIV/0!</v>
      </c>
    </row>
    <row r="381" spans="1:11" ht="33" customHeight="1">
      <c r="A381" s="21"/>
      <c r="B381" s="21"/>
      <c r="C381" s="15"/>
      <c r="D381" s="21"/>
      <c r="E381" s="11"/>
      <c r="F381" s="26"/>
      <c r="G381" s="41">
        <f>Inventario[[#This Row],[COSTO UNITARIO MAYORISTA ]]*Inventario[[#This Row],[CANTIDAD]]</f>
        <v>0</v>
      </c>
      <c r="H381" s="12">
        <v>0.4</v>
      </c>
      <c r="I381" s="39">
        <f>Inventario[[#This Row],[COSTO UNITARIO MAYORISTA ]]/(1-Inventario[[#This Row],[MARGEN DE UTILIDAD]])</f>
        <v>0</v>
      </c>
      <c r="J381" s="143">
        <f>Inventario[[#This Row],[PRECIO DE VENTA]]-Inventario[[#This Row],[COSTO UNITARIO MAYORISTA ]]</f>
        <v>0</v>
      </c>
      <c r="K381" s="14" t="e">
        <f>Inventario[[#This Row],[PRECIO UTILIDAD]]/Inventario[[#This Row],[PRECIO DE VENTA]]</f>
        <v>#DIV/0!</v>
      </c>
    </row>
    <row r="382" spans="1:11" ht="33" customHeight="1">
      <c r="A382" s="21"/>
      <c r="B382" s="21"/>
      <c r="C382" s="15"/>
      <c r="D382" s="21"/>
      <c r="E382" s="11"/>
      <c r="F382" s="26"/>
      <c r="G382" s="41">
        <f>Inventario[[#This Row],[COSTO UNITARIO MAYORISTA ]]*Inventario[[#This Row],[CANTIDAD]]</f>
        <v>0</v>
      </c>
      <c r="H382" s="12">
        <v>0.4</v>
      </c>
      <c r="I382" s="39">
        <f>Inventario[[#This Row],[COSTO UNITARIO MAYORISTA ]]/(1-Inventario[[#This Row],[MARGEN DE UTILIDAD]])</f>
        <v>0</v>
      </c>
      <c r="J382" s="143">
        <f>Inventario[[#This Row],[PRECIO DE VENTA]]-Inventario[[#This Row],[COSTO UNITARIO MAYORISTA ]]</f>
        <v>0</v>
      </c>
      <c r="K382" s="14" t="e">
        <f>Inventario[[#This Row],[PRECIO UTILIDAD]]/Inventario[[#This Row],[PRECIO DE VENTA]]</f>
        <v>#DIV/0!</v>
      </c>
    </row>
    <row r="383" spans="1:11" ht="33" customHeight="1">
      <c r="A383" s="21"/>
      <c r="B383" s="21"/>
      <c r="C383" s="15"/>
      <c r="D383" s="21"/>
      <c r="E383" s="11"/>
      <c r="F383" s="26"/>
      <c r="G383" s="41">
        <f>Inventario[[#This Row],[COSTO UNITARIO MAYORISTA ]]*Inventario[[#This Row],[CANTIDAD]]</f>
        <v>0</v>
      </c>
      <c r="H383" s="12">
        <v>0.4</v>
      </c>
      <c r="I383" s="39">
        <f>Inventario[[#This Row],[COSTO UNITARIO MAYORISTA ]]/(1-Inventario[[#This Row],[MARGEN DE UTILIDAD]])</f>
        <v>0</v>
      </c>
      <c r="J383" s="143">
        <f>Inventario[[#This Row],[PRECIO DE VENTA]]-Inventario[[#This Row],[COSTO UNITARIO MAYORISTA ]]</f>
        <v>0</v>
      </c>
      <c r="K383" s="14" t="e">
        <f>Inventario[[#This Row],[PRECIO UTILIDAD]]/Inventario[[#This Row],[PRECIO DE VENTA]]</f>
        <v>#DIV/0!</v>
      </c>
    </row>
    <row r="384" spans="1:11" ht="33" customHeight="1">
      <c r="A384" s="21"/>
      <c r="B384" s="21"/>
      <c r="C384" s="15"/>
      <c r="D384" s="21"/>
      <c r="E384" s="11"/>
      <c r="F384" s="26"/>
      <c r="G384" s="41">
        <f>Inventario[[#This Row],[COSTO UNITARIO MAYORISTA ]]*Inventario[[#This Row],[CANTIDAD]]</f>
        <v>0</v>
      </c>
      <c r="H384" s="12">
        <v>0.4</v>
      </c>
      <c r="I384" s="39">
        <f>Inventario[[#This Row],[COSTO UNITARIO MAYORISTA ]]/(1-Inventario[[#This Row],[MARGEN DE UTILIDAD]])</f>
        <v>0</v>
      </c>
      <c r="J384" s="143">
        <f>Inventario[[#This Row],[PRECIO DE VENTA]]-Inventario[[#This Row],[COSTO UNITARIO MAYORISTA ]]</f>
        <v>0</v>
      </c>
      <c r="K384" s="14" t="e">
        <f>Inventario[[#This Row],[PRECIO UTILIDAD]]/Inventario[[#This Row],[PRECIO DE VENTA]]</f>
        <v>#DIV/0!</v>
      </c>
    </row>
    <row r="385" spans="1:11" ht="33" customHeight="1">
      <c r="A385" s="21"/>
      <c r="B385" s="21"/>
      <c r="C385" s="15"/>
      <c r="D385" s="21"/>
      <c r="E385" s="11"/>
      <c r="F385" s="26"/>
      <c r="G385" s="41">
        <f>Inventario[[#This Row],[COSTO UNITARIO MAYORISTA ]]*Inventario[[#This Row],[CANTIDAD]]</f>
        <v>0</v>
      </c>
      <c r="H385" s="12">
        <v>0.4</v>
      </c>
      <c r="I385" s="39">
        <f>Inventario[[#This Row],[COSTO UNITARIO MAYORISTA ]]/(1-Inventario[[#This Row],[MARGEN DE UTILIDAD]])</f>
        <v>0</v>
      </c>
      <c r="J385" s="143">
        <f>Inventario[[#This Row],[PRECIO DE VENTA]]-Inventario[[#This Row],[COSTO UNITARIO MAYORISTA ]]</f>
        <v>0</v>
      </c>
      <c r="K385" s="14" t="e">
        <f>Inventario[[#This Row],[PRECIO UTILIDAD]]/Inventario[[#This Row],[PRECIO DE VENTA]]</f>
        <v>#DIV/0!</v>
      </c>
    </row>
    <row r="386" spans="1:11" ht="33" customHeight="1">
      <c r="A386" s="21"/>
      <c r="B386" s="21"/>
      <c r="C386" s="15"/>
      <c r="D386" s="21"/>
      <c r="E386" s="11"/>
      <c r="F386" s="26"/>
      <c r="G386" s="41">
        <f>Inventario[[#This Row],[COSTO UNITARIO MAYORISTA ]]*Inventario[[#This Row],[CANTIDAD]]</f>
        <v>0</v>
      </c>
      <c r="H386" s="12">
        <v>0.4</v>
      </c>
      <c r="I386" s="39">
        <f>Inventario[[#This Row],[COSTO UNITARIO MAYORISTA ]]/(1-Inventario[[#This Row],[MARGEN DE UTILIDAD]])</f>
        <v>0</v>
      </c>
      <c r="J386" s="143">
        <f>Inventario[[#This Row],[PRECIO DE VENTA]]-Inventario[[#This Row],[COSTO UNITARIO MAYORISTA ]]</f>
        <v>0</v>
      </c>
      <c r="K386" s="14" t="e">
        <f>Inventario[[#This Row],[PRECIO UTILIDAD]]/Inventario[[#This Row],[PRECIO DE VENTA]]</f>
        <v>#DIV/0!</v>
      </c>
    </row>
    <row r="387" spans="1:11" ht="33" customHeight="1">
      <c r="A387" s="21"/>
      <c r="B387" s="21"/>
      <c r="C387" s="15"/>
      <c r="D387" s="21"/>
      <c r="E387" s="11"/>
      <c r="F387" s="26"/>
      <c r="G387" s="41">
        <f>Inventario[[#This Row],[COSTO UNITARIO MAYORISTA ]]*Inventario[[#This Row],[CANTIDAD]]</f>
        <v>0</v>
      </c>
      <c r="H387" s="12">
        <v>0.4</v>
      </c>
      <c r="I387" s="39">
        <f>Inventario[[#This Row],[COSTO UNITARIO MAYORISTA ]]/(1-Inventario[[#This Row],[MARGEN DE UTILIDAD]])</f>
        <v>0</v>
      </c>
      <c r="J387" s="143">
        <f>Inventario[[#This Row],[PRECIO DE VENTA]]-Inventario[[#This Row],[COSTO UNITARIO MAYORISTA ]]</f>
        <v>0</v>
      </c>
      <c r="K387" s="14" t="e">
        <f>Inventario[[#This Row],[PRECIO UTILIDAD]]/Inventario[[#This Row],[PRECIO DE VENTA]]</f>
        <v>#DIV/0!</v>
      </c>
    </row>
    <row r="388" spans="1:11" ht="33" customHeight="1">
      <c r="A388" s="21"/>
      <c r="B388" s="21"/>
      <c r="C388" s="15"/>
      <c r="D388" s="21"/>
      <c r="E388" s="11"/>
      <c r="F388" s="26"/>
      <c r="G388" s="41">
        <f>Inventario[[#This Row],[COSTO UNITARIO MAYORISTA ]]*Inventario[[#This Row],[CANTIDAD]]</f>
        <v>0</v>
      </c>
      <c r="H388" s="12">
        <v>0.4</v>
      </c>
      <c r="I388" s="39">
        <f>Inventario[[#This Row],[COSTO UNITARIO MAYORISTA ]]/(1-Inventario[[#This Row],[MARGEN DE UTILIDAD]])</f>
        <v>0</v>
      </c>
      <c r="J388" s="143">
        <f>Inventario[[#This Row],[PRECIO DE VENTA]]-Inventario[[#This Row],[COSTO UNITARIO MAYORISTA ]]</f>
        <v>0</v>
      </c>
      <c r="K388" s="14" t="e">
        <f>Inventario[[#This Row],[PRECIO UTILIDAD]]/Inventario[[#This Row],[PRECIO DE VENTA]]</f>
        <v>#DIV/0!</v>
      </c>
    </row>
    <row r="389" spans="1:11" ht="33" customHeight="1">
      <c r="A389" s="21"/>
      <c r="B389" s="21"/>
      <c r="C389" s="15"/>
      <c r="D389" s="21"/>
      <c r="E389" s="11"/>
      <c r="F389" s="26"/>
      <c r="G389" s="41">
        <f>Inventario[[#This Row],[COSTO UNITARIO MAYORISTA ]]*Inventario[[#This Row],[CANTIDAD]]</f>
        <v>0</v>
      </c>
      <c r="H389" s="12">
        <v>0.4</v>
      </c>
      <c r="I389" s="39">
        <f>Inventario[[#This Row],[COSTO UNITARIO MAYORISTA ]]/(1-Inventario[[#This Row],[MARGEN DE UTILIDAD]])</f>
        <v>0</v>
      </c>
      <c r="J389" s="143">
        <f>Inventario[[#This Row],[PRECIO DE VENTA]]-Inventario[[#This Row],[COSTO UNITARIO MAYORISTA ]]</f>
        <v>0</v>
      </c>
      <c r="K389" s="14" t="e">
        <f>Inventario[[#This Row],[PRECIO UTILIDAD]]/Inventario[[#This Row],[PRECIO DE VENTA]]</f>
        <v>#DIV/0!</v>
      </c>
    </row>
    <row r="390" spans="1:11" ht="33" customHeight="1">
      <c r="A390" s="21"/>
      <c r="B390" s="21"/>
      <c r="C390" s="15"/>
      <c r="D390" s="21"/>
      <c r="E390" s="11"/>
      <c r="F390" s="26"/>
      <c r="G390" s="41">
        <f>Inventario[[#This Row],[COSTO UNITARIO MAYORISTA ]]*Inventario[[#This Row],[CANTIDAD]]</f>
        <v>0</v>
      </c>
      <c r="H390" s="12">
        <v>0.4</v>
      </c>
      <c r="I390" s="39">
        <f>Inventario[[#This Row],[COSTO UNITARIO MAYORISTA ]]/(1-Inventario[[#This Row],[MARGEN DE UTILIDAD]])</f>
        <v>0</v>
      </c>
      <c r="J390" s="143">
        <f>Inventario[[#This Row],[PRECIO DE VENTA]]-Inventario[[#This Row],[COSTO UNITARIO MAYORISTA ]]</f>
        <v>0</v>
      </c>
      <c r="K390" s="14" t="e">
        <f>Inventario[[#This Row],[PRECIO UTILIDAD]]/Inventario[[#This Row],[PRECIO DE VENTA]]</f>
        <v>#DIV/0!</v>
      </c>
    </row>
    <row r="391" spans="1:11" ht="33" customHeight="1">
      <c r="A391" s="21"/>
      <c r="B391" s="21"/>
      <c r="C391" s="15"/>
      <c r="D391" s="21"/>
      <c r="E391" s="11"/>
      <c r="F391" s="26"/>
      <c r="G391" s="41">
        <f>Inventario[[#This Row],[COSTO UNITARIO MAYORISTA ]]*Inventario[[#This Row],[CANTIDAD]]</f>
        <v>0</v>
      </c>
      <c r="H391" s="12">
        <v>0.4</v>
      </c>
      <c r="I391" s="39">
        <f>Inventario[[#This Row],[COSTO UNITARIO MAYORISTA ]]/(1-Inventario[[#This Row],[MARGEN DE UTILIDAD]])</f>
        <v>0</v>
      </c>
      <c r="J391" s="143">
        <f>Inventario[[#This Row],[PRECIO DE VENTA]]-Inventario[[#This Row],[COSTO UNITARIO MAYORISTA ]]</f>
        <v>0</v>
      </c>
      <c r="K391" s="14" t="e">
        <f>Inventario[[#This Row],[PRECIO UTILIDAD]]/Inventario[[#This Row],[PRECIO DE VENTA]]</f>
        <v>#DIV/0!</v>
      </c>
    </row>
    <row r="392" spans="1:11" ht="33" customHeight="1">
      <c r="A392" s="21"/>
      <c r="B392" s="21"/>
      <c r="C392" s="15"/>
      <c r="D392" s="21"/>
      <c r="E392" s="11"/>
      <c r="F392" s="26"/>
      <c r="G392" s="41">
        <f>Inventario[[#This Row],[COSTO UNITARIO MAYORISTA ]]*Inventario[[#This Row],[CANTIDAD]]</f>
        <v>0</v>
      </c>
      <c r="H392" s="12">
        <v>0.4</v>
      </c>
      <c r="I392" s="39">
        <f>Inventario[[#This Row],[COSTO UNITARIO MAYORISTA ]]/(1-Inventario[[#This Row],[MARGEN DE UTILIDAD]])</f>
        <v>0</v>
      </c>
      <c r="J392" s="143">
        <f>Inventario[[#This Row],[PRECIO DE VENTA]]-Inventario[[#This Row],[COSTO UNITARIO MAYORISTA ]]</f>
        <v>0</v>
      </c>
      <c r="K392" s="14" t="e">
        <f>Inventario[[#This Row],[PRECIO UTILIDAD]]/Inventario[[#This Row],[PRECIO DE VENTA]]</f>
        <v>#DIV/0!</v>
      </c>
    </row>
    <row r="393" spans="1:11" ht="33" customHeight="1">
      <c r="A393" s="21"/>
      <c r="B393" s="21"/>
      <c r="C393" s="15"/>
      <c r="D393" s="21"/>
      <c r="E393" s="11"/>
      <c r="F393" s="26"/>
      <c r="G393" s="41">
        <f>Inventario[[#This Row],[COSTO UNITARIO MAYORISTA ]]*Inventario[[#This Row],[CANTIDAD]]</f>
        <v>0</v>
      </c>
      <c r="H393" s="12">
        <v>0.4</v>
      </c>
      <c r="I393" s="39">
        <f>Inventario[[#This Row],[COSTO UNITARIO MAYORISTA ]]/(1-Inventario[[#This Row],[MARGEN DE UTILIDAD]])</f>
        <v>0</v>
      </c>
      <c r="J393" s="143">
        <f>Inventario[[#This Row],[PRECIO DE VENTA]]-Inventario[[#This Row],[COSTO UNITARIO MAYORISTA ]]</f>
        <v>0</v>
      </c>
      <c r="K393" s="14" t="e">
        <f>Inventario[[#This Row],[PRECIO UTILIDAD]]/Inventario[[#This Row],[PRECIO DE VENTA]]</f>
        <v>#DIV/0!</v>
      </c>
    </row>
    <row r="394" spans="1:11" ht="33" customHeight="1">
      <c r="A394" s="21"/>
      <c r="B394" s="21"/>
      <c r="C394" s="15"/>
      <c r="D394" s="21"/>
      <c r="E394" s="11"/>
      <c r="F394" s="26"/>
      <c r="G394" s="41">
        <f>Inventario[[#This Row],[COSTO UNITARIO MAYORISTA ]]*Inventario[[#This Row],[CANTIDAD]]</f>
        <v>0</v>
      </c>
      <c r="H394" s="12">
        <v>0.4</v>
      </c>
      <c r="I394" s="39">
        <f>Inventario[[#This Row],[COSTO UNITARIO MAYORISTA ]]/(1-Inventario[[#This Row],[MARGEN DE UTILIDAD]])</f>
        <v>0</v>
      </c>
      <c r="J394" s="143">
        <f>Inventario[[#This Row],[PRECIO DE VENTA]]-Inventario[[#This Row],[COSTO UNITARIO MAYORISTA ]]</f>
        <v>0</v>
      </c>
      <c r="K394" s="14" t="e">
        <f>Inventario[[#This Row],[PRECIO UTILIDAD]]/Inventario[[#This Row],[PRECIO DE VENTA]]</f>
        <v>#DIV/0!</v>
      </c>
    </row>
    <row r="395" spans="1:11" ht="33" customHeight="1">
      <c r="A395" s="21"/>
      <c r="B395" s="21"/>
      <c r="C395" s="15"/>
      <c r="D395" s="21"/>
      <c r="E395" s="11"/>
      <c r="F395" s="26"/>
      <c r="G395" s="41">
        <f>Inventario[[#This Row],[COSTO UNITARIO MAYORISTA ]]*Inventario[[#This Row],[CANTIDAD]]</f>
        <v>0</v>
      </c>
      <c r="H395" s="12">
        <v>0.4</v>
      </c>
      <c r="I395" s="39">
        <f>Inventario[[#This Row],[COSTO UNITARIO MAYORISTA ]]/(1-Inventario[[#This Row],[MARGEN DE UTILIDAD]])</f>
        <v>0</v>
      </c>
      <c r="J395" s="143">
        <f>Inventario[[#This Row],[PRECIO DE VENTA]]-Inventario[[#This Row],[COSTO UNITARIO MAYORISTA ]]</f>
        <v>0</v>
      </c>
      <c r="K395" s="14" t="e">
        <f>Inventario[[#This Row],[PRECIO UTILIDAD]]/Inventario[[#This Row],[PRECIO DE VENTA]]</f>
        <v>#DIV/0!</v>
      </c>
    </row>
    <row r="396" spans="1:11" ht="33" customHeight="1">
      <c r="A396" s="21"/>
      <c r="B396" s="21"/>
      <c r="C396" s="15"/>
      <c r="D396" s="21"/>
      <c r="E396" s="11"/>
      <c r="F396" s="26"/>
      <c r="G396" s="41">
        <f>Inventario[[#This Row],[COSTO UNITARIO MAYORISTA ]]*Inventario[[#This Row],[CANTIDAD]]</f>
        <v>0</v>
      </c>
      <c r="H396" s="12">
        <v>0.4</v>
      </c>
      <c r="I396" s="39">
        <f>Inventario[[#This Row],[COSTO UNITARIO MAYORISTA ]]/(1-Inventario[[#This Row],[MARGEN DE UTILIDAD]])</f>
        <v>0</v>
      </c>
      <c r="J396" s="143">
        <f>Inventario[[#This Row],[PRECIO DE VENTA]]-Inventario[[#This Row],[COSTO UNITARIO MAYORISTA ]]</f>
        <v>0</v>
      </c>
      <c r="K396" s="14" t="e">
        <f>Inventario[[#This Row],[PRECIO UTILIDAD]]/Inventario[[#This Row],[PRECIO DE VENTA]]</f>
        <v>#DIV/0!</v>
      </c>
    </row>
    <row r="397" spans="1:11" ht="33" customHeight="1">
      <c r="A397" s="21"/>
      <c r="B397" s="21"/>
      <c r="C397" s="15"/>
      <c r="D397" s="21"/>
      <c r="E397" s="11"/>
      <c r="F397" s="26"/>
      <c r="G397" s="41">
        <f>Inventario[[#This Row],[COSTO UNITARIO MAYORISTA ]]*Inventario[[#This Row],[CANTIDAD]]</f>
        <v>0</v>
      </c>
      <c r="H397" s="12">
        <v>0.4</v>
      </c>
      <c r="I397" s="39">
        <f>Inventario[[#This Row],[COSTO UNITARIO MAYORISTA ]]/(1-Inventario[[#This Row],[MARGEN DE UTILIDAD]])</f>
        <v>0</v>
      </c>
      <c r="J397" s="143">
        <f>Inventario[[#This Row],[PRECIO DE VENTA]]-Inventario[[#This Row],[COSTO UNITARIO MAYORISTA ]]</f>
        <v>0</v>
      </c>
      <c r="K397" s="14" t="e">
        <f>Inventario[[#This Row],[PRECIO UTILIDAD]]/Inventario[[#This Row],[PRECIO DE VENTA]]</f>
        <v>#DIV/0!</v>
      </c>
    </row>
    <row r="398" spans="1:11" ht="33" customHeight="1">
      <c r="A398" s="21"/>
      <c r="B398" s="21"/>
      <c r="C398" s="15"/>
      <c r="D398" s="21"/>
      <c r="E398" s="11"/>
      <c r="F398" s="26"/>
      <c r="G398" s="41">
        <f>Inventario[[#This Row],[COSTO UNITARIO MAYORISTA ]]*Inventario[[#This Row],[CANTIDAD]]</f>
        <v>0</v>
      </c>
      <c r="H398" s="12">
        <v>0.4</v>
      </c>
      <c r="I398" s="39">
        <f>Inventario[[#This Row],[COSTO UNITARIO MAYORISTA ]]/(1-Inventario[[#This Row],[MARGEN DE UTILIDAD]])</f>
        <v>0</v>
      </c>
      <c r="J398" s="143">
        <f>Inventario[[#This Row],[PRECIO DE VENTA]]-Inventario[[#This Row],[COSTO UNITARIO MAYORISTA ]]</f>
        <v>0</v>
      </c>
      <c r="K398" s="14" t="e">
        <f>Inventario[[#This Row],[PRECIO UTILIDAD]]/Inventario[[#This Row],[PRECIO DE VENTA]]</f>
        <v>#DIV/0!</v>
      </c>
    </row>
    <row r="399" spans="1:11" ht="33" customHeight="1">
      <c r="A399" s="21"/>
      <c r="B399" s="21"/>
      <c r="C399" s="15"/>
      <c r="D399" s="21"/>
      <c r="E399" s="11"/>
      <c r="F399" s="26"/>
      <c r="G399" s="41">
        <f>Inventario[[#This Row],[COSTO UNITARIO MAYORISTA ]]*Inventario[[#This Row],[CANTIDAD]]</f>
        <v>0</v>
      </c>
      <c r="H399" s="12">
        <v>0.4</v>
      </c>
      <c r="I399" s="39">
        <f>Inventario[[#This Row],[COSTO UNITARIO MAYORISTA ]]/(1-Inventario[[#This Row],[MARGEN DE UTILIDAD]])</f>
        <v>0</v>
      </c>
      <c r="J399" s="143">
        <f>Inventario[[#This Row],[PRECIO DE VENTA]]-Inventario[[#This Row],[COSTO UNITARIO MAYORISTA ]]</f>
        <v>0</v>
      </c>
      <c r="K399" s="14" t="e">
        <f>Inventario[[#This Row],[PRECIO UTILIDAD]]/Inventario[[#This Row],[PRECIO DE VENTA]]</f>
        <v>#DIV/0!</v>
      </c>
    </row>
    <row r="400" spans="1:11" ht="33" customHeight="1">
      <c r="A400" s="21"/>
      <c r="B400" s="21"/>
      <c r="C400" s="15"/>
      <c r="D400" s="21"/>
      <c r="E400" s="11"/>
      <c r="F400" s="26"/>
      <c r="G400" s="41">
        <f>Inventario[[#This Row],[COSTO UNITARIO MAYORISTA ]]*Inventario[[#This Row],[CANTIDAD]]</f>
        <v>0</v>
      </c>
      <c r="H400" s="12">
        <v>0.4</v>
      </c>
      <c r="I400" s="39">
        <f>Inventario[[#This Row],[COSTO UNITARIO MAYORISTA ]]/(1-Inventario[[#This Row],[MARGEN DE UTILIDAD]])</f>
        <v>0</v>
      </c>
      <c r="J400" s="143">
        <f>Inventario[[#This Row],[PRECIO DE VENTA]]-Inventario[[#This Row],[COSTO UNITARIO MAYORISTA ]]</f>
        <v>0</v>
      </c>
      <c r="K400" s="14" t="e">
        <f>Inventario[[#This Row],[PRECIO UTILIDAD]]/Inventario[[#This Row],[PRECIO DE VENTA]]</f>
        <v>#DIV/0!</v>
      </c>
    </row>
    <row r="401" spans="1:11" ht="33" customHeight="1">
      <c r="A401" s="21"/>
      <c r="B401" s="21"/>
      <c r="C401" s="15"/>
      <c r="D401" s="21"/>
      <c r="E401" s="11"/>
      <c r="F401" s="26"/>
      <c r="G401" s="41">
        <f>Inventario[[#This Row],[COSTO UNITARIO MAYORISTA ]]*Inventario[[#This Row],[CANTIDAD]]</f>
        <v>0</v>
      </c>
      <c r="H401" s="12">
        <v>0.4</v>
      </c>
      <c r="I401" s="39">
        <f>Inventario[[#This Row],[COSTO UNITARIO MAYORISTA ]]/(1-Inventario[[#This Row],[MARGEN DE UTILIDAD]])</f>
        <v>0</v>
      </c>
      <c r="J401" s="143">
        <f>Inventario[[#This Row],[PRECIO DE VENTA]]-Inventario[[#This Row],[COSTO UNITARIO MAYORISTA ]]</f>
        <v>0</v>
      </c>
      <c r="K401" s="14" t="e">
        <f>Inventario[[#This Row],[PRECIO UTILIDAD]]/Inventario[[#This Row],[PRECIO DE VENTA]]</f>
        <v>#DIV/0!</v>
      </c>
    </row>
    <row r="402" spans="1:11" ht="33" customHeight="1">
      <c r="A402" s="21"/>
      <c r="B402" s="21"/>
      <c r="C402" s="15"/>
      <c r="D402" s="21"/>
      <c r="E402" s="11"/>
      <c r="F402" s="26"/>
      <c r="G402" s="41">
        <f>Inventario[[#This Row],[COSTO UNITARIO MAYORISTA ]]*Inventario[[#This Row],[CANTIDAD]]</f>
        <v>0</v>
      </c>
      <c r="H402" s="12">
        <v>0.4</v>
      </c>
      <c r="I402" s="39">
        <f>Inventario[[#This Row],[COSTO UNITARIO MAYORISTA ]]/(1-Inventario[[#This Row],[MARGEN DE UTILIDAD]])</f>
        <v>0</v>
      </c>
      <c r="J402" s="143">
        <f>Inventario[[#This Row],[PRECIO DE VENTA]]-Inventario[[#This Row],[COSTO UNITARIO MAYORISTA ]]</f>
        <v>0</v>
      </c>
      <c r="K402" s="14" t="e">
        <f>Inventario[[#This Row],[PRECIO UTILIDAD]]/Inventario[[#This Row],[PRECIO DE VENTA]]</f>
        <v>#DIV/0!</v>
      </c>
    </row>
    <row r="403" spans="1:11" ht="33" customHeight="1">
      <c r="A403" s="21"/>
      <c r="B403" s="21"/>
      <c r="C403" s="15"/>
      <c r="D403" s="21"/>
      <c r="E403" s="11"/>
      <c r="F403" s="26"/>
      <c r="G403" s="41">
        <f>Inventario[[#This Row],[COSTO UNITARIO MAYORISTA ]]*Inventario[[#This Row],[CANTIDAD]]</f>
        <v>0</v>
      </c>
      <c r="H403" s="12">
        <v>0.4</v>
      </c>
      <c r="I403" s="39">
        <f>Inventario[[#This Row],[COSTO UNITARIO MAYORISTA ]]/(1-Inventario[[#This Row],[MARGEN DE UTILIDAD]])</f>
        <v>0</v>
      </c>
      <c r="J403" s="143">
        <f>Inventario[[#This Row],[PRECIO DE VENTA]]-Inventario[[#This Row],[COSTO UNITARIO MAYORISTA ]]</f>
        <v>0</v>
      </c>
      <c r="K403" s="14" t="e">
        <f>Inventario[[#This Row],[PRECIO UTILIDAD]]/Inventario[[#This Row],[PRECIO DE VENTA]]</f>
        <v>#DIV/0!</v>
      </c>
    </row>
    <row r="404" spans="1:11" ht="33" customHeight="1">
      <c r="A404" s="21"/>
      <c r="B404" s="21"/>
      <c r="C404" s="15"/>
      <c r="D404" s="21"/>
      <c r="E404" s="11"/>
      <c r="F404" s="26"/>
      <c r="G404" s="41">
        <f>Inventario[[#This Row],[COSTO UNITARIO MAYORISTA ]]*Inventario[[#This Row],[CANTIDAD]]</f>
        <v>0</v>
      </c>
      <c r="H404" s="12">
        <v>0.4</v>
      </c>
      <c r="I404" s="39">
        <f>Inventario[[#This Row],[COSTO UNITARIO MAYORISTA ]]/(1-Inventario[[#This Row],[MARGEN DE UTILIDAD]])</f>
        <v>0</v>
      </c>
      <c r="J404" s="143">
        <f>Inventario[[#This Row],[PRECIO DE VENTA]]-Inventario[[#This Row],[COSTO UNITARIO MAYORISTA ]]</f>
        <v>0</v>
      </c>
      <c r="K404" s="14" t="e">
        <f>Inventario[[#This Row],[PRECIO UTILIDAD]]/Inventario[[#This Row],[PRECIO DE VENTA]]</f>
        <v>#DIV/0!</v>
      </c>
    </row>
    <row r="405" spans="1:11" ht="33" customHeight="1">
      <c r="A405" s="21"/>
      <c r="B405" s="21"/>
      <c r="C405" s="15"/>
      <c r="D405" s="21"/>
      <c r="E405" s="11"/>
      <c r="F405" s="26"/>
      <c r="G405" s="41">
        <f>Inventario[[#This Row],[COSTO UNITARIO MAYORISTA ]]*Inventario[[#This Row],[CANTIDAD]]</f>
        <v>0</v>
      </c>
      <c r="H405" s="12">
        <v>0.4</v>
      </c>
      <c r="I405" s="39">
        <f>Inventario[[#This Row],[COSTO UNITARIO MAYORISTA ]]/(1-Inventario[[#This Row],[MARGEN DE UTILIDAD]])</f>
        <v>0</v>
      </c>
      <c r="J405" s="143">
        <f>Inventario[[#This Row],[PRECIO DE VENTA]]-Inventario[[#This Row],[COSTO UNITARIO MAYORISTA ]]</f>
        <v>0</v>
      </c>
      <c r="K405" s="14" t="e">
        <f>Inventario[[#This Row],[PRECIO UTILIDAD]]/Inventario[[#This Row],[PRECIO DE VENTA]]</f>
        <v>#DIV/0!</v>
      </c>
    </row>
    <row r="406" spans="1:11" ht="33" customHeight="1">
      <c r="A406" s="21"/>
      <c r="B406" s="21"/>
      <c r="C406" s="15"/>
      <c r="D406" s="21"/>
      <c r="E406" s="11"/>
      <c r="F406" s="26"/>
      <c r="G406" s="41">
        <f>Inventario[[#This Row],[COSTO UNITARIO MAYORISTA ]]*Inventario[[#This Row],[CANTIDAD]]</f>
        <v>0</v>
      </c>
      <c r="H406" s="12">
        <v>0.4</v>
      </c>
      <c r="I406" s="39">
        <f>Inventario[[#This Row],[COSTO UNITARIO MAYORISTA ]]/(1-Inventario[[#This Row],[MARGEN DE UTILIDAD]])</f>
        <v>0</v>
      </c>
      <c r="J406" s="143">
        <f>Inventario[[#This Row],[PRECIO DE VENTA]]-Inventario[[#This Row],[COSTO UNITARIO MAYORISTA ]]</f>
        <v>0</v>
      </c>
      <c r="K406" s="14" t="e">
        <f>Inventario[[#This Row],[PRECIO UTILIDAD]]/Inventario[[#This Row],[PRECIO DE VENTA]]</f>
        <v>#DIV/0!</v>
      </c>
    </row>
    <row r="407" spans="1:11" ht="33" customHeight="1">
      <c r="A407" s="21"/>
      <c r="B407" s="21"/>
      <c r="C407" s="15"/>
      <c r="D407" s="21"/>
      <c r="E407" s="11"/>
      <c r="F407" s="26"/>
      <c r="G407" s="41">
        <f>Inventario[[#This Row],[COSTO UNITARIO MAYORISTA ]]*Inventario[[#This Row],[CANTIDAD]]</f>
        <v>0</v>
      </c>
      <c r="H407" s="12">
        <v>0.4</v>
      </c>
      <c r="I407" s="39">
        <f>Inventario[[#This Row],[COSTO UNITARIO MAYORISTA ]]/(1-Inventario[[#This Row],[MARGEN DE UTILIDAD]])</f>
        <v>0</v>
      </c>
      <c r="J407" s="143">
        <f>Inventario[[#This Row],[PRECIO DE VENTA]]-Inventario[[#This Row],[COSTO UNITARIO MAYORISTA ]]</f>
        <v>0</v>
      </c>
      <c r="K407" s="14" t="e">
        <f>Inventario[[#This Row],[PRECIO UTILIDAD]]/Inventario[[#This Row],[PRECIO DE VENTA]]</f>
        <v>#DIV/0!</v>
      </c>
    </row>
    <row r="408" spans="1:11" ht="33" customHeight="1">
      <c r="A408" s="21"/>
      <c r="B408" s="21"/>
      <c r="C408" s="15"/>
      <c r="D408" s="21"/>
      <c r="E408" s="11"/>
      <c r="F408" s="26"/>
      <c r="G408" s="41">
        <f>Inventario[[#This Row],[COSTO UNITARIO MAYORISTA ]]*Inventario[[#This Row],[CANTIDAD]]</f>
        <v>0</v>
      </c>
      <c r="H408" s="12">
        <v>0.4</v>
      </c>
      <c r="I408" s="39">
        <f>Inventario[[#This Row],[COSTO UNITARIO MAYORISTA ]]/(1-Inventario[[#This Row],[MARGEN DE UTILIDAD]])</f>
        <v>0</v>
      </c>
      <c r="J408" s="143">
        <f>Inventario[[#This Row],[PRECIO DE VENTA]]-Inventario[[#This Row],[COSTO UNITARIO MAYORISTA ]]</f>
        <v>0</v>
      </c>
      <c r="K408" s="14" t="e">
        <f>Inventario[[#This Row],[PRECIO UTILIDAD]]/Inventario[[#This Row],[PRECIO DE VENTA]]</f>
        <v>#DIV/0!</v>
      </c>
    </row>
    <row r="409" spans="1:11" ht="33" customHeight="1">
      <c r="A409" s="21"/>
      <c r="B409" s="21"/>
      <c r="C409" s="15"/>
      <c r="D409" s="21"/>
      <c r="E409" s="11"/>
      <c r="F409" s="26"/>
      <c r="G409" s="41">
        <f>Inventario[[#This Row],[COSTO UNITARIO MAYORISTA ]]*Inventario[[#This Row],[CANTIDAD]]</f>
        <v>0</v>
      </c>
      <c r="H409" s="12">
        <v>0.4</v>
      </c>
      <c r="I409" s="39">
        <f>Inventario[[#This Row],[COSTO UNITARIO MAYORISTA ]]/(1-Inventario[[#This Row],[MARGEN DE UTILIDAD]])</f>
        <v>0</v>
      </c>
      <c r="J409" s="143">
        <f>Inventario[[#This Row],[PRECIO DE VENTA]]-Inventario[[#This Row],[COSTO UNITARIO MAYORISTA ]]</f>
        <v>0</v>
      </c>
      <c r="K409" s="14" t="e">
        <f>Inventario[[#This Row],[PRECIO UTILIDAD]]/Inventario[[#This Row],[PRECIO DE VENTA]]</f>
        <v>#DIV/0!</v>
      </c>
    </row>
    <row r="410" spans="1:11" ht="33" customHeight="1">
      <c r="A410" s="21"/>
      <c r="B410" s="21"/>
      <c r="C410" s="15"/>
      <c r="D410" s="21"/>
      <c r="E410" s="11"/>
      <c r="F410" s="26"/>
      <c r="G410" s="41">
        <f>Inventario[[#This Row],[COSTO UNITARIO MAYORISTA ]]*Inventario[[#This Row],[CANTIDAD]]</f>
        <v>0</v>
      </c>
      <c r="H410" s="12">
        <v>0.4</v>
      </c>
      <c r="I410" s="39">
        <f>Inventario[[#This Row],[COSTO UNITARIO MAYORISTA ]]/(1-Inventario[[#This Row],[MARGEN DE UTILIDAD]])</f>
        <v>0</v>
      </c>
      <c r="J410" s="143">
        <f>Inventario[[#This Row],[PRECIO DE VENTA]]-Inventario[[#This Row],[COSTO UNITARIO MAYORISTA ]]</f>
        <v>0</v>
      </c>
      <c r="K410" s="14" t="e">
        <f>Inventario[[#This Row],[PRECIO UTILIDAD]]/Inventario[[#This Row],[PRECIO DE VENTA]]</f>
        <v>#DIV/0!</v>
      </c>
    </row>
    <row r="411" spans="1:11" ht="33" customHeight="1">
      <c r="A411" s="21"/>
      <c r="B411" s="21"/>
      <c r="C411" s="15"/>
      <c r="D411" s="21"/>
      <c r="E411" s="11"/>
      <c r="F411" s="26"/>
      <c r="G411" s="41">
        <f>Inventario[[#This Row],[COSTO UNITARIO MAYORISTA ]]*Inventario[[#This Row],[CANTIDAD]]</f>
        <v>0</v>
      </c>
      <c r="H411" s="12">
        <v>0.4</v>
      </c>
      <c r="I411" s="39">
        <f>Inventario[[#This Row],[COSTO UNITARIO MAYORISTA ]]/(1-Inventario[[#This Row],[MARGEN DE UTILIDAD]])</f>
        <v>0</v>
      </c>
      <c r="J411" s="143">
        <f>Inventario[[#This Row],[PRECIO DE VENTA]]-Inventario[[#This Row],[COSTO UNITARIO MAYORISTA ]]</f>
        <v>0</v>
      </c>
      <c r="K411" s="14" t="e">
        <f>Inventario[[#This Row],[PRECIO UTILIDAD]]/Inventario[[#This Row],[PRECIO DE VENTA]]</f>
        <v>#DIV/0!</v>
      </c>
    </row>
    <row r="412" spans="1:11" ht="33" customHeight="1">
      <c r="A412" s="21"/>
      <c r="B412" s="21"/>
      <c r="C412" s="15"/>
      <c r="D412" s="21"/>
      <c r="E412" s="11"/>
      <c r="F412" s="26"/>
      <c r="G412" s="41">
        <f>Inventario[[#This Row],[COSTO UNITARIO MAYORISTA ]]*Inventario[[#This Row],[CANTIDAD]]</f>
        <v>0</v>
      </c>
      <c r="H412" s="12">
        <v>0.4</v>
      </c>
      <c r="I412" s="39">
        <f>Inventario[[#This Row],[COSTO UNITARIO MAYORISTA ]]/(1-Inventario[[#This Row],[MARGEN DE UTILIDAD]])</f>
        <v>0</v>
      </c>
      <c r="J412" s="143">
        <f>Inventario[[#This Row],[PRECIO DE VENTA]]-Inventario[[#This Row],[COSTO UNITARIO MAYORISTA ]]</f>
        <v>0</v>
      </c>
      <c r="K412" s="14" t="e">
        <f>Inventario[[#This Row],[PRECIO UTILIDAD]]/Inventario[[#This Row],[PRECIO DE VENTA]]</f>
        <v>#DIV/0!</v>
      </c>
    </row>
    <row r="413" spans="1:11" ht="33" customHeight="1">
      <c r="A413" s="21"/>
      <c r="B413" s="21"/>
      <c r="C413" s="15"/>
      <c r="D413" s="21"/>
      <c r="E413" s="11"/>
      <c r="F413" s="26"/>
      <c r="G413" s="41">
        <f>Inventario[[#This Row],[COSTO UNITARIO MAYORISTA ]]*Inventario[[#This Row],[CANTIDAD]]</f>
        <v>0</v>
      </c>
      <c r="H413" s="12">
        <v>0.4</v>
      </c>
      <c r="I413" s="39">
        <f>Inventario[[#This Row],[COSTO UNITARIO MAYORISTA ]]/(1-Inventario[[#This Row],[MARGEN DE UTILIDAD]])</f>
        <v>0</v>
      </c>
      <c r="J413" s="143">
        <f>Inventario[[#This Row],[PRECIO DE VENTA]]-Inventario[[#This Row],[COSTO UNITARIO MAYORISTA ]]</f>
        <v>0</v>
      </c>
      <c r="K413" s="14" t="e">
        <f>Inventario[[#This Row],[PRECIO UTILIDAD]]/Inventario[[#This Row],[PRECIO DE VENTA]]</f>
        <v>#DIV/0!</v>
      </c>
    </row>
    <row r="414" spans="1:11" ht="33" customHeight="1">
      <c r="A414" s="21"/>
      <c r="B414" s="21"/>
      <c r="C414" s="15"/>
      <c r="D414" s="21"/>
      <c r="E414" s="11"/>
      <c r="F414" s="26"/>
      <c r="G414" s="41">
        <f>Inventario[[#This Row],[COSTO UNITARIO MAYORISTA ]]*Inventario[[#This Row],[CANTIDAD]]</f>
        <v>0</v>
      </c>
      <c r="H414" s="12">
        <v>0.4</v>
      </c>
      <c r="I414" s="39">
        <f>Inventario[[#This Row],[COSTO UNITARIO MAYORISTA ]]/(1-Inventario[[#This Row],[MARGEN DE UTILIDAD]])</f>
        <v>0</v>
      </c>
      <c r="J414" s="143">
        <f>Inventario[[#This Row],[PRECIO DE VENTA]]-Inventario[[#This Row],[COSTO UNITARIO MAYORISTA ]]</f>
        <v>0</v>
      </c>
      <c r="K414" s="14" t="e">
        <f>Inventario[[#This Row],[PRECIO UTILIDAD]]/Inventario[[#This Row],[PRECIO DE VENTA]]</f>
        <v>#DIV/0!</v>
      </c>
    </row>
    <row r="415" spans="1:11" ht="33" customHeight="1">
      <c r="A415" s="21"/>
      <c r="B415" s="21"/>
      <c r="C415" s="15"/>
      <c r="D415" s="21"/>
      <c r="E415" s="11"/>
      <c r="F415" s="26"/>
      <c r="G415" s="41">
        <f>Inventario[[#This Row],[COSTO UNITARIO MAYORISTA ]]*Inventario[[#This Row],[CANTIDAD]]</f>
        <v>0</v>
      </c>
      <c r="H415" s="12">
        <v>0.4</v>
      </c>
      <c r="I415" s="39">
        <f>Inventario[[#This Row],[COSTO UNITARIO MAYORISTA ]]/(1-Inventario[[#This Row],[MARGEN DE UTILIDAD]])</f>
        <v>0</v>
      </c>
      <c r="J415" s="143">
        <f>Inventario[[#This Row],[PRECIO DE VENTA]]-Inventario[[#This Row],[COSTO UNITARIO MAYORISTA ]]</f>
        <v>0</v>
      </c>
      <c r="K415" s="14" t="e">
        <f>Inventario[[#This Row],[PRECIO UTILIDAD]]/Inventario[[#This Row],[PRECIO DE VENTA]]</f>
        <v>#DIV/0!</v>
      </c>
    </row>
    <row r="416" spans="1:11" ht="33" customHeight="1">
      <c r="A416" s="21"/>
      <c r="B416" s="21"/>
      <c r="C416" s="15"/>
      <c r="D416" s="21"/>
      <c r="E416" s="11"/>
      <c r="F416" s="26"/>
      <c r="G416" s="41">
        <f>Inventario[[#This Row],[COSTO UNITARIO MAYORISTA ]]*Inventario[[#This Row],[CANTIDAD]]</f>
        <v>0</v>
      </c>
      <c r="H416" s="12">
        <v>0.4</v>
      </c>
      <c r="I416" s="39">
        <f>Inventario[[#This Row],[COSTO UNITARIO MAYORISTA ]]/(1-Inventario[[#This Row],[MARGEN DE UTILIDAD]])</f>
        <v>0</v>
      </c>
      <c r="J416" s="143">
        <f>Inventario[[#This Row],[PRECIO DE VENTA]]-Inventario[[#This Row],[COSTO UNITARIO MAYORISTA ]]</f>
        <v>0</v>
      </c>
      <c r="K416" s="14" t="e">
        <f>Inventario[[#This Row],[PRECIO UTILIDAD]]/Inventario[[#This Row],[PRECIO DE VENTA]]</f>
        <v>#DIV/0!</v>
      </c>
    </row>
    <row r="417" spans="1:11" ht="33" customHeight="1">
      <c r="A417" s="21"/>
      <c r="B417" s="21"/>
      <c r="C417" s="15"/>
      <c r="D417" s="21"/>
      <c r="E417" s="11"/>
      <c r="F417" s="26"/>
      <c r="G417" s="41">
        <f>Inventario[[#This Row],[COSTO UNITARIO MAYORISTA ]]*Inventario[[#This Row],[CANTIDAD]]</f>
        <v>0</v>
      </c>
      <c r="H417" s="12">
        <v>0.4</v>
      </c>
      <c r="I417" s="39">
        <f>Inventario[[#This Row],[COSTO UNITARIO MAYORISTA ]]/(1-Inventario[[#This Row],[MARGEN DE UTILIDAD]])</f>
        <v>0</v>
      </c>
      <c r="J417" s="143">
        <f>Inventario[[#This Row],[PRECIO DE VENTA]]-Inventario[[#This Row],[COSTO UNITARIO MAYORISTA ]]</f>
        <v>0</v>
      </c>
      <c r="K417" s="14" t="e">
        <f>Inventario[[#This Row],[PRECIO UTILIDAD]]/Inventario[[#This Row],[PRECIO DE VENTA]]</f>
        <v>#DIV/0!</v>
      </c>
    </row>
    <row r="418" spans="1:11" ht="33" customHeight="1">
      <c r="A418" s="21"/>
      <c r="B418" s="21"/>
      <c r="C418" s="15"/>
      <c r="D418" s="21"/>
      <c r="E418" s="11"/>
      <c r="F418" s="26"/>
      <c r="G418" s="41">
        <f>Inventario[[#This Row],[COSTO UNITARIO MAYORISTA ]]*Inventario[[#This Row],[CANTIDAD]]</f>
        <v>0</v>
      </c>
      <c r="H418" s="12">
        <v>0.4</v>
      </c>
      <c r="I418" s="39">
        <f>Inventario[[#This Row],[COSTO UNITARIO MAYORISTA ]]/(1-Inventario[[#This Row],[MARGEN DE UTILIDAD]])</f>
        <v>0</v>
      </c>
      <c r="J418" s="143">
        <f>Inventario[[#This Row],[PRECIO DE VENTA]]-Inventario[[#This Row],[COSTO UNITARIO MAYORISTA ]]</f>
        <v>0</v>
      </c>
      <c r="K418" s="14" t="e">
        <f>Inventario[[#This Row],[PRECIO UTILIDAD]]/Inventario[[#This Row],[PRECIO DE VENTA]]</f>
        <v>#DIV/0!</v>
      </c>
    </row>
    <row r="419" spans="1:11" ht="33" customHeight="1">
      <c r="A419" s="21"/>
      <c r="B419" s="21"/>
      <c r="C419" s="15"/>
      <c r="D419" s="21"/>
      <c r="E419" s="11"/>
      <c r="F419" s="26"/>
      <c r="G419" s="41">
        <f>Inventario[[#This Row],[COSTO UNITARIO MAYORISTA ]]*Inventario[[#This Row],[CANTIDAD]]</f>
        <v>0</v>
      </c>
      <c r="H419" s="12">
        <v>0.4</v>
      </c>
      <c r="I419" s="39">
        <f>Inventario[[#This Row],[COSTO UNITARIO MAYORISTA ]]/(1-Inventario[[#This Row],[MARGEN DE UTILIDAD]])</f>
        <v>0</v>
      </c>
      <c r="J419" s="143">
        <f>Inventario[[#This Row],[PRECIO DE VENTA]]-Inventario[[#This Row],[COSTO UNITARIO MAYORISTA ]]</f>
        <v>0</v>
      </c>
      <c r="K419" s="14" t="e">
        <f>Inventario[[#This Row],[PRECIO UTILIDAD]]/Inventario[[#This Row],[PRECIO DE VENTA]]</f>
        <v>#DIV/0!</v>
      </c>
    </row>
    <row r="420" spans="1:11" ht="33" customHeight="1">
      <c r="A420" s="21"/>
      <c r="B420" s="21"/>
      <c r="C420" s="15"/>
      <c r="D420" s="21"/>
      <c r="E420" s="11"/>
      <c r="F420" s="26"/>
      <c r="G420" s="41">
        <f>Inventario[[#This Row],[COSTO UNITARIO MAYORISTA ]]*Inventario[[#This Row],[CANTIDAD]]</f>
        <v>0</v>
      </c>
      <c r="H420" s="12">
        <v>0.4</v>
      </c>
      <c r="I420" s="39">
        <f>Inventario[[#This Row],[COSTO UNITARIO MAYORISTA ]]/(1-Inventario[[#This Row],[MARGEN DE UTILIDAD]])</f>
        <v>0</v>
      </c>
      <c r="J420" s="143">
        <f>Inventario[[#This Row],[PRECIO DE VENTA]]-Inventario[[#This Row],[COSTO UNITARIO MAYORISTA ]]</f>
        <v>0</v>
      </c>
      <c r="K420" s="14" t="e">
        <f>Inventario[[#This Row],[PRECIO UTILIDAD]]/Inventario[[#This Row],[PRECIO DE VENTA]]</f>
        <v>#DIV/0!</v>
      </c>
    </row>
    <row r="421" spans="1:11" ht="33" customHeight="1">
      <c r="A421" s="21"/>
      <c r="B421" s="21"/>
      <c r="C421" s="15"/>
      <c r="D421" s="21"/>
      <c r="E421" s="11"/>
      <c r="F421" s="26"/>
      <c r="G421" s="41">
        <f>Inventario[[#This Row],[COSTO UNITARIO MAYORISTA ]]*Inventario[[#This Row],[CANTIDAD]]</f>
        <v>0</v>
      </c>
      <c r="H421" s="12">
        <v>0.4</v>
      </c>
      <c r="I421" s="39">
        <f>Inventario[[#This Row],[COSTO UNITARIO MAYORISTA ]]/(1-Inventario[[#This Row],[MARGEN DE UTILIDAD]])</f>
        <v>0</v>
      </c>
      <c r="J421" s="143">
        <f>Inventario[[#This Row],[PRECIO DE VENTA]]-Inventario[[#This Row],[COSTO UNITARIO MAYORISTA ]]</f>
        <v>0</v>
      </c>
      <c r="K421" s="14" t="e">
        <f>Inventario[[#This Row],[PRECIO UTILIDAD]]/Inventario[[#This Row],[PRECIO DE VENTA]]</f>
        <v>#DIV/0!</v>
      </c>
    </row>
    <row r="422" spans="1:11" ht="33" customHeight="1">
      <c r="A422" s="21"/>
      <c r="B422" s="21"/>
      <c r="C422" s="15"/>
      <c r="D422" s="21"/>
      <c r="E422" s="11"/>
      <c r="F422" s="26"/>
      <c r="G422" s="41">
        <f>Inventario[[#This Row],[COSTO UNITARIO MAYORISTA ]]*Inventario[[#This Row],[CANTIDAD]]</f>
        <v>0</v>
      </c>
      <c r="H422" s="12">
        <v>0.4</v>
      </c>
      <c r="I422" s="39">
        <f>Inventario[[#This Row],[COSTO UNITARIO MAYORISTA ]]/(1-Inventario[[#This Row],[MARGEN DE UTILIDAD]])</f>
        <v>0</v>
      </c>
      <c r="J422" s="143">
        <f>Inventario[[#This Row],[PRECIO DE VENTA]]-Inventario[[#This Row],[COSTO UNITARIO MAYORISTA ]]</f>
        <v>0</v>
      </c>
      <c r="K422" s="14" t="e">
        <f>Inventario[[#This Row],[PRECIO UTILIDAD]]/Inventario[[#This Row],[PRECIO DE VENTA]]</f>
        <v>#DIV/0!</v>
      </c>
    </row>
    <row r="423" spans="1:11" ht="33" customHeight="1">
      <c r="A423" s="21"/>
      <c r="B423" s="21"/>
      <c r="C423" s="15"/>
      <c r="D423" s="21"/>
      <c r="E423" s="11"/>
      <c r="F423" s="26"/>
      <c r="G423" s="41">
        <f>Inventario[[#This Row],[COSTO UNITARIO MAYORISTA ]]*Inventario[[#This Row],[CANTIDAD]]</f>
        <v>0</v>
      </c>
      <c r="H423" s="12">
        <v>0.4</v>
      </c>
      <c r="I423" s="39">
        <f>Inventario[[#This Row],[COSTO UNITARIO MAYORISTA ]]/(1-Inventario[[#This Row],[MARGEN DE UTILIDAD]])</f>
        <v>0</v>
      </c>
      <c r="J423" s="143">
        <f>Inventario[[#This Row],[PRECIO DE VENTA]]-Inventario[[#This Row],[COSTO UNITARIO MAYORISTA ]]</f>
        <v>0</v>
      </c>
      <c r="K423" s="14" t="e">
        <f>Inventario[[#This Row],[PRECIO UTILIDAD]]/Inventario[[#This Row],[PRECIO DE VENTA]]</f>
        <v>#DIV/0!</v>
      </c>
    </row>
    <row r="424" spans="1:11" ht="33" customHeight="1">
      <c r="A424" s="21"/>
      <c r="B424" s="21"/>
      <c r="C424" s="15"/>
      <c r="D424" s="21"/>
      <c r="E424" s="11"/>
      <c r="F424" s="26"/>
      <c r="G424" s="41">
        <f>Inventario[[#This Row],[COSTO UNITARIO MAYORISTA ]]*Inventario[[#This Row],[CANTIDAD]]</f>
        <v>0</v>
      </c>
      <c r="H424" s="12">
        <v>0.4</v>
      </c>
      <c r="I424" s="39">
        <f>Inventario[[#This Row],[COSTO UNITARIO MAYORISTA ]]/(1-Inventario[[#This Row],[MARGEN DE UTILIDAD]])</f>
        <v>0</v>
      </c>
      <c r="J424" s="143">
        <f>Inventario[[#This Row],[PRECIO DE VENTA]]-Inventario[[#This Row],[COSTO UNITARIO MAYORISTA ]]</f>
        <v>0</v>
      </c>
      <c r="K424" s="14" t="e">
        <f>Inventario[[#This Row],[PRECIO UTILIDAD]]/Inventario[[#This Row],[PRECIO DE VENTA]]</f>
        <v>#DIV/0!</v>
      </c>
    </row>
    <row r="425" spans="1:11" ht="33" customHeight="1">
      <c r="A425" s="21"/>
      <c r="B425" s="21"/>
      <c r="C425" s="15"/>
      <c r="D425" s="21"/>
      <c r="E425" s="11"/>
      <c r="F425" s="26"/>
      <c r="G425" s="41">
        <f>Inventario[[#This Row],[COSTO UNITARIO MAYORISTA ]]*Inventario[[#This Row],[CANTIDAD]]</f>
        <v>0</v>
      </c>
      <c r="H425" s="12">
        <v>0.4</v>
      </c>
      <c r="I425" s="39">
        <f>Inventario[[#This Row],[COSTO UNITARIO MAYORISTA ]]/(1-Inventario[[#This Row],[MARGEN DE UTILIDAD]])</f>
        <v>0</v>
      </c>
      <c r="J425" s="143">
        <f>Inventario[[#This Row],[PRECIO DE VENTA]]-Inventario[[#This Row],[COSTO UNITARIO MAYORISTA ]]</f>
        <v>0</v>
      </c>
      <c r="K425" s="14" t="e">
        <f>Inventario[[#This Row],[PRECIO UTILIDAD]]/Inventario[[#This Row],[PRECIO DE VENTA]]</f>
        <v>#DIV/0!</v>
      </c>
    </row>
    <row r="426" spans="1:11" ht="33" customHeight="1">
      <c r="A426" s="21"/>
      <c r="B426" s="21"/>
      <c r="C426" s="15"/>
      <c r="D426" s="21"/>
      <c r="E426" s="11"/>
      <c r="F426" s="26"/>
      <c r="G426" s="41">
        <f>Inventario[[#This Row],[COSTO UNITARIO MAYORISTA ]]*Inventario[[#This Row],[CANTIDAD]]</f>
        <v>0</v>
      </c>
      <c r="H426" s="12">
        <v>0.4</v>
      </c>
      <c r="I426" s="39">
        <f>Inventario[[#This Row],[COSTO UNITARIO MAYORISTA ]]/(1-Inventario[[#This Row],[MARGEN DE UTILIDAD]])</f>
        <v>0</v>
      </c>
      <c r="J426" s="143">
        <f>Inventario[[#This Row],[PRECIO DE VENTA]]-Inventario[[#This Row],[COSTO UNITARIO MAYORISTA ]]</f>
        <v>0</v>
      </c>
      <c r="K426" s="14" t="e">
        <f>Inventario[[#This Row],[PRECIO UTILIDAD]]/Inventario[[#This Row],[PRECIO DE VENTA]]</f>
        <v>#DIV/0!</v>
      </c>
    </row>
    <row r="427" spans="1:11" ht="33" customHeight="1">
      <c r="A427" s="21"/>
      <c r="B427" s="21"/>
      <c r="C427" s="15"/>
      <c r="D427" s="21"/>
      <c r="E427" s="11"/>
      <c r="F427" s="26"/>
      <c r="G427" s="41">
        <f>Inventario[[#This Row],[COSTO UNITARIO MAYORISTA ]]*Inventario[[#This Row],[CANTIDAD]]</f>
        <v>0</v>
      </c>
      <c r="H427" s="12">
        <v>0.4</v>
      </c>
      <c r="I427" s="39">
        <f>Inventario[[#This Row],[COSTO UNITARIO MAYORISTA ]]/(1-Inventario[[#This Row],[MARGEN DE UTILIDAD]])</f>
        <v>0</v>
      </c>
      <c r="J427" s="143">
        <f>Inventario[[#This Row],[PRECIO DE VENTA]]-Inventario[[#This Row],[COSTO UNITARIO MAYORISTA ]]</f>
        <v>0</v>
      </c>
      <c r="K427" s="14" t="e">
        <f>Inventario[[#This Row],[PRECIO UTILIDAD]]/Inventario[[#This Row],[PRECIO DE VENTA]]</f>
        <v>#DIV/0!</v>
      </c>
    </row>
    <row r="428" spans="1:11" ht="33" customHeight="1">
      <c r="A428" s="21"/>
      <c r="B428" s="21"/>
      <c r="C428" s="15"/>
      <c r="D428" s="21"/>
      <c r="E428" s="11"/>
      <c r="F428" s="26"/>
      <c r="G428" s="41">
        <f>Inventario[[#This Row],[COSTO UNITARIO MAYORISTA ]]*Inventario[[#This Row],[CANTIDAD]]</f>
        <v>0</v>
      </c>
      <c r="H428" s="12">
        <v>0.4</v>
      </c>
      <c r="I428" s="39">
        <f>Inventario[[#This Row],[COSTO UNITARIO MAYORISTA ]]/(1-Inventario[[#This Row],[MARGEN DE UTILIDAD]])</f>
        <v>0</v>
      </c>
      <c r="J428" s="143">
        <f>Inventario[[#This Row],[PRECIO DE VENTA]]-Inventario[[#This Row],[COSTO UNITARIO MAYORISTA ]]</f>
        <v>0</v>
      </c>
      <c r="K428" s="14" t="e">
        <f>Inventario[[#This Row],[PRECIO UTILIDAD]]/Inventario[[#This Row],[PRECIO DE VENTA]]</f>
        <v>#DIV/0!</v>
      </c>
    </row>
    <row r="429" spans="1:11" ht="33" customHeight="1">
      <c r="A429" s="21"/>
      <c r="B429" s="21"/>
      <c r="C429" s="15"/>
      <c r="D429" s="21"/>
      <c r="E429" s="11"/>
      <c r="F429" s="26"/>
      <c r="G429" s="41">
        <f>Inventario[[#This Row],[COSTO UNITARIO MAYORISTA ]]*Inventario[[#This Row],[CANTIDAD]]</f>
        <v>0</v>
      </c>
      <c r="H429" s="12">
        <v>0.4</v>
      </c>
      <c r="I429" s="39">
        <f>Inventario[[#This Row],[COSTO UNITARIO MAYORISTA ]]/(1-Inventario[[#This Row],[MARGEN DE UTILIDAD]])</f>
        <v>0</v>
      </c>
      <c r="J429" s="143">
        <f>Inventario[[#This Row],[PRECIO DE VENTA]]-Inventario[[#This Row],[COSTO UNITARIO MAYORISTA ]]</f>
        <v>0</v>
      </c>
      <c r="K429" s="14" t="e">
        <f>Inventario[[#This Row],[PRECIO UTILIDAD]]/Inventario[[#This Row],[PRECIO DE VENTA]]</f>
        <v>#DIV/0!</v>
      </c>
    </row>
    <row r="430" spans="1:11" ht="33" customHeight="1">
      <c r="A430" s="21"/>
      <c r="B430" s="21"/>
      <c r="C430" s="15"/>
      <c r="D430" s="21"/>
      <c r="E430" s="11"/>
      <c r="F430" s="26"/>
      <c r="G430" s="41">
        <f>Inventario[[#This Row],[COSTO UNITARIO MAYORISTA ]]*Inventario[[#This Row],[CANTIDAD]]</f>
        <v>0</v>
      </c>
      <c r="H430" s="12">
        <v>0.4</v>
      </c>
      <c r="I430" s="39">
        <f>Inventario[[#This Row],[COSTO UNITARIO MAYORISTA ]]/(1-Inventario[[#This Row],[MARGEN DE UTILIDAD]])</f>
        <v>0</v>
      </c>
      <c r="J430" s="143">
        <f>Inventario[[#This Row],[PRECIO DE VENTA]]-Inventario[[#This Row],[COSTO UNITARIO MAYORISTA ]]</f>
        <v>0</v>
      </c>
      <c r="K430" s="14" t="e">
        <f>Inventario[[#This Row],[PRECIO UTILIDAD]]/Inventario[[#This Row],[PRECIO DE VENTA]]</f>
        <v>#DIV/0!</v>
      </c>
    </row>
    <row r="431" spans="1:11" ht="33" customHeight="1">
      <c r="A431" s="21"/>
      <c r="B431" s="21"/>
      <c r="C431" s="15"/>
      <c r="D431" s="21"/>
      <c r="E431" s="11"/>
      <c r="F431" s="26"/>
      <c r="G431" s="41">
        <f>Inventario[[#This Row],[COSTO UNITARIO MAYORISTA ]]*Inventario[[#This Row],[CANTIDAD]]</f>
        <v>0</v>
      </c>
      <c r="H431" s="12">
        <v>0.4</v>
      </c>
      <c r="I431" s="39">
        <f>Inventario[[#This Row],[COSTO UNITARIO MAYORISTA ]]/(1-Inventario[[#This Row],[MARGEN DE UTILIDAD]])</f>
        <v>0</v>
      </c>
      <c r="J431" s="143">
        <f>Inventario[[#This Row],[PRECIO DE VENTA]]-Inventario[[#This Row],[COSTO UNITARIO MAYORISTA ]]</f>
        <v>0</v>
      </c>
      <c r="K431" s="14" t="e">
        <f>Inventario[[#This Row],[PRECIO UTILIDAD]]/Inventario[[#This Row],[PRECIO DE VENTA]]</f>
        <v>#DIV/0!</v>
      </c>
    </row>
    <row r="432" spans="1:11" ht="33" customHeight="1">
      <c r="A432" s="21"/>
      <c r="B432" s="21"/>
      <c r="C432" s="15"/>
      <c r="D432" s="21"/>
      <c r="E432" s="11"/>
      <c r="F432" s="26"/>
      <c r="G432" s="41">
        <f>Inventario[[#This Row],[COSTO UNITARIO MAYORISTA ]]*Inventario[[#This Row],[CANTIDAD]]</f>
        <v>0</v>
      </c>
      <c r="H432" s="12">
        <v>0.4</v>
      </c>
      <c r="I432" s="39">
        <f>Inventario[[#This Row],[COSTO UNITARIO MAYORISTA ]]/(1-Inventario[[#This Row],[MARGEN DE UTILIDAD]])</f>
        <v>0</v>
      </c>
      <c r="J432" s="143">
        <f>Inventario[[#This Row],[PRECIO DE VENTA]]-Inventario[[#This Row],[COSTO UNITARIO MAYORISTA ]]</f>
        <v>0</v>
      </c>
      <c r="K432" s="14" t="e">
        <f>Inventario[[#This Row],[PRECIO UTILIDAD]]/Inventario[[#This Row],[PRECIO DE VENTA]]</f>
        <v>#DIV/0!</v>
      </c>
    </row>
    <row r="433" spans="1:11" ht="33" customHeight="1">
      <c r="A433" s="21"/>
      <c r="B433" s="21"/>
      <c r="C433" s="15"/>
      <c r="D433" s="21"/>
      <c r="E433" s="11"/>
      <c r="F433" s="26"/>
      <c r="G433" s="41">
        <f>Inventario[[#This Row],[COSTO UNITARIO MAYORISTA ]]*Inventario[[#This Row],[CANTIDAD]]</f>
        <v>0</v>
      </c>
      <c r="H433" s="12">
        <v>0.4</v>
      </c>
      <c r="I433" s="39">
        <f>Inventario[[#This Row],[COSTO UNITARIO MAYORISTA ]]/(1-Inventario[[#This Row],[MARGEN DE UTILIDAD]])</f>
        <v>0</v>
      </c>
      <c r="J433" s="143">
        <f>Inventario[[#This Row],[PRECIO DE VENTA]]-Inventario[[#This Row],[COSTO UNITARIO MAYORISTA ]]</f>
        <v>0</v>
      </c>
      <c r="K433" s="14" t="e">
        <f>Inventario[[#This Row],[PRECIO UTILIDAD]]/Inventario[[#This Row],[PRECIO DE VENTA]]</f>
        <v>#DIV/0!</v>
      </c>
    </row>
    <row r="434" spans="1:11" ht="33" customHeight="1">
      <c r="A434" s="21"/>
      <c r="B434" s="21"/>
      <c r="C434" s="15"/>
      <c r="D434" s="21"/>
      <c r="E434" s="11"/>
      <c r="F434" s="26"/>
      <c r="G434" s="41">
        <f>Inventario[[#This Row],[COSTO UNITARIO MAYORISTA ]]*Inventario[[#This Row],[CANTIDAD]]</f>
        <v>0</v>
      </c>
      <c r="H434" s="12">
        <v>0.4</v>
      </c>
      <c r="I434" s="39">
        <f>Inventario[[#This Row],[COSTO UNITARIO MAYORISTA ]]/(1-Inventario[[#This Row],[MARGEN DE UTILIDAD]])</f>
        <v>0</v>
      </c>
      <c r="J434" s="143">
        <f>Inventario[[#This Row],[PRECIO DE VENTA]]-Inventario[[#This Row],[COSTO UNITARIO MAYORISTA ]]</f>
        <v>0</v>
      </c>
      <c r="K434" s="14" t="e">
        <f>Inventario[[#This Row],[PRECIO UTILIDAD]]/Inventario[[#This Row],[PRECIO DE VENTA]]</f>
        <v>#DIV/0!</v>
      </c>
    </row>
    <row r="435" spans="1:11" ht="33" customHeight="1">
      <c r="A435" s="21"/>
      <c r="B435" s="21"/>
      <c r="C435" s="15"/>
      <c r="D435" s="21"/>
      <c r="E435" s="11"/>
      <c r="F435" s="26"/>
      <c r="G435" s="41">
        <f>Inventario[[#This Row],[COSTO UNITARIO MAYORISTA ]]*Inventario[[#This Row],[CANTIDAD]]</f>
        <v>0</v>
      </c>
      <c r="H435" s="12">
        <v>0.4</v>
      </c>
      <c r="I435" s="39">
        <f>Inventario[[#This Row],[COSTO UNITARIO MAYORISTA ]]/(1-Inventario[[#This Row],[MARGEN DE UTILIDAD]])</f>
        <v>0</v>
      </c>
      <c r="J435" s="143">
        <f>Inventario[[#This Row],[PRECIO DE VENTA]]-Inventario[[#This Row],[COSTO UNITARIO MAYORISTA ]]</f>
        <v>0</v>
      </c>
      <c r="K435" s="14" t="e">
        <f>Inventario[[#This Row],[PRECIO UTILIDAD]]/Inventario[[#This Row],[PRECIO DE VENTA]]</f>
        <v>#DIV/0!</v>
      </c>
    </row>
    <row r="436" spans="1:11" ht="33" customHeight="1">
      <c r="A436" s="21"/>
      <c r="B436" s="21"/>
      <c r="C436" s="15"/>
      <c r="D436" s="21"/>
      <c r="E436" s="11"/>
      <c r="F436" s="26"/>
      <c r="G436" s="41">
        <f>Inventario[[#This Row],[COSTO UNITARIO MAYORISTA ]]*Inventario[[#This Row],[CANTIDAD]]</f>
        <v>0</v>
      </c>
      <c r="H436" s="12">
        <v>0.4</v>
      </c>
      <c r="I436" s="39">
        <f>Inventario[[#This Row],[COSTO UNITARIO MAYORISTA ]]/(1-Inventario[[#This Row],[MARGEN DE UTILIDAD]])</f>
        <v>0</v>
      </c>
      <c r="J436" s="143">
        <f>Inventario[[#This Row],[PRECIO DE VENTA]]-Inventario[[#This Row],[COSTO UNITARIO MAYORISTA ]]</f>
        <v>0</v>
      </c>
      <c r="K436" s="14" t="e">
        <f>Inventario[[#This Row],[PRECIO UTILIDAD]]/Inventario[[#This Row],[PRECIO DE VENTA]]</f>
        <v>#DIV/0!</v>
      </c>
    </row>
    <row r="437" spans="1:11" ht="33" customHeight="1">
      <c r="A437" s="35"/>
      <c r="B437" s="35"/>
      <c r="C437" s="17"/>
      <c r="D437" s="35"/>
      <c r="E437" s="36"/>
      <c r="F437" s="37"/>
      <c r="G437" s="41">
        <f>Inventario[[#This Row],[COSTO UNITARIO MAYORISTA ]]*Inventario[[#This Row],[CANTIDAD]]</f>
        <v>0</v>
      </c>
      <c r="H437" s="12">
        <v>0.4</v>
      </c>
      <c r="I437" s="40">
        <f>Inventario[[#This Row],[COSTO UNITARIO MAYORISTA ]]/(1-Inventario[[#This Row],[MARGEN DE UTILIDAD]])</f>
        <v>0</v>
      </c>
      <c r="J437" s="143">
        <f>Inventario[[#This Row],[PRECIO DE VENTA]]-Inventario[[#This Row],[COSTO UNITARIO MAYORISTA ]]</f>
        <v>0</v>
      </c>
      <c r="K437" s="14" t="e">
        <f>Inventario[[#This Row],[PRECIO UTILIDAD]]/Inventario[[#This Row],[PRECIO DE VENTA]]</f>
        <v>#DIV/0!</v>
      </c>
    </row>
  </sheetData>
  <phoneticPr fontId="13" type="noConversion"/>
  <pageMargins left="0.3" right="0.3" top="0.3" bottom="0.3" header="0" footer="0"/>
  <pageSetup scale="10" orientation="landscape" horizontalDpi="4294967294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1459-AD30-4519-8E8E-384E0FB381F6}">
  <sheetPr codeName="Hoja11"/>
  <dimension ref="A1:XFD305"/>
  <sheetViews>
    <sheetView workbookViewId="0">
      <selection activeCell="G285" sqref="G285"/>
    </sheetView>
  </sheetViews>
  <sheetFormatPr baseColWidth="10" defaultColWidth="0" defaultRowHeight="36.75" customHeight="1"/>
  <cols>
    <col min="1" max="1" width="13.75" bestFit="1" customWidth="1"/>
    <col min="2" max="2" width="29.25" bestFit="1" customWidth="1"/>
    <col min="3" max="3" width="14.375" customWidth="1"/>
    <col min="4" max="4" width="21.5" bestFit="1" customWidth="1"/>
    <col min="5" max="5" width="13.625" bestFit="1" customWidth="1"/>
    <col min="6" max="6" width="11" bestFit="1" customWidth="1"/>
    <col min="7" max="7" width="17.5" bestFit="1" customWidth="1"/>
    <col min="8" max="8" width="19.5" bestFit="1" customWidth="1"/>
    <col min="9" max="9" width="16.75" bestFit="1" customWidth="1"/>
    <col min="10" max="10" width="30" bestFit="1" customWidth="1"/>
    <col min="11" max="14638" width="11" hidden="1"/>
    <col min="14639" max="16378" width="11" customWidth="1"/>
    <col min="16379" max="16379" width="1.25" customWidth="1"/>
    <col min="16380" max="16380" width="2.125" customWidth="1"/>
    <col min="16381" max="16381" width="3.5" customWidth="1"/>
    <col min="16382" max="16382" width="3.75" customWidth="1"/>
    <col min="16383" max="16383" width="4.625" customWidth="1"/>
    <col min="16384" max="16384" width="4" customWidth="1"/>
  </cols>
  <sheetData>
    <row r="1" spans="1:10 14639:16384" ht="36.75" customHeight="1">
      <c r="A1" s="248"/>
      <c r="B1" s="249"/>
      <c r="C1" s="249"/>
      <c r="D1" s="249"/>
      <c r="E1" s="249"/>
      <c r="F1" s="249"/>
      <c r="G1" s="249"/>
      <c r="H1" s="249"/>
      <c r="I1" s="250"/>
    </row>
    <row r="2" spans="1:10 14639:16384" ht="15.75">
      <c r="A2" s="30" t="s">
        <v>0</v>
      </c>
      <c r="B2" s="75" t="s">
        <v>3</v>
      </c>
      <c r="C2" s="30" t="s">
        <v>771</v>
      </c>
      <c r="D2" s="30" t="s">
        <v>772</v>
      </c>
      <c r="E2" s="30" t="s">
        <v>773</v>
      </c>
      <c r="F2" s="30" t="s">
        <v>774</v>
      </c>
      <c r="G2" s="30" t="s">
        <v>775</v>
      </c>
      <c r="H2" s="30" t="s">
        <v>776</v>
      </c>
      <c r="I2" s="30" t="s">
        <v>777</v>
      </c>
      <c r="J2" s="30" t="s">
        <v>778</v>
      </c>
    </row>
    <row r="3" spans="1:10 14639:16384" ht="36.75" customHeight="1">
      <c r="A3" s="160">
        <v>1232022120117</v>
      </c>
      <c r="B3" s="161" t="s">
        <v>11</v>
      </c>
      <c r="C3" s="123" t="s">
        <v>12</v>
      </c>
      <c r="D3" s="69">
        <v>2</v>
      </c>
      <c r="E3" s="31">
        <f>SUMIF(Entrada[CODIGO],Inventari_2[[#This Row],[CODIGO]],Entrada[CANTIDAD])</f>
        <v>0</v>
      </c>
      <c r="F3" s="32">
        <f>SUMIF(Salidas[[CODIGO ]],Inventari_2[[#This Row],[CODIGO]],Salidas[CANTIDAD])</f>
        <v>2</v>
      </c>
      <c r="G3" s="23">
        <f>Inventari_2[[#This Row],[STOCK DE LLEGADA]]+Inventari_2[[#This Row],[ENTRADA ]]-Inventari_2[[#This Row],[SALIDA]]</f>
        <v>0</v>
      </c>
      <c r="H3" s="13">
        <f>VLOOKUP(Inventari_2[[#This Row],[CODIGO]],Inventario[#All],9,FALSE)</f>
        <v>25000</v>
      </c>
      <c r="I3" s="13" t="str">
        <f>"*"&amp;Inventari_2[[#This Row],[CODIGO]]&amp;"*"</f>
        <v>*1232022120117*</v>
      </c>
      <c r="J3" s="34" t="str">
        <f>Inventari_2[[#This Row],[COD]]</f>
        <v>*1232022120117*</v>
      </c>
    </row>
    <row r="4" spans="1:10 14639:16384" ht="36.75" customHeight="1">
      <c r="A4" s="89">
        <v>6926582118589</v>
      </c>
      <c r="B4" s="162" t="s">
        <v>779</v>
      </c>
      <c r="C4" s="123" t="s">
        <v>12</v>
      </c>
      <c r="D4" s="69">
        <v>1</v>
      </c>
      <c r="E4" s="31">
        <f>SUMIF(Entrada[CODIGO],Inventari_2[[#This Row],[CODIGO]],Entrada[CANTIDAD])</f>
        <v>0</v>
      </c>
      <c r="F4" s="32">
        <f>SUMIF(Salidas[[CODIGO ]],Inventari_2[[#This Row],[CODIGO]],Salidas[CANTIDAD])</f>
        <v>0</v>
      </c>
      <c r="G4" s="23">
        <f>Inventari_2[[#This Row],[STOCK DE LLEGADA]]+Inventari_2[[#This Row],[ENTRADA ]]-Inventari_2[[#This Row],[SALIDA]]</f>
        <v>1</v>
      </c>
      <c r="H4" s="13">
        <f>VLOOKUP(Inventari_2[[#This Row],[CODIGO]],Inventario[#All],9,FALSE)</f>
        <v>35000</v>
      </c>
      <c r="I4" s="13" t="str">
        <f>"*"&amp;Inventari_2[[#This Row],[CODIGO]]&amp;"*"</f>
        <v>*6926582118589*</v>
      </c>
      <c r="J4" s="34" t="str">
        <f>Inventari_2[[#This Row],[COD]]</f>
        <v>*6926582118589*</v>
      </c>
    </row>
    <row r="5" spans="1:10 14639:16384" ht="36.75" customHeight="1">
      <c r="A5" s="163" t="s">
        <v>20</v>
      </c>
      <c r="B5" s="106" t="s">
        <v>21</v>
      </c>
      <c r="C5" s="123" t="s">
        <v>12</v>
      </c>
      <c r="D5" s="69">
        <v>1</v>
      </c>
      <c r="E5" s="31">
        <f>SUMIF(Entrada[CODIGO],Inventari_2[[#This Row],[CODIGO]],Entrada[CANTIDAD])</f>
        <v>0</v>
      </c>
      <c r="F5" s="32">
        <f>SUMIF(Salidas[[CODIGO ]],Inventari_2[[#This Row],[CODIGO]],Salidas[CANTIDAD])</f>
        <v>0</v>
      </c>
      <c r="G5" s="23">
        <f>Inventari_2[[#This Row],[STOCK DE LLEGADA]]+Inventari_2[[#This Row],[ENTRADA ]]-Inventari_2[[#This Row],[SALIDA]]</f>
        <v>1</v>
      </c>
      <c r="H5" s="13">
        <f>VLOOKUP(Inventari_2[[#This Row],[CODIGO]],Inventario[#All],9,FALSE)</f>
        <v>20000</v>
      </c>
      <c r="I5" s="13" t="str">
        <f>"*"&amp;Inventari_2[[#This Row],[CODIGO]]&amp;"*"</f>
        <v>*ESCP-88714154*</v>
      </c>
      <c r="J5" s="34" t="str">
        <f>Inventari_2[[#This Row],[COD]]</f>
        <v>*ESCP-88714154*</v>
      </c>
    </row>
    <row r="6" spans="1:10 14639:16384" ht="36.75" customHeight="1">
      <c r="A6" s="151" t="s">
        <v>27</v>
      </c>
      <c r="B6" s="161" t="s">
        <v>28</v>
      </c>
      <c r="C6" s="123" t="s">
        <v>16</v>
      </c>
      <c r="D6" s="69">
        <v>1</v>
      </c>
      <c r="E6" s="31">
        <f>SUMIF(Entrada[CODIGO],Inventari_2[[#This Row],[CODIGO]],Entrada[CANTIDAD])</f>
        <v>3</v>
      </c>
      <c r="F6" s="32">
        <f>SUMIF(Salidas[[CODIGO ]],Inventari_2[[#This Row],[CODIGO]],Salidas[CANTIDAD])</f>
        <v>1</v>
      </c>
      <c r="G6" s="23">
        <f>Inventari_2[[#This Row],[STOCK DE LLEGADA]]+Inventari_2[[#This Row],[ENTRADA ]]-Inventari_2[[#This Row],[SALIDA]]</f>
        <v>3</v>
      </c>
      <c r="H6" s="13">
        <f>VLOOKUP(Inventari_2[[#This Row],[CODIGO]],Inventario[#All],9,FALSE)</f>
        <v>30000</v>
      </c>
      <c r="I6" s="13" t="str">
        <f>"*"&amp;Inventari_2[[#This Row],[CODIGO]]&amp;"*"</f>
        <v>*ESCP-55784*</v>
      </c>
      <c r="J6" s="34" t="str">
        <f>Inventari_2[[#This Row],[COD]]</f>
        <v>*ESCP-55784*</v>
      </c>
    </row>
    <row r="7" spans="1:10 14639:16384" ht="36.75" customHeight="1">
      <c r="A7" s="156">
        <v>6923450670910</v>
      </c>
      <c r="B7" s="164" t="s">
        <v>30</v>
      </c>
      <c r="C7" s="124" t="s">
        <v>25</v>
      </c>
      <c r="D7" s="69">
        <v>1</v>
      </c>
      <c r="E7" s="31">
        <f>SUMIF(Entrada[CODIGO],Inventari_2[[#This Row],[CODIGO]],Entrada[CANTIDAD])</f>
        <v>1</v>
      </c>
      <c r="F7" s="32">
        <f>SUMIF(Salidas[[CODIGO ]],Inventari_2[[#This Row],[CODIGO]],Salidas[CANTIDAD])</f>
        <v>0</v>
      </c>
      <c r="G7" s="23">
        <f>Inventari_2[[#This Row],[STOCK DE LLEGADA]]+Inventari_2[[#This Row],[ENTRADA ]]-Inventari_2[[#This Row],[SALIDA]]</f>
        <v>2</v>
      </c>
      <c r="H7" s="22">
        <f>VLOOKUP(Inventari_2[[#This Row],[CODIGO]],Inventario[#All],9,FALSE)</f>
        <v>30000</v>
      </c>
      <c r="I7" s="22" t="str">
        <f>"*"&amp;Inventari_2[[#This Row],[CODIGO]]&amp;"*"</f>
        <v>*6923450670910*</v>
      </c>
      <c r="J7" s="34" t="str">
        <f>Inventari_2[[#This Row],[COD]]</f>
        <v>*6923450670910*</v>
      </c>
    </row>
    <row r="8" spans="1:10 14639:16384" ht="36.75" customHeight="1">
      <c r="A8" s="142" t="s">
        <v>39</v>
      </c>
      <c r="B8" s="161" t="s">
        <v>40</v>
      </c>
      <c r="C8" s="123" t="s">
        <v>37</v>
      </c>
      <c r="D8" s="69">
        <v>2</v>
      </c>
      <c r="E8" s="31">
        <f>SUMIF(Entrada[CODIGO],Inventari_2[[#This Row],[CODIGO]],Entrada[CANTIDAD])</f>
        <v>1</v>
      </c>
      <c r="F8" s="32">
        <f>SUMIF(Salidas[[CODIGO ]],Inventari_2[[#This Row],[CODIGO]],Salidas[CANTIDAD])</f>
        <v>2</v>
      </c>
      <c r="G8" s="23">
        <f>Inventari_2[[#This Row],[STOCK DE LLEGADA]]+Inventari_2[[#This Row],[ENTRADA ]]-Inventari_2[[#This Row],[SALIDA]]</f>
        <v>1</v>
      </c>
      <c r="H8" s="13">
        <f>VLOOKUP(Inventari_2[[#This Row],[CODIGO]],Inventario[#All],9,FALSE)</f>
        <v>15000</v>
      </c>
      <c r="I8" s="13" t="str">
        <f>"*"&amp;Inventari_2[[#This Row],[CODIGO]]&amp;"*"</f>
        <v>*VARI-005445657*</v>
      </c>
      <c r="J8" s="34" t="str">
        <f>Inventari_2[[#This Row],[COD]]</f>
        <v>*VARI-005445657*</v>
      </c>
    </row>
    <row r="9" spans="1:10 14639:16384" ht="36.75" customHeight="1">
      <c r="A9" s="145" t="s">
        <v>42</v>
      </c>
      <c r="B9" s="161" t="s">
        <v>43</v>
      </c>
      <c r="C9" s="123" t="s">
        <v>44</v>
      </c>
      <c r="D9" s="125" t="s">
        <v>780</v>
      </c>
      <c r="E9" s="31">
        <f>SUMIF(Entrada[CODIGO],Inventari_2[[#This Row],[CODIGO]],Entrada[CANTIDAD])</f>
        <v>0</v>
      </c>
      <c r="F9" s="32">
        <f>SUMIF(Salidas[[CODIGO ]],Inventari_2[[#This Row],[CODIGO]],Salidas[CANTIDAD])</f>
        <v>0</v>
      </c>
      <c r="G9" s="23">
        <f>Inventari_2[[#This Row],[STOCK DE LLEGADA]]+Inventari_2[[#This Row],[ENTRADA ]]-Inventari_2[[#This Row],[SALIDA]]</f>
        <v>3</v>
      </c>
      <c r="H9" s="13">
        <f>VLOOKUP(Inventari_2[[#This Row],[CODIGO]],Inventario[#All],9,FALSE)</f>
        <v>20000</v>
      </c>
      <c r="I9" s="13" t="str">
        <f>"*"&amp;Inventari_2[[#This Row],[CODIGO]]&amp;"*"</f>
        <v>*BALS-001*</v>
      </c>
      <c r="J9" s="34" t="str">
        <f>Inventari_2[[#This Row],[COD]]</f>
        <v>*BALS-001*</v>
      </c>
    </row>
    <row r="10" spans="1:10 14639:16384" ht="36.75" customHeight="1">
      <c r="A10" s="145">
        <v>6986682986747</v>
      </c>
      <c r="B10" s="161" t="s">
        <v>46</v>
      </c>
      <c r="C10" s="123" t="s">
        <v>16</v>
      </c>
      <c r="D10" s="69">
        <v>1</v>
      </c>
      <c r="E10" s="31">
        <f>SUMIF(Entrada[CODIGO],Inventari_2[[#This Row],[CODIGO]],Entrada[CANTIDAD])</f>
        <v>0</v>
      </c>
      <c r="F10" s="32">
        <f>SUMIF(Salidas[[CODIGO ]],Inventari_2[[#This Row],[CODIGO]],Salidas[CANTIDAD])</f>
        <v>0</v>
      </c>
      <c r="G10" s="23">
        <f>Inventari_2[[#This Row],[STOCK DE LLEGADA]]+Inventari_2[[#This Row],[ENTRADA ]]-Inventari_2[[#This Row],[SALIDA]]</f>
        <v>1</v>
      </c>
      <c r="H10" s="13">
        <f>VLOOKUP(Inventari_2[[#This Row],[CODIGO]],Inventario[#All],9,FALSE)</f>
        <v>60000</v>
      </c>
      <c r="I10" s="13" t="str">
        <f>"*"&amp;Inventari_2[[#This Row],[CODIGO]]&amp;"*"</f>
        <v>*6986682986747*</v>
      </c>
      <c r="J10" s="34" t="str">
        <f>Inventari_2[[#This Row],[COD]]</f>
        <v>*6986682986747*</v>
      </c>
    </row>
    <row r="11" spans="1:10 14639:16384" ht="36.75" customHeight="1">
      <c r="A11" s="235" t="s">
        <v>905</v>
      </c>
      <c r="B11" s="161" t="s">
        <v>51</v>
      </c>
      <c r="C11" s="123" t="s">
        <v>52</v>
      </c>
      <c r="D11" s="69">
        <v>14</v>
      </c>
      <c r="E11" s="31">
        <f>SUMIF(Entrada[CODIGO],Inventari_2[[#This Row],[CODIGO]],Entrada[CANTIDAD])</f>
        <v>0</v>
      </c>
      <c r="F11" s="32">
        <f>SUMIF(Salidas[[CODIGO ]],Inventari_2[[#This Row],[CODIGO]],Salidas[CANTIDAD])</f>
        <v>1</v>
      </c>
      <c r="G11" s="23">
        <f>Inventari_2[[#This Row],[STOCK DE LLEGADA]]+Inventari_2[[#This Row],[ENTRADA ]]-Inventari_2[[#This Row],[SALIDA]]</f>
        <v>13</v>
      </c>
      <c r="H11" s="13">
        <f>VLOOKUP(Inventari_2[[#This Row],[CODIGO]],Inventario[#All],9,FALSE)</f>
        <v>30000</v>
      </c>
      <c r="I11" s="13" t="str">
        <f>"*"&amp;Inventari_2[[#This Row],[CODIGO]]&amp;"*"</f>
        <v>*VARI'011*</v>
      </c>
      <c r="J11" s="34" t="str">
        <f>Inventari_2[[#This Row],[COD]]</f>
        <v>*VARI'011*</v>
      </c>
    </row>
    <row r="12" spans="1:10 14639:16384" ht="36.75" customHeight="1">
      <c r="A12" s="151" t="s">
        <v>54</v>
      </c>
      <c r="B12" s="161" t="s">
        <v>55</v>
      </c>
      <c r="C12" s="123" t="s">
        <v>56</v>
      </c>
      <c r="D12" s="69">
        <v>2</v>
      </c>
      <c r="E12" s="31">
        <f>SUMIF(Entrada[CODIGO],Inventari_2[[#This Row],[CODIGO]],Entrada[CANTIDAD])</f>
        <v>0</v>
      </c>
      <c r="F12" s="32">
        <f>SUMIF(Salidas[[CODIGO ]],Inventari_2[[#This Row],[CODIGO]],Salidas[CANTIDAD])</f>
        <v>0</v>
      </c>
      <c r="G12" s="23">
        <f>Inventari_2[[#This Row],[STOCK DE LLEGADA]]+Inventari_2[[#This Row],[ENTRADA ]]-Inventari_2[[#This Row],[SALIDA]]</f>
        <v>2</v>
      </c>
      <c r="H12" s="13">
        <f>VLOOKUP(Inventari_2[[#This Row],[CODIGO]],Inventario[#All],9,FALSE)</f>
        <v>60000</v>
      </c>
      <c r="I12" s="13" t="str">
        <f>"*"&amp;Inventari_2[[#This Row],[CODIGO]]&amp;"*"</f>
        <v>*VARI-004*</v>
      </c>
      <c r="J12" s="34" t="str">
        <f>Inventari_2[[#This Row],[COD]]</f>
        <v>*VARI-004*</v>
      </c>
    </row>
    <row r="13" spans="1:10 14639:16384" ht="36.75" customHeight="1">
      <c r="A13" s="77">
        <v>6972815284590</v>
      </c>
      <c r="B13" s="161" t="s">
        <v>58</v>
      </c>
      <c r="C13" s="123" t="s">
        <v>12</v>
      </c>
      <c r="D13" s="69">
        <v>1</v>
      </c>
      <c r="E13" s="31">
        <f>SUMIF(Entrada[CODIGO],Inventari_2[[#This Row],[CODIGO]],Entrada[CANTIDAD])</f>
        <v>0</v>
      </c>
      <c r="F13" s="32">
        <f>SUMIF(Salidas[[CODIGO ]],Inventari_2[[#This Row],[CODIGO]],Salidas[CANTIDAD])</f>
        <v>1</v>
      </c>
      <c r="G13" s="24">
        <f>Inventari_2[[#This Row],[STOCK DE LLEGADA]]+Inventari_2[[#This Row],[ENTRADA ]]-Inventari_2[[#This Row],[SALIDA]]</f>
        <v>0</v>
      </c>
      <c r="H13" s="13">
        <f>VLOOKUP(Inventari_2[[#This Row],[CODIGO]],Inventario[#All],9,FALSE)</f>
        <v>5000</v>
      </c>
      <c r="I13" s="13" t="str">
        <f>"*"&amp;Inventari_2[[#This Row],[CODIGO]]&amp;"*"</f>
        <v>*6972815284590*</v>
      </c>
      <c r="J13" s="34" t="str">
        <f>Inventari_2[[#This Row],[COD]]</f>
        <v>*6972815284590*</v>
      </c>
    </row>
    <row r="14" spans="1:10 14639:16384" ht="36.75" customHeight="1">
      <c r="A14" s="77">
        <v>6972815284668</v>
      </c>
      <c r="B14" s="161" t="s">
        <v>60</v>
      </c>
      <c r="C14" s="123" t="s">
        <v>12</v>
      </c>
      <c r="D14" s="69">
        <v>3</v>
      </c>
      <c r="E14" s="31">
        <f>SUMIF(Entrada[CODIGO],Inventari_2[[#This Row],[CODIGO]],Entrada[CANTIDAD])</f>
        <v>0</v>
      </c>
      <c r="F14" s="32">
        <f>SUMIF(Salidas[[CODIGO ]],Inventari_2[[#This Row],[CODIGO]],Salidas[CANTIDAD])</f>
        <v>0</v>
      </c>
      <c r="G14" s="24">
        <f>Inventari_2[[#This Row],[STOCK DE LLEGADA]]+Inventari_2[[#This Row],[ENTRADA ]]-Inventari_2[[#This Row],[SALIDA]]</f>
        <v>3</v>
      </c>
      <c r="H14" s="13">
        <f>VLOOKUP(Inventari_2[[#This Row],[CODIGO]],Inventario[#All],9,FALSE)</f>
        <v>5000</v>
      </c>
      <c r="I14" s="13" t="str">
        <f>"*"&amp;Inventari_2[[#This Row],[CODIGO]]&amp;"*"</f>
        <v>*6972815284668*</v>
      </c>
      <c r="J14" s="34" t="str">
        <f>Inventari_2[[#This Row],[COD]]</f>
        <v>*6972815284668*</v>
      </c>
    </row>
    <row r="15" spans="1:10 14639:16384" ht="36.75" customHeight="1">
      <c r="A15" s="146" t="s">
        <v>62</v>
      </c>
      <c r="B15" s="161" t="s">
        <v>63</v>
      </c>
      <c r="C15" s="123" t="s">
        <v>12</v>
      </c>
      <c r="D15" s="69">
        <v>38</v>
      </c>
      <c r="E15" s="31">
        <f>SUMIF(Entrada[CODIGO],Inventari_2[[#This Row],[CODIGO]],Entrada[CANTIDAD])</f>
        <v>37</v>
      </c>
      <c r="F15" s="32">
        <f>SUMIF(Salidas[[CODIGO ]],Inventari_2[[#This Row],[CODIGO]],Salidas[CANTIDAD])</f>
        <v>13</v>
      </c>
      <c r="G15" s="24">
        <f>Inventari_2[[#This Row],[STOCK DE LLEGADA]]+Inventari_2[[#This Row],[ENTRADA ]]-Inventari_2[[#This Row],[SALIDA]]</f>
        <v>62</v>
      </c>
      <c r="H15" s="13">
        <f>VLOOKUP(Inventari_2[[#This Row],[CODIGO]],Inventario[#All],9,FALSE)</f>
        <v>2000</v>
      </c>
      <c r="I15" s="13" t="str">
        <f>"*"&amp;Inventari_2[[#This Row],[CODIGO]]&amp;"*"</f>
        <v>*ESCP'015*</v>
      </c>
      <c r="J15" s="34" t="str">
        <f>Inventari_2[[#This Row],[COD]]</f>
        <v>*ESCP'015*</v>
      </c>
      <c r="UQA15" s="101"/>
      <c r="UQB15" s="101"/>
      <c r="UQC15" s="101"/>
      <c r="UQD15" s="101"/>
      <c r="UQE15" s="101"/>
      <c r="UQF15" s="101"/>
      <c r="UQG15" s="101"/>
      <c r="UQH15" s="101"/>
      <c r="UQI15" s="101"/>
      <c r="UQJ15" s="101"/>
      <c r="UQK15" s="101"/>
      <c r="UQL15" s="101"/>
      <c r="UQM15" s="101"/>
      <c r="UQN15" s="101"/>
      <c r="UQO15" s="101"/>
      <c r="UQP15" s="101"/>
      <c r="UQQ15" s="101"/>
      <c r="UQR15" s="101"/>
      <c r="UQS15" s="101"/>
      <c r="UQT15" s="101"/>
      <c r="UQU15" s="101"/>
      <c r="UQV15" s="101"/>
      <c r="UQW15" s="101"/>
      <c r="UQX15" s="101"/>
      <c r="UQY15" s="101"/>
      <c r="UQZ15" s="101"/>
      <c r="URA15" s="101"/>
      <c r="URB15" s="101"/>
      <c r="URC15" s="101"/>
      <c r="URD15" s="101"/>
      <c r="URE15" s="101"/>
      <c r="URF15" s="101"/>
      <c r="URG15" s="101"/>
      <c r="URH15" s="101"/>
      <c r="URI15" s="101"/>
      <c r="URJ15" s="101"/>
      <c r="URK15" s="101"/>
      <c r="URL15" s="101"/>
      <c r="URM15" s="101"/>
      <c r="URN15" s="101"/>
      <c r="URO15" s="101"/>
      <c r="URP15" s="101"/>
      <c r="URQ15" s="101"/>
      <c r="URR15" s="101"/>
      <c r="URS15" s="101"/>
      <c r="URT15" s="101"/>
      <c r="URU15" s="101"/>
      <c r="URV15" s="101"/>
      <c r="URW15" s="101"/>
      <c r="URX15" s="101"/>
      <c r="URY15" s="101"/>
      <c r="URZ15" s="101"/>
      <c r="USA15" s="101"/>
      <c r="USB15" s="101"/>
      <c r="USC15" s="101"/>
      <c r="USD15" s="101"/>
      <c r="USE15" s="101"/>
      <c r="USF15" s="101"/>
      <c r="USG15" s="101"/>
      <c r="USH15" s="101"/>
      <c r="USI15" s="101"/>
      <c r="USJ15" s="101"/>
      <c r="USK15" s="101"/>
      <c r="USL15" s="101"/>
      <c r="USM15" s="101"/>
      <c r="USN15" s="101"/>
      <c r="USO15" s="101"/>
      <c r="USP15" s="101"/>
      <c r="USQ15" s="101"/>
      <c r="USR15" s="101"/>
      <c r="USS15" s="101"/>
      <c r="UST15" s="101"/>
      <c r="USU15" s="101"/>
      <c r="USV15" s="101"/>
      <c r="USW15" s="101"/>
      <c r="USX15" s="101"/>
      <c r="USY15" s="101"/>
      <c r="USZ15" s="101"/>
      <c r="UTA15" s="101"/>
      <c r="UTB15" s="101"/>
      <c r="UTC15" s="101"/>
      <c r="UTD15" s="101"/>
      <c r="UTE15" s="101"/>
      <c r="UTF15" s="101"/>
      <c r="UTG15" s="101"/>
      <c r="UTH15" s="101"/>
      <c r="UTI15" s="101"/>
      <c r="UTJ15" s="101"/>
      <c r="UTK15" s="101"/>
      <c r="UTL15" s="101"/>
      <c r="UTM15" s="101"/>
      <c r="UTN15" s="101"/>
      <c r="UTO15" s="101"/>
      <c r="UTP15" s="101"/>
      <c r="UTQ15" s="101"/>
      <c r="UTR15" s="101"/>
      <c r="UTS15" s="101"/>
      <c r="UTT15" s="101"/>
      <c r="UTU15" s="101"/>
      <c r="UTV15" s="101"/>
      <c r="UTW15" s="101"/>
      <c r="UTX15" s="101"/>
      <c r="UTY15" s="101"/>
      <c r="UTZ15" s="101"/>
      <c r="UUA15" s="101"/>
      <c r="UUB15" s="101"/>
      <c r="UUC15" s="101"/>
      <c r="UUD15" s="101"/>
      <c r="UUE15" s="101"/>
      <c r="UUF15" s="101"/>
      <c r="UUG15" s="101"/>
      <c r="UUH15" s="101"/>
      <c r="UUI15" s="101"/>
      <c r="UUJ15" s="101"/>
      <c r="UUK15" s="101"/>
      <c r="UUL15" s="101"/>
      <c r="UUM15" s="101"/>
      <c r="UUN15" s="101"/>
      <c r="UUO15" s="101"/>
      <c r="UUP15" s="101"/>
      <c r="UUQ15" s="101"/>
      <c r="UUR15" s="101"/>
      <c r="UUS15" s="101"/>
      <c r="UUT15" s="101"/>
      <c r="UUU15" s="101"/>
      <c r="UUV15" s="101"/>
      <c r="UUW15" s="101"/>
      <c r="UUX15" s="101"/>
      <c r="UUY15" s="101"/>
      <c r="UUZ15" s="101"/>
      <c r="UVA15" s="101"/>
      <c r="UVB15" s="101"/>
      <c r="UVC15" s="101"/>
      <c r="UVD15" s="101"/>
      <c r="UVE15" s="101"/>
      <c r="UVF15" s="101"/>
      <c r="UVG15" s="101"/>
      <c r="UVH15" s="101"/>
      <c r="UVI15" s="101"/>
      <c r="UVJ15" s="101"/>
      <c r="UVK15" s="101"/>
      <c r="UVL15" s="101"/>
      <c r="UVM15" s="101"/>
      <c r="UVN15" s="101"/>
      <c r="UVO15" s="101"/>
      <c r="UVP15" s="101"/>
      <c r="UVQ15" s="101"/>
      <c r="UVR15" s="101"/>
      <c r="UVS15" s="101"/>
      <c r="UVT15" s="101"/>
      <c r="UVU15" s="101"/>
      <c r="UVV15" s="101"/>
      <c r="UVW15" s="101"/>
      <c r="UVX15" s="101"/>
      <c r="UVY15" s="101"/>
      <c r="UVZ15" s="101"/>
      <c r="UWA15" s="101"/>
      <c r="UWB15" s="101"/>
      <c r="UWC15" s="101"/>
      <c r="UWD15" s="101"/>
      <c r="UWE15" s="101"/>
      <c r="UWF15" s="101"/>
      <c r="UWG15" s="101"/>
      <c r="UWH15" s="101"/>
      <c r="UWI15" s="101"/>
      <c r="UWJ15" s="101"/>
      <c r="UWK15" s="101"/>
      <c r="UWL15" s="101"/>
      <c r="UWM15" s="101"/>
      <c r="UWN15" s="101"/>
      <c r="UWO15" s="101"/>
      <c r="UWP15" s="101"/>
      <c r="UWQ15" s="101"/>
      <c r="UWR15" s="101"/>
      <c r="UWS15" s="101"/>
      <c r="UWT15" s="101"/>
      <c r="UWU15" s="101"/>
      <c r="UWV15" s="101"/>
      <c r="UWW15" s="101"/>
      <c r="UWX15" s="101"/>
      <c r="UWY15" s="101"/>
      <c r="UWZ15" s="101"/>
      <c r="UXA15" s="101"/>
      <c r="UXB15" s="101"/>
      <c r="UXC15" s="101"/>
      <c r="UXD15" s="101"/>
      <c r="UXE15" s="101"/>
      <c r="UXF15" s="101"/>
      <c r="UXG15" s="101"/>
      <c r="UXH15" s="101"/>
      <c r="UXI15" s="101"/>
      <c r="UXJ15" s="101"/>
      <c r="UXK15" s="101"/>
      <c r="UXL15" s="101"/>
      <c r="UXM15" s="101"/>
      <c r="UXN15" s="101"/>
      <c r="UXO15" s="101"/>
      <c r="UXP15" s="101"/>
      <c r="UXQ15" s="101"/>
      <c r="UXR15" s="101"/>
      <c r="UXS15" s="101"/>
      <c r="UXT15" s="101"/>
      <c r="UXU15" s="101"/>
      <c r="UXV15" s="101"/>
      <c r="UXW15" s="101"/>
      <c r="UXX15" s="101"/>
      <c r="UXY15" s="101"/>
      <c r="UXZ15" s="101"/>
      <c r="UYA15" s="101"/>
      <c r="UYB15" s="101"/>
      <c r="UYC15" s="101"/>
      <c r="UYD15" s="101"/>
      <c r="UYE15" s="101"/>
      <c r="UYF15" s="101"/>
      <c r="UYG15" s="101"/>
      <c r="UYH15" s="101"/>
      <c r="UYI15" s="101"/>
      <c r="UYJ15" s="101"/>
      <c r="UYK15" s="101"/>
      <c r="UYL15" s="101"/>
      <c r="UYM15" s="101"/>
      <c r="UYN15" s="101"/>
      <c r="UYO15" s="101"/>
      <c r="UYP15" s="101"/>
      <c r="UYQ15" s="101"/>
      <c r="UYR15" s="101"/>
      <c r="UYS15" s="101"/>
      <c r="UYT15" s="101"/>
      <c r="UYU15" s="101"/>
      <c r="UYV15" s="101"/>
      <c r="UYW15" s="101"/>
      <c r="UYX15" s="101"/>
      <c r="UYY15" s="101"/>
      <c r="UYZ15" s="101"/>
      <c r="UZA15" s="101"/>
      <c r="UZB15" s="101"/>
      <c r="UZC15" s="101"/>
      <c r="UZD15" s="101"/>
      <c r="UZE15" s="101"/>
      <c r="UZF15" s="101"/>
      <c r="UZG15" s="101"/>
      <c r="UZH15" s="101"/>
      <c r="UZI15" s="101"/>
      <c r="UZJ15" s="101"/>
      <c r="UZK15" s="101"/>
      <c r="UZL15" s="101"/>
      <c r="UZM15" s="101"/>
      <c r="UZN15" s="101"/>
      <c r="UZO15" s="101"/>
      <c r="UZP15" s="101"/>
      <c r="UZQ15" s="101"/>
      <c r="UZR15" s="101"/>
      <c r="UZS15" s="101"/>
      <c r="UZT15" s="101"/>
      <c r="UZU15" s="101"/>
      <c r="UZV15" s="101"/>
      <c r="UZW15" s="101"/>
      <c r="UZX15" s="101"/>
      <c r="UZY15" s="101"/>
      <c r="UZZ15" s="101"/>
      <c r="VAA15" s="101"/>
      <c r="VAB15" s="101"/>
      <c r="VAC15" s="101"/>
      <c r="VAD15" s="101"/>
      <c r="VAE15" s="101"/>
      <c r="VAF15" s="101"/>
      <c r="VAG15" s="101"/>
      <c r="VAH15" s="101"/>
      <c r="VAI15" s="101"/>
      <c r="VAJ15" s="101"/>
      <c r="VAK15" s="101"/>
      <c r="VAL15" s="101"/>
      <c r="VAM15" s="101"/>
      <c r="VAN15" s="101"/>
      <c r="VAO15" s="101"/>
      <c r="VAP15" s="101"/>
      <c r="VAQ15" s="101"/>
      <c r="VAR15" s="101"/>
      <c r="VAS15" s="101"/>
      <c r="VAT15" s="101"/>
      <c r="VAU15" s="101"/>
      <c r="VAV15" s="101"/>
      <c r="VAW15" s="101"/>
      <c r="VAX15" s="101"/>
      <c r="VAY15" s="101"/>
      <c r="VAZ15" s="101"/>
      <c r="VBA15" s="101"/>
      <c r="VBB15" s="101"/>
      <c r="VBC15" s="101"/>
      <c r="VBD15" s="101"/>
      <c r="VBE15" s="101"/>
      <c r="VBF15" s="101"/>
      <c r="VBG15" s="101"/>
      <c r="VBH15" s="101"/>
      <c r="VBI15" s="101"/>
      <c r="VBJ15" s="101"/>
      <c r="VBK15" s="101"/>
      <c r="VBL15" s="101"/>
      <c r="VBM15" s="101"/>
      <c r="VBN15" s="101"/>
      <c r="VBO15" s="101"/>
      <c r="VBP15" s="101"/>
      <c r="VBQ15" s="101"/>
      <c r="VBR15" s="101"/>
      <c r="VBS15" s="101"/>
      <c r="VBT15" s="101"/>
      <c r="VBU15" s="101"/>
      <c r="VBV15" s="101"/>
      <c r="VBW15" s="101"/>
      <c r="VBX15" s="101"/>
      <c r="VBY15" s="101"/>
      <c r="VBZ15" s="101"/>
      <c r="VCA15" s="101"/>
      <c r="VCB15" s="101"/>
      <c r="VCC15" s="101"/>
      <c r="VCD15" s="101"/>
      <c r="VCE15" s="101"/>
      <c r="VCF15" s="101"/>
      <c r="VCG15" s="101"/>
      <c r="VCH15" s="101"/>
      <c r="VCI15" s="101"/>
      <c r="VCJ15" s="101"/>
      <c r="VCK15" s="101"/>
      <c r="VCL15" s="101"/>
      <c r="VCM15" s="101"/>
      <c r="VCN15" s="101"/>
      <c r="VCO15" s="101"/>
      <c r="VCP15" s="101"/>
      <c r="VCQ15" s="101"/>
      <c r="VCR15" s="101"/>
      <c r="VCS15" s="101"/>
      <c r="VCT15" s="101"/>
      <c r="VCU15" s="101"/>
      <c r="VCV15" s="101"/>
      <c r="VCW15" s="101"/>
      <c r="VCX15" s="101"/>
      <c r="VCY15" s="101"/>
      <c r="VCZ15" s="101"/>
      <c r="VDA15" s="101"/>
      <c r="VDB15" s="101"/>
      <c r="VDC15" s="101"/>
      <c r="VDD15" s="101"/>
      <c r="VDE15" s="101"/>
      <c r="VDF15" s="101"/>
      <c r="VDG15" s="101"/>
      <c r="VDH15" s="101"/>
      <c r="VDI15" s="101"/>
      <c r="VDJ15" s="101"/>
      <c r="VDK15" s="101"/>
      <c r="VDL15" s="101"/>
      <c r="VDM15" s="101"/>
      <c r="VDN15" s="101"/>
      <c r="VDO15" s="101"/>
      <c r="VDP15" s="101"/>
      <c r="VDQ15" s="101"/>
      <c r="VDR15" s="101"/>
      <c r="VDS15" s="101"/>
      <c r="VDT15" s="101"/>
      <c r="VDU15" s="101"/>
      <c r="VDV15" s="101"/>
      <c r="VDW15" s="101"/>
      <c r="VDX15" s="101"/>
      <c r="VDY15" s="101"/>
      <c r="VDZ15" s="101"/>
      <c r="VEA15" s="101"/>
      <c r="VEB15" s="101"/>
      <c r="VEC15" s="101"/>
      <c r="VED15" s="101"/>
      <c r="VEE15" s="101"/>
      <c r="VEF15" s="101"/>
      <c r="VEG15" s="101"/>
      <c r="VEH15" s="101"/>
      <c r="VEI15" s="101"/>
      <c r="VEJ15" s="101"/>
      <c r="VEK15" s="101"/>
      <c r="VEL15" s="101"/>
      <c r="VEM15" s="101"/>
      <c r="VEN15" s="101"/>
      <c r="VEO15" s="101"/>
      <c r="VEP15" s="101"/>
      <c r="VEQ15" s="101"/>
      <c r="VER15" s="101"/>
      <c r="VES15" s="101"/>
      <c r="VET15" s="101"/>
      <c r="VEU15" s="101"/>
      <c r="VEV15" s="101"/>
      <c r="VEW15" s="101"/>
      <c r="VEX15" s="101"/>
      <c r="VEY15" s="101"/>
      <c r="VEZ15" s="101"/>
      <c r="VFA15" s="101"/>
      <c r="VFB15" s="101"/>
      <c r="VFC15" s="101"/>
      <c r="VFD15" s="101"/>
      <c r="VFE15" s="101"/>
      <c r="VFF15" s="101"/>
      <c r="VFG15" s="101"/>
      <c r="VFH15" s="101"/>
      <c r="VFI15" s="101"/>
      <c r="VFJ15" s="101"/>
      <c r="VFK15" s="101"/>
      <c r="VFL15" s="101"/>
      <c r="VFM15" s="101"/>
      <c r="VFN15" s="101"/>
      <c r="VFO15" s="101"/>
      <c r="VFP15" s="101"/>
      <c r="VFQ15" s="101"/>
      <c r="VFR15" s="101"/>
      <c r="VFS15" s="101"/>
      <c r="VFT15" s="101"/>
      <c r="VFU15" s="101"/>
      <c r="VFV15" s="101"/>
      <c r="VFW15" s="101"/>
      <c r="VFX15" s="101"/>
      <c r="VFY15" s="101"/>
      <c r="VFZ15" s="101"/>
      <c r="VGA15" s="101"/>
      <c r="VGB15" s="101"/>
      <c r="VGC15" s="101"/>
      <c r="VGD15" s="101"/>
      <c r="VGE15" s="101"/>
      <c r="VGF15" s="101"/>
      <c r="VGG15" s="101"/>
      <c r="VGH15" s="101"/>
      <c r="VGI15" s="101"/>
      <c r="VGJ15" s="101"/>
      <c r="VGK15" s="101"/>
      <c r="VGL15" s="101"/>
      <c r="VGM15" s="101"/>
      <c r="VGN15" s="101"/>
      <c r="VGO15" s="101"/>
      <c r="VGP15" s="101"/>
      <c r="VGQ15" s="101"/>
      <c r="VGR15" s="101"/>
      <c r="VGS15" s="101"/>
      <c r="VGT15" s="101"/>
      <c r="VGU15" s="101"/>
      <c r="VGV15" s="101"/>
      <c r="VGW15" s="101"/>
      <c r="VGX15" s="101"/>
      <c r="VGY15" s="101"/>
      <c r="VGZ15" s="101"/>
      <c r="VHA15" s="101"/>
      <c r="VHB15" s="101"/>
      <c r="VHC15" s="101"/>
      <c r="VHD15" s="101"/>
      <c r="VHE15" s="101"/>
      <c r="VHF15" s="101"/>
      <c r="VHG15" s="101"/>
      <c r="VHH15" s="101"/>
      <c r="VHI15" s="101"/>
      <c r="VHJ15" s="101"/>
      <c r="VHK15" s="101"/>
      <c r="VHL15" s="101"/>
      <c r="VHM15" s="101"/>
      <c r="VHN15" s="101"/>
      <c r="VHO15" s="101"/>
      <c r="VHP15" s="101"/>
      <c r="VHQ15" s="101"/>
      <c r="VHR15" s="101"/>
      <c r="VHS15" s="101"/>
      <c r="VHT15" s="101"/>
      <c r="VHU15" s="101"/>
      <c r="VHV15" s="101"/>
      <c r="VHW15" s="101"/>
      <c r="VHX15" s="101"/>
      <c r="VHY15" s="101"/>
      <c r="VHZ15" s="101"/>
      <c r="VIA15" s="101"/>
      <c r="VIB15" s="101"/>
      <c r="VIC15" s="101"/>
      <c r="VID15" s="101"/>
      <c r="VIE15" s="101"/>
      <c r="VIF15" s="101"/>
      <c r="VIG15" s="101"/>
      <c r="VIH15" s="101"/>
      <c r="VII15" s="101"/>
      <c r="VIJ15" s="101"/>
      <c r="VIK15" s="101"/>
      <c r="VIL15" s="101"/>
      <c r="VIM15" s="101"/>
      <c r="VIN15" s="101"/>
      <c r="VIO15" s="101"/>
      <c r="VIP15" s="101"/>
      <c r="VIQ15" s="101"/>
      <c r="VIR15" s="101"/>
      <c r="VIS15" s="101"/>
      <c r="VIT15" s="101"/>
      <c r="VIU15" s="101"/>
      <c r="VIV15" s="101"/>
      <c r="VIW15" s="101"/>
      <c r="VIX15" s="101"/>
      <c r="VIY15" s="101"/>
      <c r="VIZ15" s="101"/>
      <c r="VJA15" s="101"/>
      <c r="VJB15" s="101"/>
      <c r="VJC15" s="101"/>
      <c r="VJD15" s="101"/>
      <c r="VJE15" s="101"/>
      <c r="VJF15" s="101"/>
      <c r="VJG15" s="101"/>
      <c r="VJH15" s="101"/>
      <c r="VJI15" s="101"/>
      <c r="VJJ15" s="101"/>
      <c r="VJK15" s="101"/>
      <c r="VJL15" s="101"/>
      <c r="VJM15" s="101"/>
      <c r="VJN15" s="101"/>
      <c r="VJO15" s="101"/>
      <c r="VJP15" s="101"/>
      <c r="VJQ15" s="101"/>
      <c r="VJR15" s="101"/>
      <c r="VJS15" s="101"/>
      <c r="VJT15" s="101"/>
      <c r="VJU15" s="101"/>
      <c r="VJV15" s="101"/>
      <c r="VJW15" s="101"/>
      <c r="VJX15" s="101"/>
      <c r="VJY15" s="101"/>
      <c r="VJZ15" s="101"/>
      <c r="VKA15" s="101"/>
      <c r="VKB15" s="101"/>
      <c r="VKC15" s="101"/>
      <c r="VKD15" s="101"/>
      <c r="VKE15" s="101"/>
      <c r="VKF15" s="101"/>
      <c r="VKG15" s="101"/>
      <c r="VKH15" s="101"/>
      <c r="VKI15" s="101"/>
      <c r="VKJ15" s="101"/>
      <c r="VKK15" s="101"/>
      <c r="VKL15" s="101"/>
      <c r="VKM15" s="101"/>
      <c r="VKN15" s="101"/>
      <c r="VKO15" s="101"/>
      <c r="VKP15" s="101"/>
      <c r="VKQ15" s="101"/>
      <c r="VKR15" s="101"/>
      <c r="VKS15" s="101"/>
      <c r="VKT15" s="101"/>
      <c r="VKU15" s="101"/>
      <c r="VKV15" s="101"/>
      <c r="VKW15" s="101"/>
      <c r="VKX15" s="101"/>
      <c r="VKY15" s="101"/>
      <c r="VKZ15" s="101"/>
      <c r="VLA15" s="101"/>
      <c r="VLB15" s="101"/>
      <c r="VLC15" s="101"/>
      <c r="VLD15" s="101"/>
      <c r="VLE15" s="101"/>
      <c r="VLF15" s="101"/>
      <c r="VLG15" s="101"/>
      <c r="VLH15" s="101"/>
      <c r="VLI15" s="101"/>
      <c r="VLJ15" s="101"/>
      <c r="VLK15" s="101"/>
      <c r="VLL15" s="101"/>
      <c r="VLM15" s="101"/>
      <c r="VLN15" s="101"/>
      <c r="VLO15" s="101"/>
      <c r="VLP15" s="101"/>
      <c r="VLQ15" s="101"/>
      <c r="VLR15" s="101"/>
      <c r="VLS15" s="101"/>
      <c r="VLT15" s="101"/>
      <c r="VLU15" s="101"/>
      <c r="VLV15" s="101"/>
      <c r="VLW15" s="101"/>
      <c r="VLX15" s="101"/>
      <c r="VLY15" s="101"/>
      <c r="VLZ15" s="101"/>
      <c r="VMA15" s="101"/>
      <c r="VMB15" s="101"/>
      <c r="VMC15" s="101"/>
      <c r="VMD15" s="101"/>
      <c r="VME15" s="101"/>
      <c r="VMF15" s="101"/>
      <c r="VMG15" s="101"/>
      <c r="VMH15" s="101"/>
      <c r="VMI15" s="101"/>
      <c r="VMJ15" s="101"/>
      <c r="VMK15" s="101"/>
      <c r="VML15" s="101"/>
      <c r="VMM15" s="101"/>
      <c r="VMN15" s="101"/>
      <c r="VMO15" s="101"/>
      <c r="VMP15" s="101"/>
      <c r="VMQ15" s="101"/>
      <c r="VMR15" s="101"/>
      <c r="VMS15" s="101"/>
      <c r="VMT15" s="101"/>
      <c r="VMU15" s="101"/>
      <c r="VMV15" s="101"/>
      <c r="VMW15" s="101"/>
      <c r="VMX15" s="101"/>
      <c r="VMY15" s="101"/>
      <c r="VMZ15" s="101"/>
      <c r="VNA15" s="101"/>
      <c r="VNB15" s="101"/>
      <c r="VNC15" s="101"/>
      <c r="VND15" s="101"/>
      <c r="VNE15" s="101"/>
      <c r="VNF15" s="101"/>
      <c r="VNG15" s="101"/>
      <c r="VNH15" s="101"/>
      <c r="VNI15" s="101"/>
      <c r="VNJ15" s="101"/>
      <c r="VNK15" s="101"/>
      <c r="VNL15" s="101"/>
      <c r="VNM15" s="101"/>
      <c r="VNN15" s="101"/>
      <c r="VNO15" s="101"/>
      <c r="VNP15" s="101"/>
      <c r="VNQ15" s="101"/>
      <c r="VNR15" s="101"/>
      <c r="VNS15" s="101"/>
      <c r="VNT15" s="101"/>
      <c r="VNU15" s="101"/>
      <c r="VNV15" s="101"/>
      <c r="VNW15" s="101"/>
      <c r="VNX15" s="101"/>
      <c r="VNY15" s="101"/>
      <c r="VNZ15" s="101"/>
      <c r="VOA15" s="101"/>
      <c r="VOB15" s="101"/>
      <c r="VOC15" s="101"/>
      <c r="VOD15" s="101"/>
      <c r="VOE15" s="101"/>
      <c r="VOF15" s="101"/>
      <c r="VOG15" s="101"/>
      <c r="VOH15" s="101"/>
      <c r="VOI15" s="101"/>
      <c r="VOJ15" s="101"/>
      <c r="VOK15" s="101"/>
      <c r="VOL15" s="101"/>
      <c r="VOM15" s="101"/>
      <c r="VON15" s="101"/>
      <c r="VOO15" s="101"/>
      <c r="VOP15" s="101"/>
      <c r="VOQ15" s="101"/>
      <c r="VOR15" s="101"/>
      <c r="VOS15" s="101"/>
      <c r="VOT15" s="101"/>
      <c r="VOU15" s="101"/>
      <c r="VOV15" s="101"/>
      <c r="VOW15" s="101"/>
      <c r="VOX15" s="101"/>
      <c r="VOY15" s="101"/>
      <c r="VOZ15" s="101"/>
      <c r="VPA15" s="101"/>
      <c r="VPB15" s="101"/>
      <c r="VPC15" s="101"/>
      <c r="VPD15" s="101"/>
      <c r="VPE15" s="101"/>
      <c r="VPF15" s="101"/>
      <c r="VPG15" s="101"/>
      <c r="VPH15" s="101"/>
      <c r="VPI15" s="101"/>
      <c r="VPJ15" s="101"/>
      <c r="VPK15" s="101"/>
      <c r="VPL15" s="101"/>
      <c r="VPM15" s="101"/>
      <c r="VPN15" s="101"/>
      <c r="VPO15" s="101"/>
      <c r="VPP15" s="101"/>
      <c r="VPQ15" s="101"/>
      <c r="VPR15" s="101"/>
      <c r="VPS15" s="101"/>
      <c r="VPT15" s="101"/>
      <c r="VPU15" s="101"/>
      <c r="VPV15" s="101"/>
      <c r="VPW15" s="101"/>
      <c r="VPX15" s="101"/>
      <c r="VPY15" s="101"/>
      <c r="VPZ15" s="101"/>
      <c r="VQA15" s="101"/>
      <c r="VQB15" s="101"/>
      <c r="VQC15" s="101"/>
      <c r="VQD15" s="101"/>
      <c r="VQE15" s="101"/>
      <c r="VQF15" s="101"/>
      <c r="VQG15" s="101"/>
      <c r="VQH15" s="101"/>
      <c r="VQI15" s="101"/>
      <c r="VQJ15" s="101"/>
      <c r="VQK15" s="101"/>
      <c r="VQL15" s="101"/>
      <c r="VQM15" s="101"/>
      <c r="VQN15" s="101"/>
      <c r="VQO15" s="101"/>
      <c r="VQP15" s="101"/>
      <c r="VQQ15" s="101"/>
      <c r="VQR15" s="101"/>
      <c r="VQS15" s="101"/>
      <c r="VQT15" s="101"/>
      <c r="VQU15" s="101"/>
      <c r="VQV15" s="101"/>
      <c r="VQW15" s="101"/>
      <c r="VQX15" s="101"/>
      <c r="VQY15" s="101"/>
      <c r="VQZ15" s="101"/>
      <c r="VRA15" s="101"/>
      <c r="VRB15" s="101"/>
      <c r="VRC15" s="101"/>
      <c r="VRD15" s="101"/>
      <c r="VRE15" s="101"/>
      <c r="VRF15" s="101"/>
      <c r="VRG15" s="101"/>
      <c r="VRH15" s="101"/>
      <c r="VRI15" s="101"/>
      <c r="VRJ15" s="101"/>
      <c r="VRK15" s="101"/>
      <c r="VRL15" s="101"/>
      <c r="VRM15" s="101"/>
      <c r="VRN15" s="101"/>
      <c r="VRO15" s="101"/>
      <c r="VRP15" s="101"/>
      <c r="VRQ15" s="101"/>
      <c r="VRR15" s="101"/>
      <c r="VRS15" s="101"/>
      <c r="VRT15" s="101"/>
      <c r="VRU15" s="101"/>
      <c r="VRV15" s="101"/>
      <c r="VRW15" s="101"/>
      <c r="VRX15" s="101"/>
      <c r="VRY15" s="101"/>
      <c r="VRZ15" s="101"/>
      <c r="VSA15" s="101"/>
      <c r="VSB15" s="101"/>
      <c r="VSC15" s="101"/>
      <c r="VSD15" s="101"/>
      <c r="VSE15" s="101"/>
      <c r="VSF15" s="101"/>
      <c r="VSG15" s="101"/>
      <c r="VSH15" s="101"/>
      <c r="VSI15" s="101"/>
      <c r="VSJ15" s="101"/>
      <c r="VSK15" s="101"/>
      <c r="VSL15" s="101"/>
      <c r="VSM15" s="101"/>
      <c r="VSN15" s="101"/>
      <c r="VSO15" s="101"/>
      <c r="VSP15" s="101"/>
      <c r="VSQ15" s="101"/>
      <c r="VSR15" s="101"/>
      <c r="VSS15" s="101"/>
      <c r="VST15" s="101"/>
      <c r="VSU15" s="101"/>
      <c r="VSV15" s="101"/>
      <c r="VSW15" s="101"/>
      <c r="VSX15" s="101"/>
      <c r="VSY15" s="101"/>
      <c r="VSZ15" s="101"/>
      <c r="VTA15" s="101"/>
      <c r="VTB15" s="101"/>
      <c r="VTC15" s="101"/>
      <c r="VTD15" s="101"/>
      <c r="VTE15" s="101"/>
      <c r="VTF15" s="101"/>
      <c r="VTG15" s="101"/>
      <c r="VTH15" s="101"/>
      <c r="VTI15" s="101"/>
      <c r="VTJ15" s="101"/>
      <c r="VTK15" s="101"/>
      <c r="VTL15" s="101"/>
      <c r="VTM15" s="101"/>
      <c r="VTN15" s="101"/>
      <c r="VTO15" s="101"/>
      <c r="VTP15" s="101"/>
      <c r="VTQ15" s="101"/>
      <c r="VTR15" s="101"/>
      <c r="VTS15" s="101"/>
      <c r="VTT15" s="101"/>
      <c r="VTU15" s="101"/>
      <c r="VTV15" s="101"/>
      <c r="VTW15" s="101"/>
      <c r="VTX15" s="101"/>
      <c r="VTY15" s="101"/>
      <c r="VTZ15" s="101"/>
      <c r="VUA15" s="101"/>
      <c r="VUB15" s="101"/>
      <c r="VUC15" s="101"/>
      <c r="VUD15" s="101"/>
      <c r="VUE15" s="101"/>
      <c r="VUF15" s="101"/>
      <c r="VUG15" s="101"/>
      <c r="VUH15" s="101"/>
      <c r="VUI15" s="101"/>
      <c r="VUJ15" s="101"/>
      <c r="VUK15" s="101"/>
      <c r="VUL15" s="101"/>
      <c r="VUM15" s="101"/>
      <c r="VUN15" s="101"/>
      <c r="VUO15" s="101"/>
      <c r="VUP15" s="101"/>
      <c r="VUQ15" s="101"/>
      <c r="VUR15" s="101"/>
      <c r="VUS15" s="101"/>
      <c r="VUT15" s="101"/>
      <c r="VUU15" s="101"/>
      <c r="VUV15" s="101"/>
      <c r="VUW15" s="101"/>
      <c r="VUX15" s="101"/>
      <c r="VUY15" s="101"/>
      <c r="VUZ15" s="101"/>
      <c r="VVA15" s="101"/>
      <c r="VVB15" s="101"/>
      <c r="VVC15" s="101"/>
      <c r="VVD15" s="101"/>
      <c r="VVE15" s="101"/>
      <c r="VVF15" s="101"/>
      <c r="VVG15" s="101"/>
      <c r="VVH15" s="101"/>
      <c r="VVI15" s="101"/>
      <c r="VVJ15" s="101"/>
      <c r="VVK15" s="101"/>
      <c r="VVL15" s="101"/>
      <c r="VVM15" s="101"/>
      <c r="VVN15" s="101"/>
      <c r="VVO15" s="101"/>
      <c r="VVP15" s="101"/>
      <c r="VVQ15" s="101"/>
      <c r="VVR15" s="101"/>
      <c r="VVS15" s="101"/>
      <c r="VVT15" s="101"/>
      <c r="VVU15" s="101"/>
      <c r="VVV15" s="101"/>
      <c r="VVW15" s="101"/>
      <c r="VVX15" s="101"/>
      <c r="VVY15" s="101"/>
      <c r="VVZ15" s="101"/>
      <c r="VWA15" s="101"/>
      <c r="VWB15" s="101"/>
      <c r="VWC15" s="101"/>
      <c r="VWD15" s="101"/>
      <c r="VWE15" s="101"/>
      <c r="VWF15" s="101"/>
      <c r="VWG15" s="101"/>
      <c r="VWH15" s="101"/>
      <c r="VWI15" s="101"/>
      <c r="VWJ15" s="101"/>
      <c r="VWK15" s="101"/>
      <c r="VWL15" s="101"/>
      <c r="VWM15" s="101"/>
      <c r="VWN15" s="101"/>
      <c r="VWO15" s="101"/>
      <c r="VWP15" s="101"/>
      <c r="VWQ15" s="101"/>
      <c r="VWR15" s="101"/>
      <c r="VWS15" s="101"/>
      <c r="VWT15" s="101"/>
      <c r="VWU15" s="101"/>
      <c r="VWV15" s="101"/>
      <c r="VWW15" s="101"/>
      <c r="VWX15" s="101"/>
      <c r="VWY15" s="101"/>
      <c r="VWZ15" s="101"/>
      <c r="VXA15" s="101"/>
      <c r="VXB15" s="101"/>
      <c r="VXC15" s="101"/>
      <c r="VXD15" s="101"/>
      <c r="VXE15" s="101"/>
      <c r="VXF15" s="101"/>
      <c r="VXG15" s="101"/>
      <c r="VXH15" s="101"/>
      <c r="VXI15" s="101"/>
      <c r="VXJ15" s="101"/>
      <c r="VXK15" s="101"/>
      <c r="VXL15" s="101"/>
      <c r="VXM15" s="101"/>
      <c r="VXN15" s="101"/>
      <c r="VXO15" s="101"/>
      <c r="VXP15" s="101"/>
      <c r="VXQ15" s="101"/>
      <c r="VXR15" s="101"/>
      <c r="VXS15" s="101"/>
      <c r="VXT15" s="101"/>
      <c r="VXU15" s="101"/>
      <c r="VXV15" s="101"/>
      <c r="VXW15" s="101"/>
      <c r="VXX15" s="101"/>
      <c r="VXY15" s="101"/>
      <c r="VXZ15" s="101"/>
      <c r="VYA15" s="101"/>
      <c r="VYB15" s="101"/>
      <c r="VYC15" s="101"/>
      <c r="VYD15" s="101"/>
      <c r="VYE15" s="101"/>
      <c r="VYF15" s="101"/>
      <c r="VYG15" s="101"/>
      <c r="VYH15" s="101"/>
      <c r="VYI15" s="101"/>
      <c r="VYJ15" s="101"/>
      <c r="VYK15" s="101"/>
      <c r="VYL15" s="101"/>
      <c r="VYM15" s="101"/>
      <c r="VYN15" s="101"/>
      <c r="VYO15" s="101"/>
      <c r="VYP15" s="101"/>
      <c r="VYQ15" s="101"/>
      <c r="VYR15" s="101"/>
      <c r="VYS15" s="101"/>
      <c r="VYT15" s="101"/>
      <c r="VYU15" s="101"/>
      <c r="VYV15" s="101"/>
      <c r="VYW15" s="101"/>
      <c r="VYX15" s="101"/>
      <c r="VYY15" s="101"/>
      <c r="VYZ15" s="101"/>
      <c r="VZA15" s="101"/>
      <c r="VZB15" s="101"/>
      <c r="VZC15" s="101"/>
      <c r="VZD15" s="101"/>
      <c r="VZE15" s="101"/>
      <c r="VZF15" s="101"/>
      <c r="VZG15" s="101"/>
      <c r="VZH15" s="101"/>
      <c r="VZI15" s="101"/>
      <c r="VZJ15" s="101"/>
      <c r="VZK15" s="101"/>
      <c r="VZL15" s="101"/>
      <c r="VZM15" s="101"/>
      <c r="VZN15" s="101"/>
      <c r="VZO15" s="101"/>
      <c r="VZP15" s="101"/>
      <c r="VZQ15" s="101"/>
      <c r="VZR15" s="101"/>
      <c r="VZS15" s="101"/>
      <c r="VZT15" s="101"/>
      <c r="VZU15" s="101"/>
      <c r="VZV15" s="101"/>
      <c r="VZW15" s="101"/>
      <c r="VZX15" s="101"/>
      <c r="VZY15" s="101"/>
      <c r="VZZ15" s="101"/>
      <c r="WAA15" s="101"/>
      <c r="WAB15" s="101"/>
      <c r="WAC15" s="101"/>
      <c r="WAD15" s="101"/>
      <c r="WAE15" s="101"/>
      <c r="WAF15" s="101"/>
      <c r="WAG15" s="101"/>
      <c r="WAH15" s="101"/>
      <c r="WAI15" s="101"/>
      <c r="WAJ15" s="101"/>
      <c r="WAK15" s="101"/>
      <c r="WAL15" s="101"/>
      <c r="WAM15" s="101"/>
      <c r="WAN15" s="101"/>
      <c r="WAO15" s="101"/>
      <c r="WAP15" s="101"/>
      <c r="WAQ15" s="101"/>
      <c r="WAR15" s="101"/>
      <c r="WAS15" s="101"/>
      <c r="WAT15" s="101"/>
      <c r="WAU15" s="101"/>
      <c r="WAV15" s="101"/>
      <c r="WAW15" s="101"/>
      <c r="WAX15" s="101"/>
      <c r="WAY15" s="101"/>
      <c r="WAZ15" s="101"/>
      <c r="WBA15" s="101"/>
      <c r="WBB15" s="101"/>
      <c r="WBC15" s="101"/>
      <c r="WBD15" s="101"/>
      <c r="WBE15" s="101"/>
      <c r="WBF15" s="101"/>
      <c r="WBG15" s="101"/>
      <c r="WBH15" s="101"/>
      <c r="WBI15" s="101"/>
      <c r="WBJ15" s="101"/>
      <c r="WBK15" s="101"/>
      <c r="WBL15" s="101"/>
      <c r="WBM15" s="101"/>
      <c r="WBN15" s="101"/>
      <c r="WBO15" s="101"/>
      <c r="WBP15" s="101"/>
      <c r="WBQ15" s="101"/>
      <c r="WBR15" s="101"/>
      <c r="WBS15" s="101"/>
      <c r="WBT15" s="101"/>
      <c r="WBU15" s="101"/>
      <c r="WBV15" s="101"/>
      <c r="WBW15" s="101"/>
      <c r="WBX15" s="101"/>
      <c r="WBY15" s="101"/>
      <c r="WBZ15" s="101"/>
      <c r="WCA15" s="101"/>
      <c r="WCB15" s="101"/>
      <c r="WCC15" s="101"/>
      <c r="WCD15" s="101"/>
      <c r="WCE15" s="101"/>
      <c r="WCF15" s="101"/>
      <c r="WCG15" s="101"/>
      <c r="WCH15" s="101"/>
      <c r="WCI15" s="101"/>
      <c r="WCJ15" s="101"/>
      <c r="WCK15" s="101"/>
      <c r="WCL15" s="101"/>
      <c r="WCM15" s="101"/>
      <c r="WCN15" s="101"/>
      <c r="WCO15" s="101"/>
      <c r="WCP15" s="101"/>
      <c r="WCQ15" s="101"/>
      <c r="WCR15" s="101"/>
      <c r="WCS15" s="101"/>
      <c r="WCT15" s="101"/>
      <c r="WCU15" s="101"/>
      <c r="WCV15" s="101"/>
      <c r="WCW15" s="101"/>
      <c r="WCX15" s="101"/>
      <c r="WCY15" s="101"/>
      <c r="WCZ15" s="101"/>
      <c r="WDA15" s="101"/>
      <c r="WDB15" s="101"/>
      <c r="WDC15" s="101"/>
      <c r="WDD15" s="101"/>
      <c r="WDE15" s="101"/>
      <c r="WDF15" s="101"/>
      <c r="WDG15" s="101"/>
      <c r="WDH15" s="101"/>
      <c r="WDI15" s="101"/>
      <c r="WDJ15" s="101"/>
      <c r="WDK15" s="101"/>
      <c r="WDL15" s="101"/>
      <c r="WDM15" s="101"/>
      <c r="WDN15" s="101"/>
      <c r="WDO15" s="101"/>
      <c r="WDP15" s="101"/>
      <c r="WDQ15" s="101"/>
      <c r="WDR15" s="101"/>
      <c r="WDS15" s="101"/>
      <c r="WDT15" s="101"/>
      <c r="WDU15" s="101"/>
      <c r="WDV15" s="101"/>
      <c r="WDW15" s="101"/>
      <c r="WDX15" s="101"/>
      <c r="WDY15" s="101"/>
      <c r="WDZ15" s="101"/>
      <c r="WEA15" s="101"/>
      <c r="WEB15" s="101"/>
      <c r="WEC15" s="101"/>
      <c r="WED15" s="101"/>
      <c r="WEE15" s="101"/>
      <c r="WEF15" s="101"/>
      <c r="WEG15" s="101"/>
      <c r="WEH15" s="101"/>
      <c r="WEI15" s="101"/>
      <c r="WEJ15" s="101"/>
      <c r="WEK15" s="101"/>
      <c r="WEL15" s="101"/>
      <c r="WEM15" s="101"/>
      <c r="WEN15" s="101"/>
      <c r="WEO15" s="101"/>
      <c r="WEP15" s="101"/>
      <c r="WEQ15" s="101"/>
      <c r="WER15" s="101"/>
      <c r="WES15" s="101"/>
      <c r="WET15" s="101"/>
      <c r="WEU15" s="101"/>
      <c r="WEV15" s="101"/>
      <c r="WEW15" s="101"/>
      <c r="WEX15" s="101"/>
      <c r="WEY15" s="101"/>
      <c r="WEZ15" s="101"/>
      <c r="WFA15" s="101"/>
      <c r="WFB15" s="101"/>
      <c r="WFC15" s="101"/>
      <c r="WFD15" s="101"/>
      <c r="WFE15" s="101"/>
      <c r="WFF15" s="101"/>
      <c r="WFG15" s="101"/>
      <c r="WFH15" s="101"/>
      <c r="WFI15" s="101"/>
      <c r="WFJ15" s="101"/>
      <c r="WFK15" s="101"/>
      <c r="WFL15" s="101"/>
      <c r="WFM15" s="101"/>
      <c r="WFN15" s="101"/>
      <c r="WFO15" s="101"/>
      <c r="WFP15" s="101"/>
      <c r="WFQ15" s="101"/>
      <c r="WFR15" s="101"/>
      <c r="WFS15" s="101"/>
      <c r="WFT15" s="101"/>
      <c r="WFU15" s="101"/>
      <c r="WFV15" s="101"/>
      <c r="WFW15" s="101"/>
      <c r="WFX15" s="101"/>
      <c r="WFY15" s="101"/>
      <c r="WFZ15" s="101"/>
      <c r="WGA15" s="101"/>
      <c r="WGB15" s="101"/>
      <c r="WGC15" s="101"/>
      <c r="WGD15" s="101"/>
      <c r="WGE15" s="101"/>
      <c r="WGF15" s="101"/>
      <c r="WGG15" s="101"/>
      <c r="WGH15" s="101"/>
      <c r="WGI15" s="101"/>
      <c r="WGJ15" s="101"/>
      <c r="WGK15" s="101"/>
      <c r="WGL15" s="101"/>
      <c r="WGM15" s="101"/>
      <c r="WGN15" s="101"/>
      <c r="WGO15" s="101"/>
      <c r="WGP15" s="101"/>
      <c r="WGQ15" s="101"/>
      <c r="WGR15" s="101"/>
      <c r="WGS15" s="101"/>
      <c r="WGT15" s="101"/>
      <c r="WGU15" s="101"/>
      <c r="WGV15" s="101"/>
      <c r="WGW15" s="101"/>
      <c r="WGX15" s="101"/>
      <c r="WGY15" s="101"/>
      <c r="WGZ15" s="101"/>
      <c r="WHA15" s="101"/>
      <c r="WHB15" s="101"/>
      <c r="WHC15" s="101"/>
      <c r="WHD15" s="101"/>
      <c r="WHE15" s="101"/>
      <c r="WHF15" s="101"/>
      <c r="WHG15" s="101"/>
      <c r="WHH15" s="101"/>
      <c r="WHI15" s="101"/>
      <c r="WHJ15" s="101"/>
      <c r="WHK15" s="101"/>
      <c r="WHL15" s="101"/>
      <c r="WHM15" s="101"/>
      <c r="WHN15" s="101"/>
      <c r="WHO15" s="101"/>
      <c r="WHP15" s="101"/>
      <c r="WHQ15" s="101"/>
      <c r="WHR15" s="101"/>
      <c r="WHS15" s="101"/>
      <c r="WHT15" s="101"/>
      <c r="WHU15" s="101"/>
      <c r="WHV15" s="101"/>
      <c r="WHW15" s="101"/>
      <c r="WHX15" s="101"/>
      <c r="WHY15" s="101"/>
      <c r="WHZ15" s="101"/>
      <c r="WIA15" s="101"/>
      <c r="WIB15" s="101"/>
      <c r="WIC15" s="101"/>
      <c r="WID15" s="101"/>
      <c r="WIE15" s="101"/>
      <c r="WIF15" s="101"/>
      <c r="WIG15" s="101"/>
      <c r="WIH15" s="101"/>
      <c r="WII15" s="101"/>
      <c r="WIJ15" s="101"/>
      <c r="WIK15" s="101"/>
      <c r="WIL15" s="101"/>
      <c r="WIM15" s="101"/>
      <c r="WIN15" s="101"/>
      <c r="WIO15" s="101"/>
      <c r="WIP15" s="101"/>
      <c r="WIQ15" s="101"/>
      <c r="WIR15" s="101"/>
      <c r="WIS15" s="101"/>
      <c r="WIT15" s="101"/>
      <c r="WIU15" s="101"/>
      <c r="WIV15" s="101"/>
      <c r="WIW15" s="101"/>
      <c r="WIX15" s="101"/>
      <c r="WIY15" s="101"/>
      <c r="WIZ15" s="101"/>
      <c r="WJA15" s="101"/>
      <c r="WJB15" s="101"/>
      <c r="WJC15" s="101"/>
      <c r="WJD15" s="101"/>
      <c r="WJE15" s="101"/>
      <c r="WJF15" s="101"/>
      <c r="WJG15" s="101"/>
      <c r="WJH15" s="101"/>
      <c r="WJI15" s="101"/>
      <c r="WJJ15" s="101"/>
      <c r="WJK15" s="101"/>
      <c r="WJL15" s="101"/>
      <c r="WJM15" s="101"/>
      <c r="WJN15" s="101"/>
      <c r="WJO15" s="101"/>
      <c r="WJP15" s="101"/>
      <c r="WJQ15" s="101"/>
      <c r="WJR15" s="101"/>
      <c r="WJS15" s="101"/>
      <c r="WJT15" s="101"/>
      <c r="WJU15" s="101"/>
      <c r="WJV15" s="101"/>
      <c r="WJW15" s="101"/>
      <c r="WJX15" s="101"/>
      <c r="WJY15" s="101"/>
      <c r="WJZ15" s="101"/>
      <c r="WKA15" s="101"/>
      <c r="WKB15" s="101"/>
      <c r="WKC15" s="101"/>
      <c r="WKD15" s="101"/>
      <c r="WKE15" s="101"/>
      <c r="WKF15" s="101"/>
      <c r="WKG15" s="101"/>
      <c r="WKH15" s="101"/>
      <c r="WKI15" s="101"/>
      <c r="WKJ15" s="101"/>
      <c r="WKK15" s="101"/>
      <c r="WKL15" s="101"/>
      <c r="WKM15" s="101"/>
      <c r="WKN15" s="101"/>
      <c r="WKO15" s="101"/>
      <c r="WKP15" s="101"/>
      <c r="WKQ15" s="101"/>
      <c r="WKR15" s="101"/>
      <c r="WKS15" s="101"/>
      <c r="WKT15" s="101"/>
      <c r="WKU15" s="101"/>
      <c r="WKV15" s="101"/>
      <c r="WKW15" s="101"/>
      <c r="WKX15" s="101"/>
      <c r="WKY15" s="101"/>
      <c r="WKZ15" s="101"/>
      <c r="WLA15" s="101"/>
      <c r="WLB15" s="101"/>
      <c r="WLC15" s="101"/>
      <c r="WLD15" s="101"/>
      <c r="WLE15" s="101"/>
      <c r="WLF15" s="101"/>
      <c r="WLG15" s="101"/>
      <c r="WLH15" s="101"/>
      <c r="WLI15" s="101"/>
      <c r="WLJ15" s="101"/>
      <c r="WLK15" s="101"/>
      <c r="WLL15" s="101"/>
      <c r="WLM15" s="101"/>
      <c r="WLN15" s="101"/>
      <c r="WLO15" s="101"/>
      <c r="WLP15" s="101"/>
      <c r="WLQ15" s="101"/>
      <c r="WLR15" s="101"/>
      <c r="WLS15" s="101"/>
      <c r="WLT15" s="101"/>
      <c r="WLU15" s="101"/>
      <c r="WLV15" s="101"/>
      <c r="WLW15" s="101"/>
      <c r="WLX15" s="101"/>
      <c r="WLY15" s="101"/>
      <c r="WLZ15" s="101"/>
      <c r="WMA15" s="101"/>
      <c r="WMB15" s="101"/>
      <c r="WMC15" s="101"/>
      <c r="WMD15" s="101"/>
      <c r="WME15" s="101"/>
      <c r="WMF15" s="101"/>
      <c r="WMG15" s="101"/>
      <c r="WMH15" s="101"/>
      <c r="WMI15" s="101"/>
      <c r="WMJ15" s="101"/>
      <c r="WMK15" s="101"/>
      <c r="WML15" s="101"/>
      <c r="WMM15" s="101"/>
      <c r="WMN15" s="101"/>
      <c r="WMO15" s="101"/>
      <c r="WMP15" s="101"/>
      <c r="WMQ15" s="101"/>
      <c r="WMR15" s="101"/>
      <c r="WMS15" s="101"/>
      <c r="WMT15" s="101"/>
      <c r="WMU15" s="101"/>
      <c r="WMV15" s="101"/>
      <c r="WMW15" s="101"/>
      <c r="WMX15" s="101"/>
      <c r="WMY15" s="101"/>
      <c r="WMZ15" s="101"/>
      <c r="WNA15" s="101"/>
      <c r="WNB15" s="101"/>
      <c r="WNC15" s="101"/>
      <c r="WND15" s="101"/>
      <c r="WNE15" s="101"/>
      <c r="WNF15" s="101"/>
      <c r="WNG15" s="101"/>
      <c r="WNH15" s="101"/>
      <c r="WNI15" s="101"/>
      <c r="WNJ15" s="101"/>
      <c r="WNK15" s="101"/>
      <c r="WNL15" s="101"/>
      <c r="WNM15" s="101"/>
      <c r="WNN15" s="101"/>
      <c r="WNO15" s="101"/>
      <c r="WNP15" s="101"/>
      <c r="WNQ15" s="101"/>
      <c r="WNR15" s="101"/>
      <c r="WNS15" s="101"/>
      <c r="WNT15" s="101"/>
      <c r="WNU15" s="101"/>
      <c r="WNV15" s="101"/>
      <c r="WNW15" s="101"/>
      <c r="WNX15" s="101"/>
      <c r="WNY15" s="101"/>
      <c r="WNZ15" s="101"/>
      <c r="WOA15" s="101"/>
      <c r="WOB15" s="101"/>
      <c r="WOC15" s="101"/>
      <c r="WOD15" s="101"/>
      <c r="WOE15" s="101"/>
      <c r="WOF15" s="101"/>
      <c r="WOG15" s="101"/>
      <c r="WOH15" s="101"/>
      <c r="WOI15" s="101"/>
      <c r="WOJ15" s="101"/>
      <c r="WOK15" s="101"/>
      <c r="WOL15" s="101"/>
      <c r="WOM15" s="101"/>
      <c r="WON15" s="101"/>
      <c r="WOO15" s="101"/>
      <c r="WOP15" s="101"/>
      <c r="WOQ15" s="101"/>
      <c r="WOR15" s="101"/>
      <c r="WOS15" s="101"/>
      <c r="WOT15" s="101"/>
      <c r="WOU15" s="101"/>
      <c r="WOV15" s="101"/>
      <c r="WOW15" s="101"/>
      <c r="WOX15" s="101"/>
      <c r="WOY15" s="101"/>
      <c r="WOZ15" s="101"/>
      <c r="WPA15" s="101"/>
      <c r="WPB15" s="101"/>
      <c r="WPC15" s="101"/>
      <c r="WPD15" s="101"/>
      <c r="WPE15" s="101"/>
      <c r="WPF15" s="101"/>
      <c r="WPG15" s="101"/>
      <c r="WPH15" s="101"/>
      <c r="WPI15" s="101"/>
      <c r="WPJ15" s="101"/>
      <c r="WPK15" s="101"/>
      <c r="WPL15" s="101"/>
      <c r="WPM15" s="101"/>
      <c r="WPN15" s="101"/>
      <c r="WPO15" s="101"/>
      <c r="WPP15" s="101"/>
      <c r="WPQ15" s="101"/>
      <c r="WPR15" s="101"/>
      <c r="WPS15" s="101"/>
      <c r="WPT15" s="101"/>
      <c r="WPU15" s="101"/>
      <c r="WPV15" s="101"/>
      <c r="WPW15" s="101"/>
      <c r="WPX15" s="101"/>
      <c r="WPY15" s="101"/>
      <c r="WPZ15" s="101"/>
      <c r="WQA15" s="101"/>
      <c r="WQB15" s="101"/>
      <c r="WQC15" s="101"/>
      <c r="WQD15" s="101"/>
      <c r="WQE15" s="101"/>
      <c r="WQF15" s="101"/>
      <c r="WQG15" s="101"/>
      <c r="WQH15" s="101"/>
      <c r="WQI15" s="101"/>
      <c r="WQJ15" s="101"/>
      <c r="WQK15" s="101"/>
      <c r="WQL15" s="101"/>
      <c r="WQM15" s="101"/>
      <c r="WQN15" s="101"/>
      <c r="WQO15" s="101"/>
      <c r="WQP15" s="101"/>
      <c r="WQQ15" s="101"/>
      <c r="WQR15" s="101"/>
      <c r="WQS15" s="101"/>
      <c r="WQT15" s="101"/>
      <c r="WQU15" s="101"/>
      <c r="WQV15" s="101"/>
      <c r="WQW15" s="101"/>
      <c r="WQX15" s="101"/>
      <c r="WQY15" s="101"/>
      <c r="WQZ15" s="101"/>
      <c r="WRA15" s="101"/>
      <c r="WRB15" s="101"/>
      <c r="WRC15" s="101"/>
      <c r="WRD15" s="101"/>
      <c r="WRE15" s="101"/>
      <c r="WRF15" s="101"/>
      <c r="WRG15" s="101"/>
      <c r="WRH15" s="101"/>
      <c r="WRI15" s="101"/>
      <c r="WRJ15" s="101"/>
      <c r="WRK15" s="101"/>
      <c r="WRL15" s="101"/>
      <c r="WRM15" s="101"/>
      <c r="WRN15" s="101"/>
      <c r="WRO15" s="101"/>
      <c r="WRP15" s="101"/>
      <c r="WRQ15" s="101"/>
      <c r="WRR15" s="101"/>
      <c r="WRS15" s="101"/>
      <c r="WRT15" s="101"/>
      <c r="WRU15" s="101"/>
      <c r="WRV15" s="101"/>
      <c r="WRW15" s="101"/>
      <c r="WRX15" s="101"/>
      <c r="WRY15" s="101"/>
      <c r="WRZ15" s="101"/>
      <c r="WSA15" s="101"/>
      <c r="WSB15" s="101"/>
      <c r="WSC15" s="101"/>
      <c r="WSD15" s="101"/>
      <c r="WSE15" s="101"/>
      <c r="WSF15" s="101"/>
      <c r="WSG15" s="101"/>
      <c r="WSH15" s="101"/>
      <c r="WSI15" s="101"/>
      <c r="WSJ15" s="101"/>
      <c r="WSK15" s="101"/>
      <c r="WSL15" s="101"/>
      <c r="WSM15" s="101"/>
      <c r="WSN15" s="101"/>
      <c r="WSO15" s="101"/>
      <c r="WSP15" s="101"/>
      <c r="WSQ15" s="101"/>
      <c r="WSR15" s="101"/>
      <c r="WSS15" s="101"/>
      <c r="WST15" s="101"/>
      <c r="WSU15" s="101"/>
      <c r="WSV15" s="101"/>
      <c r="WSW15" s="101"/>
      <c r="WSX15" s="101"/>
      <c r="WSY15" s="101"/>
      <c r="WSZ15" s="101"/>
      <c r="WTA15" s="101"/>
      <c r="WTB15" s="101"/>
      <c r="WTC15" s="101"/>
      <c r="WTD15" s="101"/>
      <c r="WTE15" s="101"/>
      <c r="WTF15" s="101"/>
      <c r="WTG15" s="101"/>
      <c r="WTH15" s="101"/>
      <c r="WTI15" s="101"/>
      <c r="WTJ15" s="101"/>
      <c r="WTK15" s="101"/>
      <c r="WTL15" s="101"/>
      <c r="WTM15" s="101"/>
      <c r="WTN15" s="101"/>
      <c r="WTO15" s="101"/>
      <c r="WTP15" s="101"/>
      <c r="WTQ15" s="101"/>
      <c r="WTR15" s="101"/>
      <c r="WTS15" s="101"/>
      <c r="WTT15" s="101"/>
      <c r="WTU15" s="101"/>
      <c r="WTV15" s="101"/>
      <c r="WTW15" s="101"/>
      <c r="WTX15" s="101"/>
      <c r="WTY15" s="101"/>
      <c r="WTZ15" s="101"/>
      <c r="WUA15" s="101"/>
      <c r="WUB15" s="101"/>
      <c r="WUC15" s="101"/>
      <c r="WUD15" s="101"/>
      <c r="WUE15" s="101"/>
      <c r="WUF15" s="101"/>
      <c r="WUG15" s="101"/>
      <c r="WUH15" s="101"/>
      <c r="WUI15" s="101"/>
      <c r="WUJ15" s="101"/>
      <c r="WUK15" s="101"/>
      <c r="WUL15" s="101"/>
      <c r="WUM15" s="101"/>
      <c r="WUN15" s="101"/>
      <c r="WUO15" s="101"/>
      <c r="WUP15" s="101"/>
      <c r="WUQ15" s="101"/>
      <c r="WUR15" s="101"/>
      <c r="WUS15" s="101"/>
      <c r="WUT15" s="101"/>
      <c r="WUU15" s="101"/>
      <c r="WUV15" s="101"/>
      <c r="WUW15" s="101"/>
      <c r="WUX15" s="101"/>
      <c r="WUY15" s="101"/>
      <c r="WUZ15" s="101"/>
      <c r="WVA15" s="101"/>
      <c r="WVB15" s="101"/>
      <c r="WVC15" s="101"/>
      <c r="WVD15" s="101"/>
      <c r="WVE15" s="101"/>
      <c r="WVF15" s="101"/>
      <c r="WVG15" s="101"/>
      <c r="WVH15" s="101"/>
      <c r="WVI15" s="101"/>
      <c r="WVJ15" s="101"/>
      <c r="WVK15" s="101"/>
      <c r="WVL15" s="101"/>
      <c r="WVM15" s="101"/>
      <c r="WVN15" s="101"/>
      <c r="WVO15" s="101"/>
      <c r="WVP15" s="101"/>
      <c r="WVQ15" s="101"/>
      <c r="WVR15" s="101"/>
      <c r="WVS15" s="101"/>
      <c r="WVT15" s="101"/>
      <c r="WVU15" s="101"/>
      <c r="WVV15" s="101"/>
      <c r="WVW15" s="101"/>
      <c r="WVX15" s="101"/>
      <c r="WVY15" s="101"/>
      <c r="WVZ15" s="101"/>
      <c r="WWA15" s="101"/>
      <c r="WWB15" s="101"/>
      <c r="WWC15" s="101"/>
      <c r="WWD15" s="101"/>
      <c r="WWE15" s="101"/>
      <c r="WWF15" s="101"/>
      <c r="WWG15" s="101"/>
      <c r="WWH15" s="101"/>
      <c r="WWI15" s="101"/>
      <c r="WWJ15" s="101"/>
      <c r="WWK15" s="101"/>
      <c r="WWL15" s="101"/>
      <c r="WWM15" s="101"/>
      <c r="WWN15" s="101"/>
      <c r="WWO15" s="101"/>
      <c r="WWP15" s="101"/>
      <c r="WWQ15" s="101"/>
      <c r="WWR15" s="101"/>
      <c r="WWS15" s="101"/>
      <c r="WWT15" s="101"/>
      <c r="WWU15" s="101"/>
      <c r="WWV15" s="101"/>
      <c r="WWW15" s="101"/>
      <c r="WWX15" s="101"/>
      <c r="WWY15" s="101"/>
      <c r="WWZ15" s="101"/>
      <c r="WXA15" s="101"/>
      <c r="WXB15" s="101"/>
      <c r="WXC15" s="101"/>
      <c r="WXD15" s="101"/>
      <c r="WXE15" s="101"/>
      <c r="WXF15" s="101"/>
      <c r="WXG15" s="101"/>
      <c r="WXH15" s="101"/>
      <c r="WXI15" s="101"/>
      <c r="WXJ15" s="101"/>
      <c r="WXK15" s="101"/>
      <c r="WXL15" s="101"/>
      <c r="WXM15" s="101"/>
      <c r="WXN15" s="101"/>
      <c r="WXO15" s="101"/>
      <c r="WXP15" s="101"/>
      <c r="WXQ15" s="101"/>
      <c r="WXR15" s="101"/>
      <c r="WXS15" s="101"/>
      <c r="WXT15" s="101"/>
      <c r="WXU15" s="101"/>
      <c r="WXV15" s="101"/>
      <c r="WXW15" s="101"/>
      <c r="WXX15" s="101"/>
      <c r="WXY15" s="101"/>
      <c r="WXZ15" s="101"/>
      <c r="WYA15" s="101"/>
      <c r="WYB15" s="101"/>
      <c r="WYC15" s="101"/>
      <c r="WYD15" s="101"/>
      <c r="WYE15" s="101"/>
      <c r="WYF15" s="101"/>
      <c r="WYG15" s="101"/>
      <c r="WYH15" s="101"/>
      <c r="WYI15" s="101"/>
      <c r="WYJ15" s="101"/>
      <c r="WYK15" s="101"/>
      <c r="WYL15" s="101"/>
      <c r="WYM15" s="101"/>
      <c r="WYN15" s="101"/>
      <c r="WYO15" s="101"/>
      <c r="WYP15" s="101"/>
      <c r="WYQ15" s="101"/>
      <c r="WYR15" s="101"/>
      <c r="WYS15" s="101"/>
      <c r="WYT15" s="101"/>
      <c r="WYU15" s="101"/>
      <c r="WYV15" s="101"/>
      <c r="WYW15" s="101"/>
      <c r="WYX15" s="101"/>
      <c r="WYY15" s="101"/>
      <c r="WYZ15" s="101"/>
      <c r="WZA15" s="101"/>
      <c r="WZB15" s="101"/>
      <c r="WZC15" s="101"/>
      <c r="WZD15" s="101"/>
      <c r="WZE15" s="101"/>
      <c r="WZF15" s="101"/>
      <c r="WZG15" s="101"/>
      <c r="WZH15" s="101"/>
      <c r="WZI15" s="101"/>
      <c r="WZJ15" s="101"/>
      <c r="WZK15" s="101"/>
      <c r="WZL15" s="101"/>
      <c r="WZM15" s="101"/>
      <c r="WZN15" s="101"/>
      <c r="WZO15" s="101"/>
      <c r="WZP15" s="101"/>
      <c r="WZQ15" s="101"/>
      <c r="WZR15" s="101"/>
      <c r="WZS15" s="101"/>
      <c r="WZT15" s="101"/>
      <c r="WZU15" s="101"/>
      <c r="WZV15" s="101"/>
      <c r="WZW15" s="101"/>
      <c r="WZX15" s="101"/>
      <c r="WZY15" s="101"/>
      <c r="WZZ15" s="101"/>
      <c r="XAA15" s="101"/>
      <c r="XAB15" s="101"/>
      <c r="XAC15" s="101"/>
      <c r="XAD15" s="101"/>
      <c r="XAE15" s="101"/>
      <c r="XAF15" s="101"/>
      <c r="XAG15" s="101"/>
      <c r="XAH15" s="101"/>
      <c r="XAI15" s="101"/>
      <c r="XAJ15" s="101"/>
      <c r="XAK15" s="101"/>
      <c r="XAL15" s="101"/>
      <c r="XAM15" s="101"/>
      <c r="XAN15" s="101"/>
      <c r="XAO15" s="101"/>
      <c r="XAP15" s="101"/>
      <c r="XAQ15" s="101"/>
      <c r="XAR15" s="101"/>
      <c r="XAS15" s="101"/>
      <c r="XAT15" s="101"/>
      <c r="XAU15" s="101"/>
      <c r="XAV15" s="101"/>
      <c r="XAW15" s="101"/>
      <c r="XAX15" s="101"/>
      <c r="XAY15" s="101"/>
      <c r="XAZ15" s="101"/>
      <c r="XBA15" s="101"/>
      <c r="XBB15" s="101"/>
      <c r="XBC15" s="101"/>
      <c r="XBD15" s="101"/>
      <c r="XBE15" s="101"/>
      <c r="XBF15" s="101"/>
      <c r="XBG15" s="101"/>
      <c r="XBH15" s="101"/>
      <c r="XBI15" s="101"/>
      <c r="XBJ15" s="101"/>
      <c r="XBK15" s="101"/>
      <c r="XBL15" s="101"/>
      <c r="XBM15" s="101"/>
      <c r="XBN15" s="101"/>
      <c r="XBO15" s="101"/>
      <c r="XBP15" s="101"/>
      <c r="XBQ15" s="101"/>
      <c r="XBR15" s="101"/>
      <c r="XBS15" s="101"/>
      <c r="XBT15" s="101"/>
      <c r="XBU15" s="101"/>
      <c r="XBV15" s="101"/>
      <c r="XBW15" s="101"/>
      <c r="XBX15" s="101"/>
      <c r="XBY15" s="101"/>
      <c r="XBZ15" s="101"/>
      <c r="XCA15" s="101"/>
      <c r="XCB15" s="101"/>
      <c r="XCC15" s="101"/>
      <c r="XCD15" s="101"/>
      <c r="XCE15" s="101"/>
      <c r="XCF15" s="101"/>
      <c r="XCG15" s="101"/>
      <c r="XCH15" s="101"/>
      <c r="XCI15" s="101"/>
      <c r="XCJ15" s="101"/>
      <c r="XCK15" s="101"/>
      <c r="XCL15" s="101"/>
      <c r="XCM15" s="101"/>
      <c r="XCN15" s="101"/>
      <c r="XCO15" s="101"/>
      <c r="XCP15" s="101"/>
      <c r="XCQ15" s="101"/>
      <c r="XCR15" s="101"/>
      <c r="XCS15" s="101"/>
      <c r="XCT15" s="101"/>
      <c r="XCU15" s="101"/>
      <c r="XCV15" s="101"/>
      <c r="XCW15" s="101"/>
      <c r="XCX15" s="101"/>
      <c r="XCY15" s="101"/>
      <c r="XCZ15" s="101"/>
      <c r="XDA15" s="101"/>
      <c r="XDB15" s="101"/>
      <c r="XDC15" s="101"/>
      <c r="XDD15" s="101"/>
      <c r="XDE15" s="101"/>
      <c r="XDF15" s="101"/>
      <c r="XDG15" s="101"/>
      <c r="XDH15" s="101"/>
      <c r="XDI15" s="101"/>
      <c r="XDJ15" s="101"/>
      <c r="XDK15" s="101"/>
      <c r="XDL15" s="101"/>
      <c r="XDM15" s="101"/>
      <c r="XDN15" s="101"/>
      <c r="XDO15" s="101"/>
      <c r="XDP15" s="101"/>
      <c r="XDQ15" s="101"/>
      <c r="XDR15" s="101"/>
      <c r="XDS15" s="101"/>
      <c r="XDT15" s="101"/>
      <c r="XDU15" s="101"/>
      <c r="XDV15" s="101"/>
      <c r="XDW15" s="101"/>
      <c r="XDX15" s="101"/>
      <c r="XDY15" s="101"/>
      <c r="XDZ15" s="101"/>
      <c r="XEA15" s="101"/>
      <c r="XEB15" s="101"/>
      <c r="XEC15" s="101"/>
      <c r="XED15" s="101"/>
      <c r="XEE15" s="101"/>
      <c r="XEF15" s="101"/>
      <c r="XEG15" s="101"/>
      <c r="XEH15" s="101"/>
      <c r="XEI15" s="101"/>
      <c r="XEJ15" s="101"/>
      <c r="XEK15" s="101"/>
      <c r="XEL15" s="101"/>
      <c r="XEM15" s="101"/>
      <c r="XEN15" s="101"/>
      <c r="XEO15" s="101"/>
      <c r="XEP15" s="101"/>
      <c r="XEQ15" s="101"/>
      <c r="XER15" s="101"/>
      <c r="XES15" s="101"/>
      <c r="XET15" s="101"/>
      <c r="XEU15" s="101"/>
      <c r="XEV15" s="101"/>
      <c r="XEW15" s="101"/>
      <c r="XEX15" s="101"/>
      <c r="XEY15" s="101"/>
      <c r="XEZ15" s="101"/>
      <c r="XFA15" s="101"/>
      <c r="XFB15" s="101"/>
      <c r="XFC15" s="101"/>
      <c r="XFD15" s="101"/>
    </row>
    <row r="16" spans="1:10 14639:16384" ht="36.75" customHeight="1">
      <c r="A16" s="146" t="s">
        <v>65</v>
      </c>
      <c r="B16" s="161" t="s">
        <v>66</v>
      </c>
      <c r="C16" s="123" t="s">
        <v>67</v>
      </c>
      <c r="D16" s="69">
        <v>1</v>
      </c>
      <c r="E16" s="31">
        <f>SUMIF(Entrada[CODIGO],Inventari_2[[#This Row],[CODIGO]],Entrada[CANTIDAD])</f>
        <v>0</v>
      </c>
      <c r="F16" s="32">
        <f>SUMIF(Salidas[[CODIGO ]],Inventari_2[[#This Row],[CODIGO]],Salidas[CANTIDAD])</f>
        <v>1</v>
      </c>
      <c r="G16" s="23">
        <f>Inventari_2[[#This Row],[STOCK DE LLEGADA]]+Inventari_2[[#This Row],[ENTRADA ]]-Inventari_2[[#This Row],[SALIDA]]</f>
        <v>0</v>
      </c>
      <c r="H16" s="13">
        <f>VLOOKUP(Inventari_2[[#This Row],[CODIGO]],Inventario[#All],9,FALSE)</f>
        <v>7000</v>
      </c>
      <c r="I16" s="13" t="str">
        <f>"*"&amp;Inventari_2[[#This Row],[CODIGO]]&amp;"*"</f>
        <v>*JUGUE-22004*</v>
      </c>
      <c r="J16" s="34" t="str">
        <f>Inventari_2[[#This Row],[COD]]</f>
        <v>*JUGUE-22004*</v>
      </c>
    </row>
    <row r="17" spans="1:10" ht="36.75" customHeight="1">
      <c r="A17" s="87">
        <v>6932431332914</v>
      </c>
      <c r="B17" s="142" t="s">
        <v>72</v>
      </c>
      <c r="C17" s="123" t="s">
        <v>25</v>
      </c>
      <c r="D17" s="125" t="s">
        <v>781</v>
      </c>
      <c r="E17" s="31">
        <f>SUMIF(Entrada[CODIGO],Inventari_2[[#This Row],[CODIGO]],Entrada[CANTIDAD])</f>
        <v>0</v>
      </c>
      <c r="F17" s="32">
        <f>SUMIF(Salidas[[CODIGO ]],Inventari_2[[#This Row],[CODIGO]],Salidas[CANTIDAD])</f>
        <v>0</v>
      </c>
      <c r="G17" s="23">
        <f>Inventari_2[[#This Row],[STOCK DE LLEGADA]]+Inventari_2[[#This Row],[ENTRADA ]]-Inventari_2[[#This Row],[SALIDA]]</f>
        <v>1</v>
      </c>
      <c r="H17" s="13" t="e">
        <f>VLOOKUP(Inventari_2[[#This Row],[CODIGO]],Inventario[#All],9,FALSE)</f>
        <v>#N/A</v>
      </c>
      <c r="I17" s="13" t="str">
        <f>"*"&amp;Inventari_2[[#This Row],[CODIGO]]&amp;"*"</f>
        <v>*6932431332914*</v>
      </c>
      <c r="J17" s="34" t="str">
        <f>Inventari_2[[#This Row],[COD]]</f>
        <v>*6932431332914*</v>
      </c>
    </row>
    <row r="18" spans="1:10" ht="36.75" customHeight="1">
      <c r="A18" s="88">
        <v>6965482362180</v>
      </c>
      <c r="B18" s="144" t="s">
        <v>72</v>
      </c>
      <c r="C18" s="123" t="s">
        <v>25</v>
      </c>
      <c r="D18" s="125" t="s">
        <v>781</v>
      </c>
      <c r="E18" s="31">
        <f>SUMIF(Entrada[CODIGO],Inventari_2[[#This Row],[CODIGO]],Entrada[CANTIDAD])</f>
        <v>0</v>
      </c>
      <c r="F18" s="32">
        <f>SUMIF(Salidas[[CODIGO ]],Inventari_2[[#This Row],[CODIGO]],Salidas[CANTIDAD])</f>
        <v>0</v>
      </c>
      <c r="G18" s="23">
        <f>Inventari_2[[#This Row],[STOCK DE LLEGADA]]+Inventari_2[[#This Row],[ENTRADA ]]-Inventari_2[[#This Row],[SALIDA]]</f>
        <v>1</v>
      </c>
      <c r="H18" s="13" t="e">
        <f>VLOOKUP(Inventari_2[[#This Row],[CODIGO]],Inventario[#All],9,FALSE)</f>
        <v>#N/A</v>
      </c>
      <c r="I18" s="13" t="str">
        <f>"*"&amp;Inventari_2[[#This Row],[CODIGO]]&amp;"*"</f>
        <v>*6965482362180*</v>
      </c>
      <c r="J18" s="34" t="str">
        <f>Inventari_2[[#This Row],[COD]]</f>
        <v>*6965482362180*</v>
      </c>
    </row>
    <row r="19" spans="1:10" ht="36.75" customHeight="1">
      <c r="A19" s="76">
        <v>6976507720229</v>
      </c>
      <c r="B19" s="144" t="s">
        <v>72</v>
      </c>
      <c r="C19" s="124" t="s">
        <v>25</v>
      </c>
      <c r="D19" s="69">
        <v>1</v>
      </c>
      <c r="E19" s="31">
        <f>SUMIF(Entrada[CODIGO],Inventari_2[[#This Row],[CODIGO]],Entrada[CANTIDAD])</f>
        <v>0</v>
      </c>
      <c r="F19" s="32">
        <f>SUMIF(Salidas[[CODIGO ]],Inventari_2[[#This Row],[CODIGO]],Salidas[CANTIDAD])</f>
        <v>2</v>
      </c>
      <c r="G19" s="23">
        <f>Inventari_2[[#This Row],[STOCK DE LLEGADA]]+Inventari_2[[#This Row],[ENTRADA ]]-Inventari_2[[#This Row],[SALIDA]]</f>
        <v>-1</v>
      </c>
      <c r="H19" s="13">
        <f>VLOOKUP(Inventari_2[[#This Row],[CODIGO]],Inventario[#All],9,FALSE)</f>
        <v>15000</v>
      </c>
      <c r="I19" s="13" t="str">
        <f>"*"&amp;Inventari_2[[#This Row],[CODIGO]]&amp;"*"</f>
        <v>*6976507720229*</v>
      </c>
      <c r="J19" s="34" t="str">
        <f>Inventari_2[[#This Row],[COD]]</f>
        <v>*6976507720229*</v>
      </c>
    </row>
    <row r="20" spans="1:10" ht="36.75" customHeight="1">
      <c r="A20" s="165" t="s">
        <v>77</v>
      </c>
      <c r="B20" s="16" t="s">
        <v>78</v>
      </c>
      <c r="C20" s="17" t="s">
        <v>56</v>
      </c>
      <c r="D20" s="69">
        <v>5</v>
      </c>
      <c r="E20" s="31">
        <f>SUMIF(Entrada[CODIGO],Inventari_2[[#This Row],[CODIGO]],Entrada[CANTIDAD])</f>
        <v>0</v>
      </c>
      <c r="F20" s="32">
        <f>SUMIF(Salidas[[CODIGO ]],Inventari_2[[#This Row],[CODIGO]],Salidas[CANTIDAD])</f>
        <v>0</v>
      </c>
      <c r="G20" s="23">
        <f>Inventari_2[[#This Row],[STOCK DE LLEGADA]]+Inventari_2[[#This Row],[ENTRADA ]]-Inventari_2[[#This Row],[SALIDA]]</f>
        <v>5</v>
      </c>
      <c r="H20" s="13">
        <f>VLOOKUP(Inventari_2[[#This Row],[CODIGO]],Inventario[#All],9,FALSE)</f>
        <v>35000</v>
      </c>
      <c r="I20" s="13" t="str">
        <f>"*"&amp;Inventari_2[[#This Row],[CODIGO]]&amp;"*"</f>
        <v>*BOLT-001*</v>
      </c>
      <c r="J20" s="34" t="str">
        <f>Inventari_2[[#This Row],[COD]]</f>
        <v>*BOLT-001*</v>
      </c>
    </row>
    <row r="21" spans="1:10" ht="36.75" customHeight="1">
      <c r="A21" s="76">
        <v>6932924600643</v>
      </c>
      <c r="B21" s="144" t="s">
        <v>80</v>
      </c>
      <c r="C21" s="124" t="s">
        <v>12</v>
      </c>
      <c r="D21" s="69">
        <v>1</v>
      </c>
      <c r="E21" s="31">
        <f>SUMIF(Entrada[CODIGO],Inventari_2[[#This Row],[CODIGO]],Entrada[CANTIDAD])</f>
        <v>0</v>
      </c>
      <c r="F21" s="32">
        <f>SUMIF(Salidas[[CODIGO ]],Inventari_2[[#This Row],[CODIGO]],Salidas[CANTIDAD])</f>
        <v>1</v>
      </c>
      <c r="G21" s="24">
        <f>Inventari_2[[#This Row],[STOCK DE LLEGADA]]+Inventari_2[[#This Row],[ENTRADA ]]-Inventari_2[[#This Row],[SALIDA]]</f>
        <v>0</v>
      </c>
      <c r="H21" s="13">
        <f>VLOOKUP(Inventari_2[[#This Row],[CODIGO]],Inventario[#All],9,FALSE)</f>
        <v>15000</v>
      </c>
      <c r="I21" s="13" t="str">
        <f>"*"&amp;Inventari_2[[#This Row],[CODIGO]]&amp;"*"</f>
        <v>*6932924600643*</v>
      </c>
      <c r="J21" s="34" t="str">
        <f>Inventari_2[[#This Row],[COD]]</f>
        <v>*6932924600643*</v>
      </c>
    </row>
    <row r="22" spans="1:10" ht="36.75" customHeight="1">
      <c r="A22" s="217" t="s">
        <v>889</v>
      </c>
      <c r="B22" s="16" t="s">
        <v>85</v>
      </c>
      <c r="C22" s="17" t="s">
        <v>56</v>
      </c>
      <c r="D22" s="69">
        <v>1</v>
      </c>
      <c r="E22" s="31">
        <f>SUMIF(Entrada[CODIGO],Inventari_2[[#This Row],[CODIGO]],Entrada[CANTIDAD])</f>
        <v>0</v>
      </c>
      <c r="F22" s="32">
        <f>SUMIF(Salidas[[CODIGO ]],Inventari_2[[#This Row],[CODIGO]],Salidas[CANTIDAD])</f>
        <v>0</v>
      </c>
      <c r="G22" s="23">
        <f>Inventari_2[[#This Row],[STOCK DE LLEGADA]]+Inventari_2[[#This Row],[ENTRADA ]]-Inventari_2[[#This Row],[SALIDA]]</f>
        <v>1</v>
      </c>
      <c r="H22" s="13">
        <f>VLOOKUP(Inventari_2[[#This Row],[CODIGO]],Inventario[#All],9,FALSE)</f>
        <v>55000</v>
      </c>
      <c r="I22" s="13" t="str">
        <f>"*"&amp;Inventari_2[[#This Row],[CODIGO]]&amp;"*"</f>
        <v>*BOLS{005*</v>
      </c>
      <c r="J22" s="34" t="str">
        <f>Inventari_2[[#This Row],[COD]]</f>
        <v>*BOLS{005*</v>
      </c>
    </row>
    <row r="23" spans="1:10" ht="36.75" customHeight="1">
      <c r="A23" s="217" t="s">
        <v>890</v>
      </c>
      <c r="B23" s="16" t="s">
        <v>90</v>
      </c>
      <c r="C23" s="17" t="s">
        <v>56</v>
      </c>
      <c r="D23" s="69">
        <v>1</v>
      </c>
      <c r="E23" s="31">
        <f>SUMIF(Entrada[CODIGO],Inventari_2[[#This Row],[CODIGO]],Entrada[CANTIDAD])</f>
        <v>0</v>
      </c>
      <c r="F23" s="32">
        <f>SUMIF(Salidas[[CODIGO ]],Inventari_2[[#This Row],[CODIGO]],Salidas[CANTIDAD])</f>
        <v>0</v>
      </c>
      <c r="G23" s="24">
        <f>Inventari_2[[#This Row],[STOCK DE LLEGADA]]+Inventari_2[[#This Row],[ENTRADA ]]-Inventari_2[[#This Row],[SALIDA]]</f>
        <v>1</v>
      </c>
      <c r="H23" s="13">
        <f>VLOOKUP(Inventari_2[[#This Row],[CODIGO]],Inventario[#All],9,FALSE)</f>
        <v>60000</v>
      </c>
      <c r="I23" s="13" t="str">
        <f>"*"&amp;Inventari_2[[#This Row],[CODIGO]]&amp;"*"</f>
        <v>*BOLS'003*</v>
      </c>
      <c r="J23" s="34" t="str">
        <f>Inventari_2[[#This Row],[COD]]</f>
        <v>*BOLS'003*</v>
      </c>
    </row>
    <row r="24" spans="1:10" ht="36.75" customHeight="1">
      <c r="A24" s="224" t="s">
        <v>891</v>
      </c>
      <c r="B24" s="144" t="s">
        <v>92</v>
      </c>
      <c r="C24" s="124" t="s">
        <v>12</v>
      </c>
      <c r="D24" s="69">
        <v>2</v>
      </c>
      <c r="E24" s="31">
        <f>SUMIF(Entrada[CODIGO],Inventari_2[[#This Row],[CODIGO]],Entrada[CANTIDAD])</f>
        <v>0</v>
      </c>
      <c r="F24" s="32">
        <f>SUMIF(Salidas[[CODIGO ]],Inventari_2[[#This Row],[CODIGO]],Salidas[CANTIDAD])</f>
        <v>0</v>
      </c>
      <c r="G24" s="24">
        <f>Inventari_2[[#This Row],[STOCK DE LLEGADA]]+Inventari_2[[#This Row],[ENTRADA ]]-Inventari_2[[#This Row],[SALIDA]]</f>
        <v>2</v>
      </c>
      <c r="H24" s="22">
        <f>VLOOKUP(Inventari_2[[#This Row],[CODIGO]],Inventario[#All],9,FALSE)</f>
        <v>30000</v>
      </c>
      <c r="I24" s="22" t="str">
        <f>"*"&amp;Inventari_2[[#This Row],[CODIGO]]&amp;"*"</f>
        <v>*BOLS'009*</v>
      </c>
      <c r="J24" s="34" t="str">
        <f>Inventari_2[[#This Row],[COD]]</f>
        <v>*BOLS'009*</v>
      </c>
    </row>
    <row r="25" spans="1:10" ht="36.75" customHeight="1">
      <c r="A25" s="156">
        <v>6964345340143</v>
      </c>
      <c r="B25" s="144" t="s">
        <v>94</v>
      </c>
      <c r="C25" s="124" t="s">
        <v>12</v>
      </c>
      <c r="D25" s="69">
        <v>1</v>
      </c>
      <c r="E25" s="31">
        <f>SUMIF(Entrada[CODIGO],Inventari_2[[#This Row],[CODIGO]],Entrada[CANTIDAD])</f>
        <v>0</v>
      </c>
      <c r="F25" s="32">
        <f>SUMIF(Salidas[[CODIGO ]],Inventari_2[[#This Row],[CODIGO]],Salidas[CANTIDAD])</f>
        <v>1</v>
      </c>
      <c r="G25" s="24">
        <f>Inventari_2[[#This Row],[STOCK DE LLEGADA]]+Inventari_2[[#This Row],[ENTRADA ]]-Inventari_2[[#This Row],[SALIDA]]</f>
        <v>0</v>
      </c>
      <c r="H25" s="22">
        <f>VLOOKUP(Inventari_2[[#This Row],[CODIGO]],Inventario[#All],9,FALSE)</f>
        <v>35000</v>
      </c>
      <c r="I25" s="22" t="str">
        <f>"*"&amp;Inventari_2[[#This Row],[CODIGO]]&amp;"*"</f>
        <v>*6964345340143*</v>
      </c>
      <c r="J25" s="34" t="str">
        <f>Inventari_2[[#This Row],[COD]]</f>
        <v>*6964345340143*</v>
      </c>
    </row>
    <row r="26" spans="1:10" ht="36.75" customHeight="1">
      <c r="A26" s="217" t="s">
        <v>882</v>
      </c>
      <c r="B26" s="218" t="s">
        <v>883</v>
      </c>
      <c r="C26" s="17" t="s">
        <v>56</v>
      </c>
      <c r="D26" s="69">
        <v>1</v>
      </c>
      <c r="E26" s="31">
        <f>SUMIF(Entrada[CODIGO],Inventari_2[[#This Row],[CODIGO]],Entrada[CANTIDAD])</f>
        <v>0</v>
      </c>
      <c r="F26" s="32">
        <f>SUMIF(Salidas[[CODIGO ]],Inventari_2[[#This Row],[CODIGO]],Salidas[CANTIDAD])</f>
        <v>0</v>
      </c>
      <c r="G26" s="24">
        <f>Inventari_2[[#This Row],[STOCK DE LLEGADA]]+Inventari_2[[#This Row],[ENTRADA ]]-Inventari_2[[#This Row],[SALIDA]]</f>
        <v>1</v>
      </c>
      <c r="H26" s="22">
        <f>VLOOKUP(Inventari_2[[#This Row],[CODIGO]],Inventario[#All],9,FALSE)</f>
        <v>50000</v>
      </c>
      <c r="I26" s="22" t="str">
        <f>"*"&amp;Inventari_2[[#This Row],[CODIGO]]&amp;"*"</f>
        <v>*BOLS'006*</v>
      </c>
      <c r="J26" s="34" t="str">
        <f>Inventari_2[[#This Row],[COD]]</f>
        <v>*BOLS'006*</v>
      </c>
    </row>
    <row r="27" spans="1:10" ht="36.75" customHeight="1">
      <c r="A27" s="229" t="s">
        <v>901</v>
      </c>
      <c r="B27" s="155" t="s">
        <v>100</v>
      </c>
      <c r="C27" s="124" t="s">
        <v>44</v>
      </c>
      <c r="D27" s="69">
        <v>2</v>
      </c>
      <c r="E27" s="31">
        <f>SUMIF(Entrada[CODIGO],Inventari_2[[#This Row],[CODIGO]],Entrada[CANTIDAD])</f>
        <v>0</v>
      </c>
      <c r="F27" s="32">
        <f>SUMIF(Salidas[[CODIGO ]],Inventari_2[[#This Row],[CODIGO]],Salidas[CANTIDAD])</f>
        <v>0</v>
      </c>
      <c r="G27" s="23">
        <f>Inventari_2[[#This Row],[STOCK DE LLEGADA]]+Inventari_2[[#This Row],[ENTRADA ]]-Inventari_2[[#This Row],[SALIDA]]</f>
        <v>2</v>
      </c>
      <c r="H27" s="22">
        <f>VLOOKUP(Inventari_2[[#This Row],[CODIGO]],Inventario[#All],9,FALSE)</f>
        <v>25000</v>
      </c>
      <c r="I27" s="22" t="str">
        <f>"*"&amp;Inventari_2[[#This Row],[CODIGO]]&amp;"*"</f>
        <v>*BOLS'010*</v>
      </c>
      <c r="J27" s="34" t="str">
        <f>Inventari_2[[#This Row],[COD]]</f>
        <v>*BOLS'010*</v>
      </c>
    </row>
    <row r="28" spans="1:10" ht="36.75" customHeight="1">
      <c r="A28" s="76">
        <v>6936699762025</v>
      </c>
      <c r="B28" s="144" t="s">
        <v>102</v>
      </c>
      <c r="C28" s="124" t="s">
        <v>103</v>
      </c>
      <c r="D28" s="69">
        <v>1</v>
      </c>
      <c r="E28" s="31">
        <f>SUMIF(Entrada[CODIGO],Inventari_2[[#This Row],[CODIGO]],Entrada[CANTIDAD])</f>
        <v>0</v>
      </c>
      <c r="F28" s="32">
        <f>SUMIF(Salidas[[CODIGO ]],Inventari_2[[#This Row],[CODIGO]],Salidas[CANTIDAD])</f>
        <v>0</v>
      </c>
      <c r="G28" s="24">
        <f>Inventari_2[[#This Row],[STOCK DE LLEGADA]]+Inventari_2[[#This Row],[ENTRADA ]]-Inventari_2[[#This Row],[SALIDA]]</f>
        <v>1</v>
      </c>
      <c r="H28" s="22">
        <f>VLOOKUP(Inventari_2[[#This Row],[CODIGO]],Inventario[#All],9,FALSE)</f>
        <v>7000</v>
      </c>
      <c r="I28" s="22" t="str">
        <f>"*"&amp;Inventari_2[[#This Row],[CODIGO]]&amp;"*"</f>
        <v>*6936699762025*</v>
      </c>
      <c r="J28" s="34" t="str">
        <f>Inventari_2[[#This Row],[COD]]</f>
        <v>*6936699762025*</v>
      </c>
    </row>
    <row r="29" spans="1:10" ht="36.75" customHeight="1">
      <c r="A29" s="76">
        <v>6959023913566</v>
      </c>
      <c r="B29" s="144" t="s">
        <v>104</v>
      </c>
      <c r="C29" s="124" t="s">
        <v>67</v>
      </c>
      <c r="D29" s="69">
        <v>2</v>
      </c>
      <c r="E29" s="31">
        <f>SUMIF(Entrada[CODIGO],Inventari_2[[#This Row],[CODIGO]],Entrada[CANTIDAD])</f>
        <v>0</v>
      </c>
      <c r="F29" s="32">
        <f>SUMIF(Salidas[[CODIGO ]],Inventari_2[[#This Row],[CODIGO]],Salidas[CANTIDAD])</f>
        <v>1</v>
      </c>
      <c r="G29" s="23">
        <f>Inventari_2[[#This Row],[STOCK DE LLEGADA]]+Inventari_2[[#This Row],[ENTRADA ]]-Inventari_2[[#This Row],[SALIDA]]</f>
        <v>1</v>
      </c>
      <c r="H29" s="22">
        <f>VLOOKUP(Inventari_2[[#This Row],[CODIGO]],Inventario[#All],9,FALSE)</f>
        <v>6000</v>
      </c>
      <c r="I29" s="22" t="str">
        <f>"*"&amp;Inventari_2[[#This Row],[CODIGO]]&amp;"*"</f>
        <v>*6959023913566*</v>
      </c>
      <c r="J29" s="34" t="str">
        <f>Inventari_2[[#This Row],[COD]]</f>
        <v>*6959023913566*</v>
      </c>
    </row>
    <row r="30" spans="1:10" ht="36.75" customHeight="1">
      <c r="A30" s="76">
        <v>10122174</v>
      </c>
      <c r="B30" s="144" t="s">
        <v>106</v>
      </c>
      <c r="C30" s="124" t="s">
        <v>67</v>
      </c>
      <c r="D30" s="69">
        <v>1</v>
      </c>
      <c r="E30" s="31">
        <f>SUMIF(Entrada[CODIGO],Inventari_2[[#This Row],[CODIGO]],Entrada[CANTIDAD])</f>
        <v>0</v>
      </c>
      <c r="F30" s="32">
        <f>SUMIF(Salidas[[CODIGO ]],Inventari_2[[#This Row],[CODIGO]],Salidas[CANTIDAD])</f>
        <v>0</v>
      </c>
      <c r="G30" s="24">
        <f>Inventari_2[[#This Row],[STOCK DE LLEGADA]]+Inventari_2[[#This Row],[ENTRADA ]]-Inventari_2[[#This Row],[SALIDA]]</f>
        <v>1</v>
      </c>
      <c r="H30" s="22">
        <f>VLOOKUP(Inventari_2[[#This Row],[CODIGO]],Inventario[#All],9,FALSE)</f>
        <v>4000</v>
      </c>
      <c r="I30" s="22" t="str">
        <f>"*"&amp;Inventari_2[[#This Row],[CODIGO]]&amp;"*"</f>
        <v>*10122174*</v>
      </c>
      <c r="J30" s="34" t="str">
        <f>Inventari_2[[#This Row],[COD]]</f>
        <v>*10122174*</v>
      </c>
    </row>
    <row r="31" spans="1:10" ht="36.75" customHeight="1">
      <c r="A31" s="153" t="s">
        <v>110</v>
      </c>
      <c r="B31" s="144" t="s">
        <v>111</v>
      </c>
      <c r="C31" s="124" t="s">
        <v>103</v>
      </c>
      <c r="D31" s="69">
        <v>1</v>
      </c>
      <c r="E31" s="31">
        <f>SUMIF(Entrada[CODIGO],Inventari_2[[#This Row],[CODIGO]],Entrada[CANTIDAD])</f>
        <v>0</v>
      </c>
      <c r="F31" s="32">
        <f>SUMIF(Salidas[[CODIGO ]],Inventari_2[[#This Row],[CODIGO]],Salidas[CANTIDAD])</f>
        <v>1</v>
      </c>
      <c r="G31" s="23">
        <f>Inventari_2[[#This Row],[STOCK DE LLEGADA]]+Inventari_2[[#This Row],[ENTRADA ]]-Inventari_2[[#This Row],[SALIDA]]</f>
        <v>0</v>
      </c>
      <c r="H31" s="22">
        <f>VLOOKUP(Inventari_2[[#This Row],[CODIGO]],Inventario[#All],9,FALSE)</f>
        <v>4000</v>
      </c>
      <c r="I31" s="22" t="str">
        <f>"*"&amp;Inventari_2[[#This Row],[CODIGO]]&amp;"*"</f>
        <v>*BORR-00112200*</v>
      </c>
      <c r="J31" s="34" t="str">
        <f>Inventari_2[[#This Row],[COD]]</f>
        <v>*BORR-00112200*</v>
      </c>
    </row>
    <row r="32" spans="1:10" ht="36.75" customHeight="1">
      <c r="A32" s="76">
        <v>6930140013612</v>
      </c>
      <c r="B32" s="144" t="s">
        <v>113</v>
      </c>
      <c r="C32" s="124" t="s">
        <v>25</v>
      </c>
      <c r="D32" s="69">
        <v>6</v>
      </c>
      <c r="E32" s="31">
        <f>SUMIF(Entrada[CODIGO],Inventari_2[[#This Row],[CODIGO]],Entrada[CANTIDAD])</f>
        <v>0</v>
      </c>
      <c r="F32" s="32">
        <f>SUMIF(Salidas[[CODIGO ]],Inventari_2[[#This Row],[CODIGO]],Salidas[CANTIDAD])</f>
        <v>0</v>
      </c>
      <c r="G32" s="24">
        <f>Inventari_2[[#This Row],[STOCK DE LLEGADA]]+Inventari_2[[#This Row],[ENTRADA ]]-Inventari_2[[#This Row],[SALIDA]]</f>
        <v>6</v>
      </c>
      <c r="H32" s="22" t="e">
        <f>VLOOKUP(Inventari_2[[#This Row],[CODIGO]],Inventario[#All],9,FALSE)</f>
        <v>#N/A</v>
      </c>
      <c r="I32" s="22" t="str">
        <f>"*"&amp;Inventari_2[[#This Row],[CODIGO]]&amp;"*"</f>
        <v>*6930140013612*</v>
      </c>
      <c r="J32" s="34" t="str">
        <f>Inventari_2[[#This Row],[COD]]</f>
        <v>*6930140013612*</v>
      </c>
    </row>
    <row r="33" spans="1:10" ht="36.75" customHeight="1">
      <c r="A33" s="88">
        <v>6979261520128</v>
      </c>
      <c r="B33" s="144" t="s">
        <v>113</v>
      </c>
      <c r="C33" s="124" t="s">
        <v>25</v>
      </c>
      <c r="D33" s="125" t="s">
        <v>782</v>
      </c>
      <c r="E33" s="31">
        <f>SUMIF(Entrada[CODIGO],Inventari_2[[#This Row],[CODIGO]],Entrada[CANTIDAD])</f>
        <v>0</v>
      </c>
      <c r="F33" s="32">
        <f>SUMIF(Salidas[[CODIGO ]],Inventari_2[[#This Row],[CODIGO]],Salidas[CANTIDAD])</f>
        <v>5</v>
      </c>
      <c r="G33" s="23">
        <f>Inventari_2[[#This Row],[STOCK DE LLEGADA]]+Inventari_2[[#This Row],[ENTRADA ]]-Inventari_2[[#This Row],[SALIDA]]</f>
        <v>2</v>
      </c>
      <c r="H33" s="22">
        <f>VLOOKUP(Inventari_2[[#This Row],[CODIGO]],Inventario[#All],9,FALSE)</f>
        <v>6000</v>
      </c>
      <c r="I33" s="22" t="str">
        <f>"*"&amp;Inventari_2[[#This Row],[CODIGO]]&amp;"*"</f>
        <v>*6979261520128*</v>
      </c>
      <c r="J33" s="34" t="str">
        <f>Inventari_2[[#This Row],[COD]]</f>
        <v>*6979261520128*</v>
      </c>
    </row>
    <row r="34" spans="1:10" ht="36.75" customHeight="1">
      <c r="A34" s="88">
        <v>6979261520166</v>
      </c>
      <c r="B34" s="144" t="s">
        <v>113</v>
      </c>
      <c r="C34" s="124" t="s">
        <v>25</v>
      </c>
      <c r="D34" s="126" t="s">
        <v>780</v>
      </c>
      <c r="E34" s="31">
        <f>SUMIF(Entrada[CODIGO],Inventari_2[[#This Row],[CODIGO]],Entrada[CANTIDAD])</f>
        <v>0</v>
      </c>
      <c r="F34" s="32">
        <f>SUMIF(Salidas[[CODIGO ]],Inventari_2[[#This Row],[CODIGO]],Salidas[CANTIDAD])</f>
        <v>0</v>
      </c>
      <c r="G34" s="23">
        <f>Inventari_2[[#This Row],[STOCK DE LLEGADA]]+Inventari_2[[#This Row],[ENTRADA ]]-Inventari_2[[#This Row],[SALIDA]]</f>
        <v>3</v>
      </c>
      <c r="H34" s="22" t="e">
        <f>VLOOKUP(Inventari_2[[#This Row],[CODIGO]],Inventario[#All],9,FALSE)</f>
        <v>#N/A</v>
      </c>
      <c r="I34" s="22" t="str">
        <f>"*"&amp;Inventari_2[[#This Row],[CODIGO]]&amp;"*"</f>
        <v>*6979261520166*</v>
      </c>
      <c r="J34" s="34" t="str">
        <f>Inventari_2[[#This Row],[COD]]</f>
        <v>*6979261520166*</v>
      </c>
    </row>
    <row r="35" spans="1:10" ht="36.75" customHeight="1">
      <c r="A35" s="88">
        <v>9556089899093</v>
      </c>
      <c r="B35" s="144" t="s">
        <v>113</v>
      </c>
      <c r="C35" s="124" t="s">
        <v>25</v>
      </c>
      <c r="D35" s="126" t="s">
        <v>783</v>
      </c>
      <c r="E35" s="31">
        <f>SUMIF(Entrada[CODIGO],Inventari_2[[#This Row],[CODIGO]],Entrada[CANTIDAD])</f>
        <v>0</v>
      </c>
      <c r="F35" s="32">
        <f>SUMIF(Salidas[[CODIGO ]],Inventari_2[[#This Row],[CODIGO]],Salidas[CANTIDAD])</f>
        <v>0</v>
      </c>
      <c r="G35" s="23">
        <f>Inventari_2[[#This Row],[STOCK DE LLEGADA]]+Inventari_2[[#This Row],[ENTRADA ]]-Inventari_2[[#This Row],[SALIDA]]</f>
        <v>4</v>
      </c>
      <c r="H35" s="22" t="e">
        <f>VLOOKUP(Inventari_2[[#This Row],[CODIGO]],Inventario[#All],9,FALSE)</f>
        <v>#N/A</v>
      </c>
      <c r="I35" s="22" t="str">
        <f>"*"&amp;Inventari_2[[#This Row],[CODIGO]]&amp;"*"</f>
        <v>*9556089899093*</v>
      </c>
      <c r="J35" s="34" t="str">
        <f>Inventari_2[[#This Row],[COD]]</f>
        <v>*9556089899093*</v>
      </c>
    </row>
    <row r="36" spans="1:10" ht="36.75" customHeight="1">
      <c r="A36" s="76">
        <v>6971806108938</v>
      </c>
      <c r="B36" s="144" t="s">
        <v>115</v>
      </c>
      <c r="C36" s="124" t="s">
        <v>12</v>
      </c>
      <c r="D36" s="69">
        <v>1</v>
      </c>
      <c r="E36" s="31">
        <f>SUMIF(Entrada[CODIGO],Inventari_2[[#This Row],[CODIGO]],Entrada[CANTIDAD])</f>
        <v>0</v>
      </c>
      <c r="F36" s="32">
        <f>SUMIF(Salidas[[CODIGO ]],Inventari_2[[#This Row],[CODIGO]],Salidas[CANTIDAD])</f>
        <v>0</v>
      </c>
      <c r="G36" s="24">
        <f>Inventari_2[[#This Row],[STOCK DE LLEGADA]]+Inventari_2[[#This Row],[ENTRADA ]]-Inventari_2[[#This Row],[SALIDA]]</f>
        <v>1</v>
      </c>
      <c r="H36" s="22">
        <f>VLOOKUP(Inventari_2[[#This Row],[CODIGO]],Inventario[#All],9,FALSE)</f>
        <v>5000</v>
      </c>
      <c r="I36" s="22" t="str">
        <f>"*"&amp;Inventari_2[[#This Row],[CODIGO]]&amp;"*"</f>
        <v>*6971806108938*</v>
      </c>
      <c r="J36" s="34" t="str">
        <f>Inventari_2[[#This Row],[COD]]</f>
        <v>*6971806108938*</v>
      </c>
    </row>
    <row r="37" spans="1:10" ht="36.75" customHeight="1">
      <c r="A37" s="76">
        <v>6973511066350</v>
      </c>
      <c r="B37" s="144" t="s">
        <v>117</v>
      </c>
      <c r="C37" s="124" t="s">
        <v>25</v>
      </c>
      <c r="D37" s="69">
        <v>1</v>
      </c>
      <c r="E37" s="31">
        <f>SUMIF(Entrada[CODIGO],Inventari_2[[#This Row],[CODIGO]],Entrada[CANTIDAD])</f>
        <v>0</v>
      </c>
      <c r="F37" s="32">
        <f>SUMIF(Salidas[[CODIGO ]],Inventari_2[[#This Row],[CODIGO]],Salidas[CANTIDAD])</f>
        <v>0</v>
      </c>
      <c r="G37" s="23">
        <f>Inventari_2[[#This Row],[STOCK DE LLEGADA]]+Inventari_2[[#This Row],[ENTRADA ]]-Inventari_2[[#This Row],[SALIDA]]</f>
        <v>1</v>
      </c>
      <c r="H37" s="22">
        <f>VLOOKUP(Inventari_2[[#This Row],[CODIGO]],Inventario[#All],9,FALSE)</f>
        <v>7000</v>
      </c>
      <c r="I37" s="22" t="str">
        <f>"*"&amp;Inventari_2[[#This Row],[CODIGO]]&amp;"*"</f>
        <v>*6973511066350*</v>
      </c>
      <c r="J37" s="34" t="str">
        <f>Inventari_2[[#This Row],[COD]]</f>
        <v>*6973511066350*</v>
      </c>
    </row>
    <row r="38" spans="1:10" ht="36.75" customHeight="1">
      <c r="A38" s="102">
        <v>6971010809430</v>
      </c>
      <c r="B38" s="142" t="s">
        <v>119</v>
      </c>
      <c r="C38" s="123" t="s">
        <v>103</v>
      </c>
      <c r="D38" s="69">
        <v>1</v>
      </c>
      <c r="E38" s="31">
        <f>SUMIF(Entrada[CODIGO],Inventari_2[[#This Row],[CODIGO]],Entrada[CANTIDAD])</f>
        <v>0</v>
      </c>
      <c r="F38" s="32">
        <f>SUMIF(Salidas[[CODIGO ]],Inventari_2[[#This Row],[CODIGO]],Salidas[CANTIDAD])</f>
        <v>0</v>
      </c>
      <c r="G38" s="24">
        <f>Inventari_2[[#This Row],[STOCK DE LLEGADA]]+Inventari_2[[#This Row],[ENTRADA ]]-Inventari_2[[#This Row],[SALIDA]]</f>
        <v>1</v>
      </c>
      <c r="H38" s="22">
        <f>VLOOKUP(Inventari_2[[#This Row],[CODIGO]],Inventario[#All],9,FALSE)</f>
        <v>15000</v>
      </c>
      <c r="I38" s="22" t="str">
        <f>"*"&amp;Inventari_2[[#This Row],[CODIGO]]&amp;"*"</f>
        <v>*6971010809430*</v>
      </c>
      <c r="J38" s="34" t="str">
        <f>Inventari_2[[#This Row],[COD]]</f>
        <v>*6971010809430*</v>
      </c>
    </row>
    <row r="39" spans="1:10" ht="36.75" customHeight="1">
      <c r="A39" s="77">
        <v>6233216028269</v>
      </c>
      <c r="B39" s="142" t="s">
        <v>120</v>
      </c>
      <c r="C39" s="123" t="s">
        <v>12</v>
      </c>
      <c r="D39" s="69">
        <v>1</v>
      </c>
      <c r="E39" s="31">
        <f>SUMIF(Entrada[CODIGO],Inventari_2[[#This Row],[CODIGO]],Entrada[CANTIDAD])</f>
        <v>0</v>
      </c>
      <c r="F39" s="32">
        <f>SUMIF(Salidas[[CODIGO ]],Inventari_2[[#This Row],[CODIGO]],Salidas[CANTIDAD])</f>
        <v>0</v>
      </c>
      <c r="G39" s="24">
        <f>Inventari_2[[#This Row],[STOCK DE LLEGADA]]+Inventari_2[[#This Row],[ENTRADA ]]-Inventari_2[[#This Row],[SALIDA]]</f>
        <v>1</v>
      </c>
      <c r="H39" s="22">
        <f>VLOOKUP(Inventari_2[[#This Row],[CODIGO]],Inventario[#All],9,FALSE)</f>
        <v>8000</v>
      </c>
      <c r="I39" s="22" t="str">
        <f>"*"&amp;Inventari_2[[#This Row],[CODIGO]]&amp;"*"</f>
        <v>*6233216028269*</v>
      </c>
      <c r="J39" s="34" t="str">
        <f>Inventari_2[[#This Row],[COD]]</f>
        <v>*6233216028269*</v>
      </c>
    </row>
    <row r="40" spans="1:10" ht="36.75" customHeight="1">
      <c r="A40" s="146" t="s">
        <v>124</v>
      </c>
      <c r="B40" s="142" t="s">
        <v>125</v>
      </c>
      <c r="C40" s="123" t="s">
        <v>12</v>
      </c>
      <c r="D40" s="69">
        <v>2</v>
      </c>
      <c r="E40" s="31">
        <f>SUMIF(Entrada[CODIGO],Inventari_2[[#This Row],[CODIGO]],Entrada[CANTIDAD])</f>
        <v>0</v>
      </c>
      <c r="F40" s="32">
        <f>SUMIF(Salidas[[CODIGO ]],Inventari_2[[#This Row],[CODIGO]],Salidas[CANTIDAD])</f>
        <v>2</v>
      </c>
      <c r="G40" s="23">
        <f>Inventari_2[[#This Row],[STOCK DE LLEGADA]]+Inventari_2[[#This Row],[ENTRADA ]]-Inventari_2[[#This Row],[SALIDA]]</f>
        <v>0</v>
      </c>
      <c r="H40" s="22">
        <f>VLOOKUP(Inventari_2[[#This Row],[CODIGO]],Inventario[#All],9,FALSE)</f>
        <v>15000</v>
      </c>
      <c r="I40" s="22" t="str">
        <f>"*"&amp;Inventari_2[[#This Row],[CODIGO]]&amp;"*"</f>
        <v>*JUGUE-554787*</v>
      </c>
      <c r="J40" s="34" t="str">
        <f>Inventari_2[[#This Row],[COD]]</f>
        <v>*JUGUE-554787*</v>
      </c>
    </row>
    <row r="41" spans="1:10" ht="36.75" customHeight="1">
      <c r="A41" s="157" t="s">
        <v>126</v>
      </c>
      <c r="B41" s="144" t="s">
        <v>127</v>
      </c>
      <c r="C41" s="124" t="s">
        <v>37</v>
      </c>
      <c r="D41" s="69">
        <v>30</v>
      </c>
      <c r="E41" s="31">
        <f>SUMIF(Entrada[CODIGO],Inventari_2[[#This Row],[CODIGO]],Entrada[CANTIDAD])</f>
        <v>0</v>
      </c>
      <c r="F41" s="32">
        <f>SUMIF(Salidas[[CODIGO ]],Inventari_2[[#This Row],[CODIGO]],Salidas[CANTIDAD])</f>
        <v>10</v>
      </c>
      <c r="G41" s="24">
        <f>Inventari_2[[#This Row],[STOCK DE LLEGADA]]+Inventari_2[[#This Row],[ENTRADA ]]-Inventari_2[[#This Row],[SALIDA]]</f>
        <v>20</v>
      </c>
      <c r="H41" s="22">
        <f>VLOOKUP(Inventari_2[[#This Row],[CODIGO]],Inventario[#All],9,FALSE)</f>
        <v>5000</v>
      </c>
      <c r="I41" s="22" t="str">
        <f>"*"&amp;Inventari_2[[#This Row],[CODIGO]]&amp;"*"</f>
        <v>*VARI-0005889663*</v>
      </c>
      <c r="J41" s="34" t="str">
        <f>Inventari_2[[#This Row],[COD]]</f>
        <v>*VARI-0005889663*</v>
      </c>
    </row>
    <row r="42" spans="1:10" ht="36.75" customHeight="1">
      <c r="A42" s="236" t="s">
        <v>906</v>
      </c>
      <c r="B42" s="144" t="s">
        <v>130</v>
      </c>
      <c r="C42" s="124" t="s">
        <v>37</v>
      </c>
      <c r="D42" s="69">
        <v>3</v>
      </c>
      <c r="E42" s="31">
        <f>SUMIF(Entrada[CODIGO],Inventari_2[[#This Row],[CODIGO]],Entrada[CANTIDAD])</f>
        <v>0</v>
      </c>
      <c r="F42" s="32">
        <f>SUMIF(Salidas[[CODIGO ]],Inventari_2[[#This Row],[CODIGO]],Salidas[CANTIDAD])</f>
        <v>1</v>
      </c>
      <c r="G42" s="23">
        <f>Inventari_2[[#This Row],[STOCK DE LLEGADA]]+Inventari_2[[#This Row],[ENTRADA ]]-Inventari_2[[#This Row],[SALIDA]]</f>
        <v>2</v>
      </c>
      <c r="H42" s="13">
        <f>VLOOKUP(Inventari_2[[#This Row],[CODIGO]],Inventario[#All],9,FALSE)</f>
        <v>30000</v>
      </c>
      <c r="I42" s="13" t="str">
        <f>"*"&amp;Inventari_2[[#This Row],[CODIGO]]&amp;"*"</f>
        <v>*CAJA'455525*</v>
      </c>
      <c r="J42" s="34" t="str">
        <f>Inventari_2[[#This Row],[COD]]</f>
        <v>*CAJA'455525*</v>
      </c>
    </row>
    <row r="43" spans="1:10" ht="36.75" customHeight="1">
      <c r="A43" s="152" t="s">
        <v>132</v>
      </c>
      <c r="B43" s="144" t="s">
        <v>133</v>
      </c>
      <c r="C43" s="124" t="s">
        <v>16</v>
      </c>
      <c r="D43" s="69">
        <v>1</v>
      </c>
      <c r="E43" s="31">
        <f>SUMIF(Entrada[CODIGO],Inventari_2[[#This Row],[CODIGO]],Entrada[CANTIDAD])</f>
        <v>0</v>
      </c>
      <c r="F43" s="32">
        <f>SUMIF(Salidas[[CODIGO ]],Inventari_2[[#This Row],[CODIGO]],Salidas[CANTIDAD])</f>
        <v>0</v>
      </c>
      <c r="G43" s="23">
        <f>Inventari_2[[#This Row],[STOCK DE LLEGADA]]+Inventari_2[[#This Row],[ENTRADA ]]-Inventari_2[[#This Row],[SALIDA]]</f>
        <v>1</v>
      </c>
      <c r="H43" s="13">
        <f>VLOOKUP(Inventari_2[[#This Row],[CODIGO]],Inventario[#All],9,FALSE)</f>
        <v>15000</v>
      </c>
      <c r="I43" s="13" t="str">
        <f>"*"&amp;Inventari_2[[#This Row],[CODIGO]]&amp;"*"</f>
        <v>*VARI-554788*</v>
      </c>
      <c r="J43" s="34" t="str">
        <f>Inventari_2[[#This Row],[COD]]</f>
        <v>*VARI-554788*</v>
      </c>
    </row>
    <row r="44" spans="1:10" ht="36.75" customHeight="1">
      <c r="A44" s="87">
        <v>6947363105000</v>
      </c>
      <c r="B44" s="142" t="s">
        <v>135</v>
      </c>
      <c r="C44" s="123" t="s">
        <v>12</v>
      </c>
      <c r="D44" s="69">
        <v>1</v>
      </c>
      <c r="E44" s="31">
        <f>SUMIF(Entrada[CODIGO],Inventari_2[[#This Row],[CODIGO]],Entrada[CANTIDAD])</f>
        <v>0</v>
      </c>
      <c r="F44" s="32">
        <f>SUMIF(Salidas[[CODIGO ]],Inventari_2[[#This Row],[CODIGO]],Salidas[CANTIDAD])</f>
        <v>0</v>
      </c>
      <c r="G44" s="24">
        <f>Inventari_2[[#This Row],[STOCK DE LLEGADA]]+Inventari_2[[#This Row],[ENTRADA ]]-Inventari_2[[#This Row],[SALIDA]]</f>
        <v>1</v>
      </c>
      <c r="H44" s="13">
        <f>VLOOKUP(Inventari_2[[#This Row],[CODIGO]],Inventario[#All],9,FALSE)</f>
        <v>25000</v>
      </c>
      <c r="I44" s="13" t="str">
        <f>"*"&amp;Inventari_2[[#This Row],[CODIGO]]&amp;"*"</f>
        <v>*6947363105000*</v>
      </c>
      <c r="J44" s="34" t="str">
        <f>Inventari_2[[#This Row],[COD]]</f>
        <v>*6947363105000*</v>
      </c>
    </row>
    <row r="45" spans="1:10" ht="36.75" customHeight="1">
      <c r="A45" s="77">
        <v>6970675808048</v>
      </c>
      <c r="B45" s="142" t="s">
        <v>784</v>
      </c>
      <c r="C45" s="123" t="s">
        <v>12</v>
      </c>
      <c r="D45" s="69">
        <v>6</v>
      </c>
      <c r="E45" s="31">
        <f>SUMIF(Entrada[CODIGO],Inventari_2[[#This Row],[CODIGO]],Entrada[CANTIDAD])</f>
        <v>0</v>
      </c>
      <c r="F45" s="32">
        <f>SUMIF(Salidas[[CODIGO ]],Inventari_2[[#This Row],[CODIGO]],Salidas[CANTIDAD])</f>
        <v>0</v>
      </c>
      <c r="G45" s="23">
        <f>Inventari_2[[#This Row],[STOCK DE LLEGADA]]+Inventari_2[[#This Row],[ENTRADA ]]-Inventari_2[[#This Row],[SALIDA]]</f>
        <v>6</v>
      </c>
      <c r="H45" s="13">
        <f>VLOOKUP(Inventari_2[[#This Row],[CODIGO]],Inventario[#All],9,FALSE)</f>
        <v>2000</v>
      </c>
      <c r="I45" s="13" t="str">
        <f>"*"&amp;Inventari_2[[#This Row],[CODIGO]]&amp;"*"</f>
        <v>*6970675808048*</v>
      </c>
      <c r="J45" s="34" t="str">
        <f>Inventari_2[[#This Row],[COD]]</f>
        <v>*6970675808048*</v>
      </c>
    </row>
    <row r="46" spans="1:10" ht="36.75" customHeight="1">
      <c r="A46" s="151" t="s">
        <v>141</v>
      </c>
      <c r="B46" s="142" t="s">
        <v>142</v>
      </c>
      <c r="C46" s="123" t="s">
        <v>67</v>
      </c>
      <c r="D46" s="69">
        <v>1</v>
      </c>
      <c r="E46" s="31">
        <f>SUMIF(Entrada[CODIGO],Inventari_2[[#This Row],[CODIGO]],Entrada[CANTIDAD])</f>
        <v>0</v>
      </c>
      <c r="F46" s="32">
        <f>SUMIF(Salidas[[CODIGO ]],Inventari_2[[#This Row],[CODIGO]],Salidas[CANTIDAD])</f>
        <v>0</v>
      </c>
      <c r="G46" s="23">
        <f>Inventari_2[[#This Row],[STOCK DE LLEGADA]]+Inventari_2[[#This Row],[ENTRADA ]]-Inventari_2[[#This Row],[SALIDA]]</f>
        <v>1</v>
      </c>
      <c r="H46" s="13">
        <f>VLOOKUP(Inventari_2[[#This Row],[CODIGO]],Inventario[#All],9,FALSE)</f>
        <v>60000</v>
      </c>
      <c r="I46" s="13" t="str">
        <f>"*"&amp;Inventari_2[[#This Row],[CODIGO]]&amp;"*"</f>
        <v>*JUEGUE-84452*</v>
      </c>
      <c r="J46" s="34" t="str">
        <f>Inventari_2[[#This Row],[COD]]</f>
        <v>*JUEGUE-84452*</v>
      </c>
    </row>
    <row r="47" spans="1:10" ht="36.75" customHeight="1">
      <c r="A47" s="157" t="s">
        <v>144</v>
      </c>
      <c r="B47" s="144" t="s">
        <v>145</v>
      </c>
      <c r="C47" s="124" t="s">
        <v>52</v>
      </c>
      <c r="D47" s="69">
        <v>1</v>
      </c>
      <c r="E47" s="31">
        <f>SUMIF(Entrada[CODIGO],Inventari_2[[#This Row],[CODIGO]],Entrada[CANTIDAD])</f>
        <v>0</v>
      </c>
      <c r="F47" s="32">
        <f>SUMIF(Salidas[[CODIGO ]],Inventari_2[[#This Row],[CODIGO]],Salidas[CANTIDAD])</f>
        <v>1</v>
      </c>
      <c r="G47" s="23">
        <f>Inventari_2[[#This Row],[STOCK DE LLEGADA]]+Inventari_2[[#This Row],[ENTRADA ]]-Inventari_2[[#This Row],[SALIDA]]</f>
        <v>0</v>
      </c>
      <c r="H47" s="13">
        <f>VLOOKUP(Inventari_2[[#This Row],[CODIGO]],Inventario[#All],9,FALSE)</f>
        <v>2000</v>
      </c>
      <c r="I47" s="13" t="str">
        <f>"*"&amp;Inventari_2[[#This Row],[CODIGO]]&amp;"*"</f>
        <v>*JUGUE-85547*</v>
      </c>
      <c r="J47" s="34" t="str">
        <f>Inventari_2[[#This Row],[COD]]</f>
        <v>*JUGUE-85547*</v>
      </c>
    </row>
    <row r="48" spans="1:10" ht="36.75" customHeight="1">
      <c r="A48" s="157" t="s">
        <v>147</v>
      </c>
      <c r="B48" s="144" t="s">
        <v>148</v>
      </c>
      <c r="C48" s="124" t="s">
        <v>52</v>
      </c>
      <c r="D48" s="69">
        <v>1</v>
      </c>
      <c r="E48" s="31">
        <f>SUMIF(Entrada[CODIGO],Inventari_2[[#This Row],[CODIGO]],Entrada[CANTIDAD])</f>
        <v>0</v>
      </c>
      <c r="F48" s="32">
        <f>SUMIF(Salidas[[CODIGO ]],Inventari_2[[#This Row],[CODIGO]],Salidas[CANTIDAD])</f>
        <v>0</v>
      </c>
      <c r="G48" s="23">
        <f>Inventari_2[[#This Row],[STOCK DE LLEGADA]]+Inventari_2[[#This Row],[ENTRADA ]]-Inventari_2[[#This Row],[SALIDA]]</f>
        <v>1</v>
      </c>
      <c r="H48" s="13">
        <f>VLOOKUP(Inventari_2[[#This Row],[CODIGO]],Inventario[#All],9,FALSE)</f>
        <v>5000</v>
      </c>
      <c r="I48" s="13" t="str">
        <f>"*"&amp;Inventari_2[[#This Row],[CODIGO]]&amp;"*"</f>
        <v>*JUGUE-88522*</v>
      </c>
      <c r="J48" s="34" t="str">
        <f>Inventari_2[[#This Row],[COD]]</f>
        <v>*JUGUE-88522*</v>
      </c>
    </row>
    <row r="49" spans="1:10" ht="36.75" customHeight="1">
      <c r="A49" s="152" t="s">
        <v>150</v>
      </c>
      <c r="B49" s="144" t="s">
        <v>151</v>
      </c>
      <c r="C49" s="124" t="s">
        <v>16</v>
      </c>
      <c r="D49" s="69">
        <v>3</v>
      </c>
      <c r="E49" s="31">
        <f>SUMIF(Entrada[CODIGO],Inventari_2[[#This Row],[CODIGO]],Entrada[CANTIDAD])</f>
        <v>0</v>
      </c>
      <c r="F49" s="32">
        <f>SUMIF(Salidas[[CODIGO ]],Inventari_2[[#This Row],[CODIGO]],Salidas[CANTIDAD])</f>
        <v>1</v>
      </c>
      <c r="G49" s="23">
        <f>Inventari_2[[#This Row],[STOCK DE LLEGADA]]+Inventari_2[[#This Row],[ENTRADA ]]-Inventari_2[[#This Row],[SALIDA]]</f>
        <v>2</v>
      </c>
      <c r="H49" s="22">
        <f>VLOOKUP(Inventari_2[[#This Row],[CODIGO]],Inventario[#All],9,FALSE)</f>
        <v>8000</v>
      </c>
      <c r="I49" s="22" t="str">
        <f>"*"&amp;Inventari_2[[#This Row],[CODIGO]]&amp;"*"</f>
        <v>*VARI-554777*</v>
      </c>
      <c r="J49" s="34" t="str">
        <f>Inventari_2[[#This Row],[COD]]</f>
        <v>*VARI-554777*</v>
      </c>
    </row>
    <row r="50" spans="1:10" ht="36.75" customHeight="1">
      <c r="A50" s="157" t="s">
        <v>153</v>
      </c>
      <c r="B50" s="144" t="s">
        <v>154</v>
      </c>
      <c r="C50" s="124" t="s">
        <v>37</v>
      </c>
      <c r="D50" s="69">
        <v>1</v>
      </c>
      <c r="E50" s="31">
        <f>SUMIF(Entrada[CODIGO],Inventari_2[[#This Row],[CODIGO]],Entrada[CANTIDAD])</f>
        <v>0</v>
      </c>
      <c r="F50" s="32">
        <f>SUMIF(Salidas[[CODIGO ]],Inventari_2[[#This Row],[CODIGO]],Salidas[CANTIDAD])</f>
        <v>0</v>
      </c>
      <c r="G50" s="23">
        <f>Inventari_2[[#This Row],[STOCK DE LLEGADA]]+Inventari_2[[#This Row],[ENTRADA ]]-Inventari_2[[#This Row],[SALIDA]]</f>
        <v>1</v>
      </c>
      <c r="H50" s="13">
        <f>VLOOKUP(Inventari_2[[#This Row],[CODIGO]],Inventario[#All],9,FALSE)</f>
        <v>40000</v>
      </c>
      <c r="I50" s="13" t="str">
        <f>"*"&amp;Inventari_2[[#This Row],[CODIGO]]&amp;"*"</f>
        <v>*VARI-00055448898*</v>
      </c>
      <c r="J50" s="34" t="str">
        <f>Inventari_2[[#This Row],[COD]]</f>
        <v>*VARI-00055448898*</v>
      </c>
    </row>
    <row r="51" spans="1:10" ht="36.75" customHeight="1">
      <c r="A51" s="166" t="s">
        <v>156</v>
      </c>
      <c r="B51" s="142" t="s">
        <v>154</v>
      </c>
      <c r="C51" s="123" t="s">
        <v>37</v>
      </c>
      <c r="D51" s="69">
        <v>1</v>
      </c>
      <c r="E51" s="31">
        <f>SUMIF(Entrada[CODIGO],Inventari_2[[#This Row],[CODIGO]],Entrada[CANTIDAD])</f>
        <v>0</v>
      </c>
      <c r="F51" s="32">
        <f>SUMIF(Salidas[[CODIGO ]],Inventari_2[[#This Row],[CODIGO]],Salidas[CANTIDAD])</f>
        <v>1</v>
      </c>
      <c r="G51" s="24">
        <f>Inventari_2[[#This Row],[STOCK DE LLEGADA]]+Inventari_2[[#This Row],[ENTRADA ]]-Inventari_2[[#This Row],[SALIDA]]</f>
        <v>0</v>
      </c>
      <c r="H51" s="13">
        <f>VLOOKUP(Inventari_2[[#This Row],[CODIGO]],Inventario[#All],9,FALSE)</f>
        <v>35000</v>
      </c>
      <c r="I51" s="13" t="str">
        <f>"*"&amp;Inventari_2[[#This Row],[CODIGO]]&amp;"*"</f>
        <v>*VARI-00065569222*</v>
      </c>
      <c r="J51" s="34" t="str">
        <f>Inventari_2[[#This Row],[COD]]</f>
        <v>*VARI-00065569222*</v>
      </c>
    </row>
    <row r="52" spans="1:10" ht="36.75" customHeight="1">
      <c r="A52" s="103">
        <v>6970570812492</v>
      </c>
      <c r="B52" s="142" t="s">
        <v>785</v>
      </c>
      <c r="C52" s="123" t="s">
        <v>12</v>
      </c>
      <c r="D52" s="69">
        <v>1</v>
      </c>
      <c r="E52" s="31">
        <f>SUMIF(Entrada[CODIGO],Inventari_2[[#This Row],[CODIGO]],Entrada[CANTIDAD])</f>
        <v>0</v>
      </c>
      <c r="F52" s="32">
        <f>SUMIF(Salidas[[CODIGO ]],Inventari_2[[#This Row],[CODIGO]],Salidas[CANTIDAD])</f>
        <v>0</v>
      </c>
      <c r="G52" s="24">
        <f>Inventari_2[[#This Row],[STOCK DE LLEGADA]]+Inventari_2[[#This Row],[ENTRADA ]]-Inventari_2[[#This Row],[SALIDA]]</f>
        <v>1</v>
      </c>
      <c r="H52" s="13">
        <f>VLOOKUP(Inventari_2[[#This Row],[CODIGO]],Inventario[#All],9,FALSE)</f>
        <v>28000</v>
      </c>
      <c r="I52" s="13" t="str">
        <f>"*"&amp;Inventari_2[[#This Row],[CODIGO]]&amp;"*"</f>
        <v>*6970570812492*</v>
      </c>
      <c r="J52" s="34" t="str">
        <f>Inventari_2[[#This Row],[COD]]</f>
        <v>*6970570812492*</v>
      </c>
    </row>
    <row r="53" spans="1:10" ht="36.75" customHeight="1">
      <c r="A53" s="87">
        <v>4931102457019</v>
      </c>
      <c r="B53" s="142" t="s">
        <v>164</v>
      </c>
      <c r="C53" s="123" t="s">
        <v>12</v>
      </c>
      <c r="D53" s="69">
        <v>1</v>
      </c>
      <c r="E53" s="31">
        <f>SUMIF(Entrada[CODIGO],Inventari_2[[#This Row],[CODIGO]],Entrada[CANTIDAD])</f>
        <v>0</v>
      </c>
      <c r="F53" s="32">
        <f>SUMIF(Salidas[[CODIGO ]],Inventari_2[[#This Row],[CODIGO]],Salidas[CANTIDAD])</f>
        <v>0</v>
      </c>
      <c r="G53" s="24">
        <f>Inventari_2[[#This Row],[STOCK DE LLEGADA]]+Inventari_2[[#This Row],[ENTRADA ]]-Inventari_2[[#This Row],[SALIDA]]</f>
        <v>1</v>
      </c>
      <c r="H53" s="13">
        <f>VLOOKUP(Inventari_2[[#This Row],[CODIGO]],Inventario[#All],9,FALSE)</f>
        <v>37000</v>
      </c>
      <c r="I53" s="13" t="str">
        <f>"*"&amp;Inventari_2[[#This Row],[CODIGO]]&amp;"*"</f>
        <v>*4931102457019*</v>
      </c>
      <c r="J53" s="34" t="str">
        <f>Inventari_2[[#This Row],[COD]]</f>
        <v>*4931102457019*</v>
      </c>
    </row>
    <row r="54" spans="1:10" ht="36.75" customHeight="1">
      <c r="A54" s="89">
        <v>6922008958111</v>
      </c>
      <c r="B54" s="149" t="s">
        <v>168</v>
      </c>
      <c r="C54" s="123" t="s">
        <v>25</v>
      </c>
      <c r="D54" s="69">
        <v>1</v>
      </c>
      <c r="E54" s="31">
        <f>SUMIF(Entrada[CODIGO],Inventari_2[[#This Row],[CODIGO]],Entrada[CANTIDAD])</f>
        <v>0</v>
      </c>
      <c r="F54" s="32">
        <f>SUMIF(Salidas[[CODIGO ]],Inventari_2[[#This Row],[CODIGO]],Salidas[CANTIDAD])</f>
        <v>0</v>
      </c>
      <c r="G54" s="23">
        <f>Inventari_2[[#This Row],[STOCK DE LLEGADA]]+Inventari_2[[#This Row],[ENTRADA ]]-Inventari_2[[#This Row],[SALIDA]]</f>
        <v>1</v>
      </c>
      <c r="H54" s="45">
        <f>VLOOKUP(Inventari_2[[#This Row],[CODIGO]],Inventario[#All],9,FALSE)</f>
        <v>25000</v>
      </c>
      <c r="I54" s="81" t="str">
        <f>"*"&amp;Inventari_2[[#This Row],[CODIGO]]&amp;"*"</f>
        <v>*6922008958111*</v>
      </c>
      <c r="J54" s="34" t="str">
        <f>Inventari_2[[#This Row],[COD]]</f>
        <v>*6922008958111*</v>
      </c>
    </row>
    <row r="55" spans="1:10" ht="36.75" customHeight="1">
      <c r="A55" s="77">
        <v>6354616561993</v>
      </c>
      <c r="B55" s="142" t="s">
        <v>786</v>
      </c>
      <c r="C55" s="123" t="s">
        <v>12</v>
      </c>
      <c r="D55" s="69">
        <v>4</v>
      </c>
      <c r="E55" s="31">
        <f>SUMIF(Entrada[CODIGO],Inventari_2[[#This Row],[CODIGO]],Entrada[CANTIDAD])</f>
        <v>0</v>
      </c>
      <c r="F55" s="32">
        <f>SUMIF(Salidas[[CODIGO ]],Inventari_2[[#This Row],[CODIGO]],Salidas[CANTIDAD])</f>
        <v>1</v>
      </c>
      <c r="G55" s="24">
        <f>Inventari_2[[#This Row],[STOCK DE LLEGADA]]+Inventari_2[[#This Row],[ENTRADA ]]-Inventari_2[[#This Row],[SALIDA]]</f>
        <v>3</v>
      </c>
      <c r="H55" s="22">
        <f>VLOOKUP(Inventari_2[[#This Row],[CODIGO]],Inventario[#All],9,FALSE)</f>
        <v>5000</v>
      </c>
      <c r="I55" s="80" t="str">
        <f>"*"&amp;Inventari_2[[#This Row],[CODIGO]]&amp;"*"</f>
        <v>*6354616561993*</v>
      </c>
      <c r="J55" s="34" t="str">
        <f>Inventari_2[[#This Row],[COD]]</f>
        <v>*6354616561993*</v>
      </c>
    </row>
    <row r="56" spans="1:10" ht="36.75" customHeight="1">
      <c r="A56" s="151" t="s">
        <v>172</v>
      </c>
      <c r="B56" s="142" t="s">
        <v>173</v>
      </c>
      <c r="C56" s="123" t="s">
        <v>12</v>
      </c>
      <c r="D56" s="69">
        <v>4</v>
      </c>
      <c r="E56" s="31">
        <f>SUMIF(Entrada[CODIGO],Inventari_2[[#This Row],[CODIGO]],Entrada[CANTIDAD])</f>
        <v>0</v>
      </c>
      <c r="F56" s="32">
        <f>SUMIF(Salidas[[CODIGO ]],Inventari_2[[#This Row],[CODIGO]],Salidas[CANTIDAD])</f>
        <v>0</v>
      </c>
      <c r="G56" s="23">
        <f>Inventari_2[[#This Row],[STOCK DE LLEGADA]]+Inventari_2[[#This Row],[ENTRADA ]]-Inventari_2[[#This Row],[SALIDA]]</f>
        <v>4</v>
      </c>
      <c r="H56" s="13">
        <f>VLOOKUP(Inventari_2[[#This Row],[CODIGO]],Inventario[#All],9,FALSE)</f>
        <v>7000</v>
      </c>
      <c r="I56" s="13" t="str">
        <f>"*"&amp;Inventari_2[[#This Row],[CODIGO]]&amp;"*"</f>
        <v>*ESCP-00555188*</v>
      </c>
      <c r="J56" s="34" t="str">
        <f>Inventari_2[[#This Row],[COD]]</f>
        <v>*ESCP-00555188*</v>
      </c>
    </row>
    <row r="57" spans="1:10" ht="36.75" customHeight="1">
      <c r="A57" s="88">
        <v>6973181148196</v>
      </c>
      <c r="B57" s="161" t="s">
        <v>175</v>
      </c>
      <c r="C57" s="123" t="s">
        <v>25</v>
      </c>
      <c r="D57" s="125" t="s">
        <v>781</v>
      </c>
      <c r="E57" s="31">
        <f>SUMIF(Entrada[CODIGO],Inventari_2[[#This Row],[CODIGO]],Entrada[CANTIDAD])</f>
        <v>0</v>
      </c>
      <c r="F57" s="32">
        <f>SUMIF(Salidas[[CODIGO ]],Inventari_2[[#This Row],[CODIGO]],Salidas[CANTIDAD])</f>
        <v>0</v>
      </c>
      <c r="G57" s="23">
        <f>Inventari_2[[#This Row],[STOCK DE LLEGADA]]+Inventari_2[[#This Row],[ENTRADA ]]-Inventari_2[[#This Row],[SALIDA]]</f>
        <v>1</v>
      </c>
      <c r="H57" s="13">
        <f>VLOOKUP(Inventari_2[[#This Row],[CODIGO]],Inventario[#All],9,FALSE)</f>
        <v>40000</v>
      </c>
      <c r="I57" s="13" t="str">
        <f>"*"&amp;Inventari_2[[#This Row],[CODIGO]]&amp;"*"</f>
        <v>*6973181148196*</v>
      </c>
      <c r="J57" s="34" t="str">
        <f>Inventari_2[[#This Row],[COD]]</f>
        <v>*6973181148196*</v>
      </c>
    </row>
    <row r="58" spans="1:10" ht="36.75" customHeight="1">
      <c r="A58" s="147" t="s">
        <v>177</v>
      </c>
      <c r="B58" s="10" t="s">
        <v>178</v>
      </c>
      <c r="C58" s="15" t="s">
        <v>44</v>
      </c>
      <c r="D58" s="69">
        <v>1</v>
      </c>
      <c r="E58" s="31">
        <f>SUMIF(Entrada[CODIGO],Inventari_2[[#This Row],[CODIGO]],Entrada[CANTIDAD])</f>
        <v>0</v>
      </c>
      <c r="F58" s="32">
        <f>SUMIF(Salidas[[CODIGO ]],Inventari_2[[#This Row],[CODIGO]],Salidas[CANTIDAD])</f>
        <v>0</v>
      </c>
      <c r="G58" s="23">
        <f>Inventari_2[[#This Row],[STOCK DE LLEGADA]]+Inventari_2[[#This Row],[ENTRADA ]]-Inventari_2[[#This Row],[SALIDA]]</f>
        <v>1</v>
      </c>
      <c r="H58" s="13">
        <f>VLOOKUP(Inventari_2[[#This Row],[CODIGO]],Inventario[#All],9,FALSE)</f>
        <v>10000</v>
      </c>
      <c r="I58" s="13" t="str">
        <f>"*"&amp;Inventari_2[[#This Row],[CODIGO]]&amp;"*"</f>
        <v>*CAR'004*</v>
      </c>
      <c r="J58" s="34" t="str">
        <f>Inventari_2[[#This Row],[COD]]</f>
        <v>*CAR'004*</v>
      </c>
    </row>
    <row r="59" spans="1:10" ht="36.75" customHeight="1">
      <c r="A59" s="87">
        <v>6936380625806</v>
      </c>
      <c r="B59" s="142" t="s">
        <v>180</v>
      </c>
      <c r="C59" s="123" t="s">
        <v>181</v>
      </c>
      <c r="D59" s="69">
        <v>1</v>
      </c>
      <c r="E59" s="31">
        <f>SUMIF(Entrada[CODIGO],Inventari_2[[#This Row],[CODIGO]],Entrada[CANTIDAD])</f>
        <v>0</v>
      </c>
      <c r="F59" s="32">
        <f>SUMIF(Salidas[[CODIGO ]],Inventari_2[[#This Row],[CODIGO]],Salidas[CANTIDAD])</f>
        <v>1</v>
      </c>
      <c r="G59" s="24">
        <f>Inventari_2[[#This Row],[STOCK DE LLEGADA]]+Inventari_2[[#This Row],[ENTRADA ]]-Inventari_2[[#This Row],[SALIDA]]</f>
        <v>0</v>
      </c>
      <c r="H59" s="13">
        <f>VLOOKUP(Inventari_2[[#This Row],[CODIGO]],Inventario[#All],9,FALSE)</f>
        <v>30000</v>
      </c>
      <c r="I59" s="13" t="str">
        <f>"*"&amp;Inventari_2[[#This Row],[CODIGO]]&amp;"*"</f>
        <v>*6936380625806*</v>
      </c>
      <c r="J59" s="34" t="str">
        <f>Inventari_2[[#This Row],[COD]]</f>
        <v>*6936380625806*</v>
      </c>
    </row>
    <row r="60" spans="1:10" ht="36.75" customHeight="1">
      <c r="A60" s="163" t="s">
        <v>183</v>
      </c>
      <c r="B60" s="142" t="s">
        <v>184</v>
      </c>
      <c r="C60" s="123" t="s">
        <v>185</v>
      </c>
      <c r="D60" s="69">
        <v>1</v>
      </c>
      <c r="E60" s="31">
        <f>SUMIF(Entrada[CODIGO],Inventari_2[[#This Row],[CODIGO]],Entrada[CANTIDAD])</f>
        <v>0</v>
      </c>
      <c r="F60" s="32">
        <f>SUMIF(Salidas[[CODIGO ]],Inventari_2[[#This Row],[CODIGO]],Salidas[CANTIDAD])</f>
        <v>0</v>
      </c>
      <c r="G60" s="24">
        <f>Inventari_2[[#This Row],[STOCK DE LLEGADA]]+Inventari_2[[#This Row],[ENTRADA ]]-Inventari_2[[#This Row],[SALIDA]]</f>
        <v>1</v>
      </c>
      <c r="H60" s="13">
        <f>VLOOKUP(Inventari_2[[#This Row],[CODIGO]],Inventario[#All],9,FALSE)</f>
        <v>15000</v>
      </c>
      <c r="I60" s="13" t="str">
        <f>"*"&amp;Inventari_2[[#This Row],[CODIGO]]&amp;"*"</f>
        <v>*CEPP-00111222*</v>
      </c>
      <c r="J60" s="34" t="str">
        <f>Inventari_2[[#This Row],[COD]]</f>
        <v>*CEPP-00111222*</v>
      </c>
    </row>
    <row r="61" spans="1:10" ht="36.75" customHeight="1">
      <c r="A61" s="146">
        <v>6920221024170</v>
      </c>
      <c r="B61" s="142" t="s">
        <v>189</v>
      </c>
      <c r="C61" s="123" t="s">
        <v>12</v>
      </c>
      <c r="D61" s="69">
        <v>1</v>
      </c>
      <c r="E61" s="31">
        <f>SUMIF(Entrada[CODIGO],Inventari_2[[#This Row],[CODIGO]],Entrada[CANTIDAD])</f>
        <v>0</v>
      </c>
      <c r="F61" s="32">
        <f>SUMIF(Salidas[[CODIGO ]],Inventari_2[[#This Row],[CODIGO]],Salidas[CANTIDAD])</f>
        <v>0</v>
      </c>
      <c r="G61" s="23">
        <f>Inventari_2[[#This Row],[STOCK DE LLEGADA]]+Inventari_2[[#This Row],[ENTRADA ]]-Inventari_2[[#This Row],[SALIDA]]</f>
        <v>1</v>
      </c>
      <c r="H61" s="22">
        <f>VLOOKUP(Inventari_2[[#This Row],[CODIGO]],Inventario[#All],9,FALSE)</f>
        <v>6000</v>
      </c>
      <c r="I61" s="22" t="str">
        <f>"*"&amp;Inventari_2[[#This Row],[CODIGO]]&amp;"*"</f>
        <v>*6920221024170*</v>
      </c>
      <c r="J61" s="34" t="str">
        <f>Inventari_2[[#This Row],[COD]]</f>
        <v>*6920221024170*</v>
      </c>
    </row>
    <row r="62" spans="1:10" ht="36.75" customHeight="1">
      <c r="A62" s="148" t="s">
        <v>191</v>
      </c>
      <c r="B62" s="10" t="s">
        <v>192</v>
      </c>
      <c r="C62" s="15" t="s">
        <v>185</v>
      </c>
      <c r="D62" s="69">
        <v>1</v>
      </c>
      <c r="E62" s="31">
        <f>SUMIF(Entrada[CODIGO],Inventari_2[[#This Row],[CODIGO]],Entrada[CANTIDAD])</f>
        <v>0</v>
      </c>
      <c r="F62" s="32">
        <f>SUMIF(Salidas[[CODIGO ]],Inventari_2[[#This Row],[CODIGO]],Salidas[CANTIDAD])</f>
        <v>0</v>
      </c>
      <c r="G62" s="24">
        <f>Inventari_2[[#This Row],[STOCK DE LLEGADA]]+Inventari_2[[#This Row],[ENTRADA ]]-Inventari_2[[#This Row],[SALIDA]]</f>
        <v>1</v>
      </c>
      <c r="H62" s="13">
        <f>VLOOKUP(Inventari_2[[#This Row],[CODIGO]],Inventario[#All],9,FALSE)</f>
        <v>20000</v>
      </c>
      <c r="I62" s="13" t="str">
        <f>"*"&amp;Inventari_2[[#This Row],[CODIGO]]&amp;"*"</f>
        <v>*CINB'011*</v>
      </c>
      <c r="J62" s="34" t="str">
        <f>Inventari_2[[#This Row],[COD]]</f>
        <v>*CINB'011*</v>
      </c>
    </row>
    <row r="63" spans="1:10" ht="36.75" customHeight="1">
      <c r="A63" s="77">
        <v>6800220022011</v>
      </c>
      <c r="B63" s="142" t="s">
        <v>194</v>
      </c>
      <c r="C63" s="123" t="s">
        <v>16</v>
      </c>
      <c r="D63" s="125" t="s">
        <v>781</v>
      </c>
      <c r="E63" s="31">
        <f>SUMIF(Entrada[CODIGO],Inventari_2[[#This Row],[CODIGO]],Entrada[CANTIDAD])</f>
        <v>0</v>
      </c>
      <c r="F63" s="32">
        <f>SUMIF(Salidas[[CODIGO ]],Inventari_2[[#This Row],[CODIGO]],Salidas[CANTIDAD])</f>
        <v>1</v>
      </c>
      <c r="G63" s="23">
        <f>Inventari_2[[#This Row],[STOCK DE LLEGADA]]+Inventari_2[[#This Row],[ENTRADA ]]-Inventari_2[[#This Row],[SALIDA]]</f>
        <v>0</v>
      </c>
      <c r="H63" s="13">
        <f>VLOOKUP(Inventari_2[[#This Row],[CODIGO]],Inventario[#All],9,FALSE)</f>
        <v>70000</v>
      </c>
      <c r="I63" s="13" t="str">
        <f>"*"&amp;Inventari_2[[#This Row],[CODIGO]]&amp;"*"</f>
        <v>*6800220022011*</v>
      </c>
      <c r="J63" s="34" t="str">
        <f>Inventari_2[[#This Row],[COD]]</f>
        <v>*6800220022011*</v>
      </c>
    </row>
    <row r="64" spans="1:10" ht="36.75" customHeight="1">
      <c r="A64" s="146" t="s">
        <v>196</v>
      </c>
      <c r="B64" s="142" t="s">
        <v>197</v>
      </c>
      <c r="C64" s="123" t="s">
        <v>37</v>
      </c>
      <c r="D64" s="69">
        <v>1</v>
      </c>
      <c r="E64" s="31">
        <f>SUMIF(Entrada[CODIGO],Inventari_2[[#This Row],[CODIGO]],Entrada[CANTIDAD])</f>
        <v>9</v>
      </c>
      <c r="F64" s="32">
        <f>SUMIF(Salidas[[CODIGO ]],Inventari_2[[#This Row],[CODIGO]],Salidas[CANTIDAD])</f>
        <v>2</v>
      </c>
      <c r="G64" s="23">
        <v>14</v>
      </c>
      <c r="H64" s="13">
        <f>VLOOKUP(Inventari_2[[#This Row],[CODIGO]],Inventario[#All],9,FALSE)</f>
        <v>7000</v>
      </c>
      <c r="I64" s="13" t="str">
        <f>"*"&amp;Inventari_2[[#This Row],[CODIGO]]&amp;"*"</f>
        <v>*VAR1-001100*</v>
      </c>
      <c r="J64" s="34" t="str">
        <f>Inventari_2[[#This Row],[COD]]</f>
        <v>*VAR1-001100*</v>
      </c>
    </row>
    <row r="65" spans="1:10" ht="36.75" customHeight="1">
      <c r="A65" s="77">
        <v>6938625876912</v>
      </c>
      <c r="B65" s="142" t="s">
        <v>201</v>
      </c>
      <c r="C65" s="123" t="s">
        <v>202</v>
      </c>
      <c r="D65" s="69">
        <v>1</v>
      </c>
      <c r="E65" s="31">
        <f>SUMIF(Entrada[CODIGO],Inventari_2[[#This Row],[CODIGO]],Entrada[CANTIDAD])</f>
        <v>0</v>
      </c>
      <c r="F65" s="32">
        <f>SUMIF(Salidas[[CODIGO ]],Inventari_2[[#This Row],[CODIGO]],Salidas[CANTIDAD])</f>
        <v>0</v>
      </c>
      <c r="G65" s="24">
        <f>Inventari_2[[#This Row],[STOCK DE LLEGADA]]+Inventari_2[[#This Row],[ENTRADA ]]-Inventari_2[[#This Row],[SALIDA]]</f>
        <v>1</v>
      </c>
      <c r="H65" s="13">
        <f>VLOOKUP(Inventari_2[[#This Row],[CODIGO]],Inventario[#All],9,FALSE)</f>
        <v>90000</v>
      </c>
      <c r="I65" s="13" t="str">
        <f>"*"&amp;Inventari_2[[#This Row],[CODIGO]]&amp;"*"</f>
        <v>*6938625876912*</v>
      </c>
      <c r="J65" s="34" t="str">
        <f>Inventari_2[[#This Row],[COD]]</f>
        <v>*6938625876912*</v>
      </c>
    </row>
    <row r="66" spans="1:10" ht="36.75" customHeight="1">
      <c r="A66" s="78">
        <v>6941683602010</v>
      </c>
      <c r="B66" s="149" t="s">
        <v>206</v>
      </c>
      <c r="C66" s="123" t="s">
        <v>12</v>
      </c>
      <c r="D66" s="69">
        <v>3</v>
      </c>
      <c r="E66" s="31">
        <f>SUMIF(Entrada[CODIGO],Inventari_2[[#This Row],[CODIGO]],Entrada[CANTIDAD])</f>
        <v>0</v>
      </c>
      <c r="F66" s="32">
        <f>SUMIF(Salidas[[CODIGO ]],Inventari_2[[#This Row],[CODIGO]],Salidas[CANTIDAD])</f>
        <v>0</v>
      </c>
      <c r="G66" s="23">
        <f>Inventari_2[[#This Row],[STOCK DE LLEGADA]]+Inventari_2[[#This Row],[ENTRADA ]]-Inventari_2[[#This Row],[SALIDA]]</f>
        <v>3</v>
      </c>
      <c r="H66" s="13">
        <f>VLOOKUP(Inventari_2[[#This Row],[CODIGO]],Inventario[#All],9,FALSE)</f>
        <v>5000</v>
      </c>
      <c r="I66" s="81" t="str">
        <f>"*"&amp;Inventari_2[[#This Row],[CODIGO]]&amp;"*"</f>
        <v>*6941683602010*</v>
      </c>
      <c r="J66" s="34" t="str">
        <f>Inventari_2[[#This Row],[COD]]</f>
        <v>*6941683602010*</v>
      </c>
    </row>
    <row r="67" spans="1:10" ht="36.75" customHeight="1">
      <c r="A67" s="77">
        <v>6935769134571</v>
      </c>
      <c r="B67" s="142" t="s">
        <v>210</v>
      </c>
      <c r="C67" s="123" t="s">
        <v>12</v>
      </c>
      <c r="D67" s="69">
        <v>2</v>
      </c>
      <c r="E67" s="31">
        <f>SUMIF(Entrada[CODIGO],Inventari_2[[#This Row],[CODIGO]],Entrada[CANTIDAD])</f>
        <v>0</v>
      </c>
      <c r="F67" s="32">
        <f>SUMIF(Salidas[[CODIGO ]],Inventari_2[[#This Row],[CODIGO]],Salidas[CANTIDAD])</f>
        <v>0</v>
      </c>
      <c r="G67" s="24">
        <f>Inventari_2[[#This Row],[STOCK DE LLEGADA]]+Inventari_2[[#This Row],[ENTRADA ]]-Inventari_2[[#This Row],[SALIDA]]</f>
        <v>2</v>
      </c>
      <c r="H67" s="13">
        <f>VLOOKUP(Inventari_2[[#This Row],[CODIGO]],Inventario[#All],9,FALSE)</f>
        <v>20000</v>
      </c>
      <c r="I67" s="13" t="str">
        <f>"*"&amp;Inventari_2[[#This Row],[CODIGO]]&amp;"*"</f>
        <v>*6935769134571*</v>
      </c>
      <c r="J67" s="34" t="str">
        <f>Inventari_2[[#This Row],[COD]]</f>
        <v>*6935769134571*</v>
      </c>
    </row>
    <row r="68" spans="1:10" ht="36.75" customHeight="1">
      <c r="A68" s="77">
        <v>6974687550155</v>
      </c>
      <c r="B68" s="142" t="s">
        <v>215</v>
      </c>
      <c r="C68" s="123" t="s">
        <v>12</v>
      </c>
      <c r="D68" s="69">
        <v>1</v>
      </c>
      <c r="E68" s="31">
        <f>SUMIF(Entrada[CODIGO],Inventari_2[[#This Row],[CODIGO]],Entrada[CANTIDAD])</f>
        <v>0</v>
      </c>
      <c r="F68" s="32">
        <f>SUMIF(Salidas[[CODIGO ]],Inventari_2[[#This Row],[CODIGO]],Salidas[CANTIDAD])</f>
        <v>0</v>
      </c>
      <c r="G68" s="24">
        <f>Inventari_2[[#This Row],[STOCK DE LLEGADA]]+Inventari_2[[#This Row],[ENTRADA ]]-Inventari_2[[#This Row],[SALIDA]]</f>
        <v>1</v>
      </c>
      <c r="H68" s="22">
        <f>VLOOKUP(Inventari_2[[#This Row],[CODIGO]],Inventario[#All],9,FALSE)</f>
        <v>6000</v>
      </c>
      <c r="I68" s="22" t="str">
        <f>"*"&amp;Inventari_2[[#This Row],[CODIGO]]&amp;"*"</f>
        <v>*6974687550155*</v>
      </c>
      <c r="J68" s="34" t="str">
        <f>Inventari_2[[#This Row],[COD]]</f>
        <v>*6974687550155*</v>
      </c>
    </row>
    <row r="69" spans="1:10" ht="36.75" customHeight="1">
      <c r="A69" s="146">
        <v>6912340426102</v>
      </c>
      <c r="B69" s="142" t="s">
        <v>217</v>
      </c>
      <c r="C69" s="123" t="s">
        <v>12</v>
      </c>
      <c r="D69" s="69">
        <v>2</v>
      </c>
      <c r="E69" s="31">
        <f>SUMIF(Entrada[CODIGO],Inventari_2[[#This Row],[CODIGO]],Entrada[CANTIDAD])</f>
        <v>0</v>
      </c>
      <c r="F69" s="32">
        <f>SUMIF(Salidas[[CODIGO ]],Inventari_2[[#This Row],[CODIGO]],Salidas[CANTIDAD])</f>
        <v>0</v>
      </c>
      <c r="G69" s="23">
        <f>Inventari_2[[#This Row],[STOCK DE LLEGADA]]+Inventari_2[[#This Row],[ENTRADA ]]-Inventari_2[[#This Row],[SALIDA]]</f>
        <v>2</v>
      </c>
      <c r="H69" s="13" t="e">
        <f>VLOOKUP(Inventari_2[[#This Row],[CODIGO]],Inventario[#All],9,FALSE)</f>
        <v>#N/A</v>
      </c>
      <c r="I69" s="13" t="str">
        <f>"*"&amp;Inventari_2[[#This Row],[CODIGO]]&amp;"*"</f>
        <v>*6912340426102*</v>
      </c>
      <c r="J69" s="34" t="str">
        <f>Inventari_2[[#This Row],[COD]]</f>
        <v>*6912340426102*</v>
      </c>
    </row>
    <row r="70" spans="1:10" ht="36.75" customHeight="1">
      <c r="A70" s="87">
        <v>6920190325124</v>
      </c>
      <c r="B70" s="142" t="s">
        <v>222</v>
      </c>
      <c r="C70" s="123" t="s">
        <v>185</v>
      </c>
      <c r="D70" s="126" t="s">
        <v>787</v>
      </c>
      <c r="E70" s="31">
        <f>SUMIF(Entrada[CODIGO],Inventari_2[[#This Row],[CODIGO]],Entrada[CANTIDAD])</f>
        <v>0</v>
      </c>
      <c r="F70" s="32">
        <f>SUMIF(Salidas[[CODIGO ]],Inventari_2[[#This Row],[CODIGO]],Salidas[CANTIDAD])</f>
        <v>0</v>
      </c>
      <c r="G70" s="23">
        <f>Inventari_2[[#This Row],[STOCK DE LLEGADA]]+Inventari_2[[#This Row],[ENTRADA ]]-Inventari_2[[#This Row],[SALIDA]]</f>
        <v>2</v>
      </c>
      <c r="H70" s="13">
        <f>VLOOKUP(Inventari_2[[#This Row],[CODIGO]],Inventario[#All],9,FALSE)</f>
        <v>8000</v>
      </c>
      <c r="I70" s="13" t="str">
        <f>"*"&amp;Inventari_2[[#This Row],[CODIGO]]&amp;"*"</f>
        <v>*6920190325124*</v>
      </c>
      <c r="J70" s="34" t="str">
        <f>Inventari_2[[#This Row],[COD]]</f>
        <v>*6920190325124*</v>
      </c>
    </row>
    <row r="71" spans="1:10" ht="36.75" customHeight="1">
      <c r="A71" s="77">
        <v>6920190325131</v>
      </c>
      <c r="B71" s="142" t="s">
        <v>222</v>
      </c>
      <c r="C71" s="123" t="s">
        <v>185</v>
      </c>
      <c r="D71" s="69">
        <v>2</v>
      </c>
      <c r="E71" s="31">
        <f>SUMIF(Entrada[CODIGO],Inventari_2[[#This Row],[CODIGO]],Entrada[CANTIDAD])</f>
        <v>0</v>
      </c>
      <c r="F71" s="32">
        <f>SUMIF(Salidas[[CODIGO ]],Inventari_2[[#This Row],[CODIGO]],Salidas[CANTIDAD])</f>
        <v>0</v>
      </c>
      <c r="G71" s="23">
        <f>Inventari_2[[#This Row],[STOCK DE LLEGADA]]+Inventari_2[[#This Row],[ENTRADA ]]-Inventari_2[[#This Row],[SALIDA]]</f>
        <v>2</v>
      </c>
      <c r="H71" s="13">
        <f>VLOOKUP(Inventari_2[[#This Row],[CODIGO]],Inventario[#All],9,FALSE)</f>
        <v>8000</v>
      </c>
      <c r="I71" s="13" t="str">
        <f>"*"&amp;Inventari_2[[#This Row],[CODIGO]]&amp;"*"</f>
        <v>*6920190325131*</v>
      </c>
      <c r="J71" s="34" t="str">
        <f>Inventari_2[[#This Row],[COD]]</f>
        <v>*6920190325131*</v>
      </c>
    </row>
    <row r="72" spans="1:10" ht="36.75" customHeight="1">
      <c r="A72" s="89">
        <v>7709532142396</v>
      </c>
      <c r="B72" s="149" t="s">
        <v>788</v>
      </c>
      <c r="C72" s="123" t="s">
        <v>37</v>
      </c>
      <c r="D72" s="69">
        <v>13</v>
      </c>
      <c r="E72" s="31">
        <f>SUMIF(Entrada[CODIGO],Inventari_2[[#This Row],[CODIGO]],Entrada[CANTIDAD])</f>
        <v>0</v>
      </c>
      <c r="F72" s="32">
        <f>SUMIF(Salidas[[CODIGO ]],Inventari_2[[#This Row],[CODIGO]],Salidas[CANTIDAD])</f>
        <v>1</v>
      </c>
      <c r="G72" s="23">
        <f>Inventari_2[[#This Row],[STOCK DE LLEGADA]]+Inventari_2[[#This Row],[ENTRADA ]]-Inventari_2[[#This Row],[SALIDA]]</f>
        <v>12</v>
      </c>
      <c r="H72" s="22">
        <f>VLOOKUP(Inventari_2[[#This Row],[CODIGO]],Inventario[#All],9,FALSE)</f>
        <v>30000</v>
      </c>
      <c r="I72" s="22" t="str">
        <f>"*"&amp;Inventari_2[[#This Row],[CODIGO]]&amp;"*"</f>
        <v>*7709532142396*</v>
      </c>
      <c r="J72" s="34" t="str">
        <f>Inventari_2[[#This Row],[COD]]</f>
        <v>*7709532142396*</v>
      </c>
    </row>
    <row r="73" spans="1:10" ht="36.75" customHeight="1">
      <c r="A73" s="150" t="s">
        <v>227</v>
      </c>
      <c r="B73" s="10" t="s">
        <v>228</v>
      </c>
      <c r="C73" s="10" t="s">
        <v>185</v>
      </c>
      <c r="D73" s="69">
        <v>1</v>
      </c>
      <c r="E73" s="31">
        <f>SUMIF(Entrada[CODIGO],Inventari_2[[#This Row],[CODIGO]],Entrada[CANTIDAD])</f>
        <v>0</v>
      </c>
      <c r="F73" s="32">
        <f>SUMIF(Salidas[[CODIGO ]],Inventari_2[[#This Row],[CODIGO]],Salidas[CANTIDAD])</f>
        <v>0</v>
      </c>
      <c r="G73" s="23">
        <f>Inventari_2[[#This Row],[STOCK DE LLEGADA]]+Inventari_2[[#This Row],[ENTRADA ]]-Inventari_2[[#This Row],[SALIDA]]</f>
        <v>1</v>
      </c>
      <c r="H73" s="13">
        <f>VLOOKUP(Inventari_2[[#This Row],[CODIGO]],Inventario[#All],9,FALSE)</f>
        <v>65000</v>
      </c>
      <c r="I73" s="13" t="str">
        <f>"*"&amp;Inventari_2[[#This Row],[CODIGO]]&amp;"*"</f>
        <v>*DIA-001*</v>
      </c>
      <c r="J73" s="34" t="str">
        <f>Inventari_2[[#This Row],[COD]]</f>
        <v>*DIA-001*</v>
      </c>
    </row>
    <row r="74" spans="1:10" ht="36.75" customHeight="1">
      <c r="A74" s="145" t="s">
        <v>230</v>
      </c>
      <c r="B74" s="142" t="s">
        <v>231</v>
      </c>
      <c r="C74" s="123" t="s">
        <v>37</v>
      </c>
      <c r="D74" s="69">
        <v>1</v>
      </c>
      <c r="E74" s="31">
        <f>SUMIF(Entrada[CODIGO],Inventari_2[[#This Row],[CODIGO]],Entrada[CANTIDAD])</f>
        <v>0</v>
      </c>
      <c r="F74" s="32">
        <f>SUMIF(Salidas[[CODIGO ]],Inventari_2[[#This Row],[CODIGO]],Salidas[CANTIDAD])</f>
        <v>2</v>
      </c>
      <c r="G74" s="24">
        <f>Inventari_2[[#This Row],[STOCK DE LLEGADA]]+Inventari_2[[#This Row],[ENTRADA ]]-Inventari_2[[#This Row],[SALIDA]]</f>
        <v>-1</v>
      </c>
      <c r="H74" s="13">
        <f>VLOOKUP(Inventari_2[[#This Row],[CODIGO]],Inventario[#All],9,FALSE)</f>
        <v>3000</v>
      </c>
      <c r="I74" s="13" t="str">
        <f>"*"&amp;Inventari_2[[#This Row],[CODIGO]]&amp;"*"</f>
        <v>*VARI-00055520*</v>
      </c>
      <c r="J74" s="34" t="str">
        <f>Inventari_2[[#This Row],[COD]]</f>
        <v>*VARI-00055520*</v>
      </c>
    </row>
    <row r="75" spans="1:10" ht="36.75" customHeight="1">
      <c r="A75" s="88">
        <v>6971010801083</v>
      </c>
      <c r="B75" s="144" t="s">
        <v>233</v>
      </c>
      <c r="C75" s="124" t="s">
        <v>12</v>
      </c>
      <c r="D75" s="69">
        <v>1</v>
      </c>
      <c r="E75" s="31">
        <f>SUMIF(Entrada[CODIGO],Inventari_2[[#This Row],[CODIGO]],Entrada[CANTIDAD])</f>
        <v>0</v>
      </c>
      <c r="F75" s="32">
        <f>SUMIF(Salidas[[CODIGO ]],Inventari_2[[#This Row],[CODIGO]],Salidas[CANTIDAD])</f>
        <v>0</v>
      </c>
      <c r="G75" s="24">
        <f>Inventari_2[[#This Row],[STOCK DE LLEGADA]]+Inventari_2[[#This Row],[ENTRADA ]]-Inventari_2[[#This Row],[SALIDA]]</f>
        <v>1</v>
      </c>
      <c r="H75" s="22">
        <f>VLOOKUP(Inventari_2[[#This Row],[CODIGO]],Inventario[#All],9,FALSE)</f>
        <v>5000</v>
      </c>
      <c r="I75" s="22" t="str">
        <f>"*"&amp;Inventari_2[[#This Row],[CODIGO]]&amp;"*"</f>
        <v>*6971010801083*</v>
      </c>
      <c r="J75" s="34" t="str">
        <f>Inventari_2[[#This Row],[COD]]</f>
        <v>*6971010801083*</v>
      </c>
    </row>
    <row r="76" spans="1:10" ht="36.75" customHeight="1">
      <c r="A76" s="105">
        <v>6971010802493</v>
      </c>
      <c r="B76" s="149" t="s">
        <v>789</v>
      </c>
      <c r="C76" s="123" t="s">
        <v>25</v>
      </c>
      <c r="D76" s="69">
        <v>1</v>
      </c>
      <c r="E76" s="31">
        <f>SUMIF(Entrada[CODIGO],Inventari_2[[#This Row],[CODIGO]],Entrada[CANTIDAD])</f>
        <v>18</v>
      </c>
      <c r="F76" s="32">
        <f>SUMIF(Salidas[[CODIGO ]],Inventari_2[[#This Row],[CODIGO]],Salidas[CANTIDAD])</f>
        <v>1</v>
      </c>
      <c r="G76" s="24">
        <f>Inventari_2[[#This Row],[STOCK DE LLEGADA]]+Inventari_2[[#This Row],[ENTRADA ]]-Inventari_2[[#This Row],[SALIDA]]</f>
        <v>18</v>
      </c>
      <c r="H76" s="45">
        <f>VLOOKUP(Inventari_2[[#This Row],[CODIGO]],Inventario[#All],9,FALSE)</f>
        <v>7000</v>
      </c>
      <c r="I76" s="13" t="str">
        <f>"*"&amp;Inventari_2[[#This Row],[CODIGO]]&amp;"*"</f>
        <v>*6971010802493*</v>
      </c>
      <c r="J76" s="34" t="str">
        <f>Inventari_2[[#This Row],[COD]]</f>
        <v>*6971010802493*</v>
      </c>
    </row>
    <row r="77" spans="1:10" ht="36.75" customHeight="1">
      <c r="A77" s="167" t="s">
        <v>241</v>
      </c>
      <c r="B77" s="10" t="s">
        <v>242</v>
      </c>
      <c r="C77" s="15" t="s">
        <v>56</v>
      </c>
      <c r="D77" s="69">
        <v>1</v>
      </c>
      <c r="E77" s="31">
        <f>SUMIF(Entrada[CODIGO],Inventari_2[[#This Row],[CODIGO]],Entrada[CANTIDAD])</f>
        <v>0</v>
      </c>
      <c r="F77" s="32">
        <f>SUMIF(Salidas[[CODIGO ]],Inventari_2[[#This Row],[CODIGO]],Salidas[CANTIDAD])</f>
        <v>0</v>
      </c>
      <c r="G77" s="23">
        <f>Inventari_2[[#This Row],[STOCK DE LLEGADA]]+Inventari_2[[#This Row],[ENTRADA ]]-Inventari_2[[#This Row],[SALIDA]]</f>
        <v>1</v>
      </c>
      <c r="H77" s="22">
        <f>VLOOKUP(Inventari_2[[#This Row],[CODIGO]],Inventario[#All],9,FALSE)</f>
        <v>20000</v>
      </c>
      <c r="I77" s="22" t="str">
        <f>"*"&amp;Inventari_2[[#This Row],[CODIGO]]&amp;"*"</f>
        <v>*LAMP-007*</v>
      </c>
      <c r="J77" s="34" t="str">
        <f>Inventari_2[[#This Row],[COD]]</f>
        <v>*LAMP-007*</v>
      </c>
    </row>
    <row r="78" spans="1:10" ht="36.75" customHeight="1">
      <c r="A78" s="167" t="s">
        <v>244</v>
      </c>
      <c r="B78" s="149" t="s">
        <v>245</v>
      </c>
      <c r="C78" s="123" t="s">
        <v>44</v>
      </c>
      <c r="D78" s="69">
        <v>1</v>
      </c>
      <c r="E78" s="31">
        <f>SUMIF(Entrada[CODIGO],Inventari_2[[#This Row],[CODIGO]],Entrada[CANTIDAD])</f>
        <v>0</v>
      </c>
      <c r="F78" s="32">
        <f>SUMIF(Salidas[[CODIGO ]],Inventari_2[[#This Row],[CODIGO]],Salidas[CANTIDAD])</f>
        <v>0</v>
      </c>
      <c r="G78" s="23">
        <f>Inventari_2[[#This Row],[STOCK DE LLEGADA]]+Inventari_2[[#This Row],[ENTRADA ]]-Inventari_2[[#This Row],[SALIDA]]</f>
        <v>1</v>
      </c>
      <c r="H78" s="13">
        <f>VLOOKUP(Inventari_2[[#This Row],[CODIGO]],Inventario[#All],9,FALSE)</f>
        <v>19000</v>
      </c>
      <c r="I78" s="13" t="str">
        <f>"*"&amp;Inventari_2[[#This Row],[CODIGO]]&amp;"*"</f>
        <v>*LAMP-006*</v>
      </c>
      <c r="J78" s="34" t="str">
        <f>Inventari_2[[#This Row],[COD]]</f>
        <v>*LAMP-006*</v>
      </c>
    </row>
    <row r="79" spans="1:10" ht="36.75" customHeight="1">
      <c r="A79" s="145">
        <v>1212435573212</v>
      </c>
      <c r="B79" s="142" t="s">
        <v>254</v>
      </c>
      <c r="C79" s="124" t="s">
        <v>255</v>
      </c>
      <c r="D79" s="69">
        <v>1</v>
      </c>
      <c r="E79" s="31">
        <f>SUMIF(Entrada[CODIGO],Inventari_2[[#This Row],[CODIGO]],Entrada[CANTIDAD])</f>
        <v>0</v>
      </c>
      <c r="F79" s="32">
        <f>SUMIF(Salidas[[CODIGO ]],Inventari_2[[#This Row],[CODIGO]],Salidas[CANTIDAD])</f>
        <v>0</v>
      </c>
      <c r="G79" s="23">
        <f>Inventari_2[[#This Row],[STOCK DE LLEGADA]]+Inventari_2[[#This Row],[ENTRADA ]]-Inventari_2[[#This Row],[SALIDA]]</f>
        <v>1</v>
      </c>
      <c r="H79" s="22">
        <f>VLOOKUP(Inventari_2[[#This Row],[CODIGO]],Inventario[#All],9,FALSE)</f>
        <v>30000</v>
      </c>
      <c r="I79" s="22" t="str">
        <f>"*"&amp;Inventari_2[[#This Row],[CODIGO]]&amp;"*"</f>
        <v>*1212435573212*</v>
      </c>
      <c r="J79" s="34" t="str">
        <f>Inventari_2[[#This Row],[COD]]</f>
        <v>*1212435573212*</v>
      </c>
    </row>
    <row r="80" spans="1:10" ht="36.75" customHeight="1">
      <c r="A80" s="88">
        <v>6924670393177</v>
      </c>
      <c r="B80" s="144" t="s">
        <v>257</v>
      </c>
      <c r="C80" s="124" t="s">
        <v>12</v>
      </c>
      <c r="D80" s="69">
        <v>1</v>
      </c>
      <c r="E80" s="31">
        <f>SUMIF(Entrada[CODIGO],Inventari_2[[#This Row],[CODIGO]],Entrada[CANTIDAD])</f>
        <v>0</v>
      </c>
      <c r="F80" s="32">
        <f>SUMIF(Salidas[[CODIGO ]],Inventari_2[[#This Row],[CODIGO]],Salidas[CANTIDAD])</f>
        <v>0</v>
      </c>
      <c r="G80" s="24">
        <f>Inventari_2[[#This Row],[STOCK DE LLEGADA]]+Inventari_2[[#This Row],[ENTRADA ]]-Inventari_2[[#This Row],[SALIDA]]</f>
        <v>1</v>
      </c>
      <c r="H80" s="13">
        <f>VLOOKUP(Inventari_2[[#This Row],[CODIGO]],Inventario[#All],9,FALSE)</f>
        <v>5000</v>
      </c>
      <c r="I80" s="13" t="str">
        <f>"*"&amp;Inventari_2[[#This Row],[CODIGO]]&amp;"*"</f>
        <v>*6924670393177*</v>
      </c>
      <c r="J80" s="34" t="str">
        <f>Inventari_2[[#This Row],[COD]]</f>
        <v>*6924670393177*</v>
      </c>
    </row>
    <row r="81" spans="1:10" ht="36.75" customHeight="1">
      <c r="A81" s="234" t="s">
        <v>908</v>
      </c>
      <c r="B81" s="142" t="s">
        <v>259</v>
      </c>
      <c r="C81" s="123" t="s">
        <v>12</v>
      </c>
      <c r="D81" s="69">
        <v>1</v>
      </c>
      <c r="E81" s="31">
        <f>SUMIF(Entrada[CODIGO],Inventari_2[[#This Row],[CODIGO]],Entrada[CANTIDAD])</f>
        <v>0</v>
      </c>
      <c r="F81" s="32">
        <f>SUMIF(Salidas[[CODIGO ]],Inventari_2[[#This Row],[CODIGO]],Salidas[CANTIDAD])</f>
        <v>1</v>
      </c>
      <c r="G81" s="24">
        <f>Inventari_2[[#This Row],[STOCK DE LLEGADA]]+Inventari_2[[#This Row],[ENTRADA ]]-Inventari_2[[#This Row],[SALIDA]]</f>
        <v>0</v>
      </c>
      <c r="H81" s="22">
        <f>VLOOKUP(Inventari_2[[#This Row],[CODIGO]],Inventario[#All],9,FALSE)</f>
        <v>30000</v>
      </c>
      <c r="I81" s="22" t="str">
        <f>"*"&amp;Inventari_2[[#This Row],[CODIGO]]&amp;"*"</f>
        <v>*c18542541236576*</v>
      </c>
      <c r="J81" s="34" t="str">
        <f>Inventari_2[[#This Row],[COD]]</f>
        <v>*c18542541236576*</v>
      </c>
    </row>
    <row r="82" spans="1:10" ht="36.75" customHeight="1">
      <c r="A82" s="151" t="s">
        <v>264</v>
      </c>
      <c r="B82" s="142" t="s">
        <v>265</v>
      </c>
      <c r="C82" s="123" t="s">
        <v>44</v>
      </c>
      <c r="D82" s="69">
        <v>1</v>
      </c>
      <c r="E82" s="31">
        <f>SUMIF(Entrada[CODIGO],Inventari_2[[#This Row],[CODIGO]],Entrada[CANTIDAD])</f>
        <v>0</v>
      </c>
      <c r="F82" s="32">
        <f>SUMIF(Salidas[[CODIGO ]],Inventari_2[[#This Row],[CODIGO]],Salidas[CANTIDAD])</f>
        <v>0</v>
      </c>
      <c r="G82" s="23">
        <f>Inventari_2[[#This Row],[STOCK DE LLEGADA]]+Inventari_2[[#This Row],[ENTRADA ]]-Inventari_2[[#This Row],[SALIDA]]</f>
        <v>1</v>
      </c>
      <c r="H82" s="13">
        <f>VLOOKUP(Inventari_2[[#This Row],[CODIGO]],Inventario[#All],9,FALSE)</f>
        <v>50000</v>
      </c>
      <c r="I82" s="13" t="str">
        <f>"*"&amp;Inventari_2[[#This Row],[CODIGO]]&amp;"*"</f>
        <v>*VARI-007115524*</v>
      </c>
      <c r="J82" s="34" t="str">
        <f>Inventari_2[[#This Row],[COD]]</f>
        <v>*VARI-007115524*</v>
      </c>
    </row>
    <row r="83" spans="1:10" ht="36.75" customHeight="1">
      <c r="A83" s="145">
        <v>7809460042611</v>
      </c>
      <c r="B83" s="142" t="s">
        <v>267</v>
      </c>
      <c r="C83" s="123" t="s">
        <v>12</v>
      </c>
      <c r="D83" s="69">
        <v>1</v>
      </c>
      <c r="E83" s="31">
        <f>SUMIF(Entrada[CODIGO],Inventari_2[[#This Row],[CODIGO]],Entrada[CANTIDAD])</f>
        <v>0</v>
      </c>
      <c r="F83" s="32">
        <f>SUMIF(Salidas[[CODIGO ]],Inventari_2[[#This Row],[CODIGO]],Salidas[CANTIDAD])</f>
        <v>0</v>
      </c>
      <c r="G83" s="23">
        <f>Inventari_2[[#This Row],[STOCK DE LLEGADA]]+Inventari_2[[#This Row],[ENTRADA ]]-Inventari_2[[#This Row],[SALIDA]]</f>
        <v>1</v>
      </c>
      <c r="H83" s="13">
        <f>VLOOKUP(Inventari_2[[#This Row],[CODIGO]],Inventario[#All],9,FALSE)</f>
        <v>100000</v>
      </c>
      <c r="I83" s="13" t="str">
        <f>"*"&amp;Inventari_2[[#This Row],[CODIGO]]&amp;"*"</f>
        <v>*7809460042611*</v>
      </c>
      <c r="J83" s="34" t="str">
        <f>Inventari_2[[#This Row],[COD]]</f>
        <v>*7809460042611*</v>
      </c>
    </row>
    <row r="84" spans="1:10" ht="36.75" customHeight="1">
      <c r="A84" s="146" t="s">
        <v>271</v>
      </c>
      <c r="B84" s="142" t="s">
        <v>790</v>
      </c>
      <c r="C84" s="123" t="s">
        <v>12</v>
      </c>
      <c r="D84" s="69">
        <v>1</v>
      </c>
      <c r="E84" s="31">
        <f>SUMIF(Entrada[CODIGO],Inventari_2[[#This Row],[CODIGO]],Entrada[CANTIDAD])</f>
        <v>0</v>
      </c>
      <c r="F84" s="32">
        <f>SUMIF(Salidas[[CODIGO ]],Inventari_2[[#This Row],[CODIGO]],Salidas[CANTIDAD])</f>
        <v>0</v>
      </c>
      <c r="G84" s="23">
        <f>Inventari_2[[#This Row],[STOCK DE LLEGADA]]+Inventari_2[[#This Row],[ENTRADA ]]-Inventari_2[[#This Row],[SALIDA]]</f>
        <v>1</v>
      </c>
      <c r="H84" s="13">
        <f>VLOOKUP(Inventari_2[[#This Row],[CODIGO]],Inventario[#All],9,FALSE)</f>
        <v>40000</v>
      </c>
      <c r="I84" s="168">
        <v>6986556170203</v>
      </c>
      <c r="J84" s="82">
        <f>Inventari_2[[#This Row],[COD]]</f>
        <v>6986556170203</v>
      </c>
    </row>
    <row r="85" spans="1:10" ht="36.75" customHeight="1">
      <c r="A85" s="87">
        <v>6975699650178</v>
      </c>
      <c r="B85" s="142" t="s">
        <v>274</v>
      </c>
      <c r="C85" s="123" t="s">
        <v>67</v>
      </c>
      <c r="D85" s="125" t="s">
        <v>781</v>
      </c>
      <c r="E85" s="31">
        <f>SUMIF(Entrada[CODIGO],Inventari_2[[#This Row],[CODIGO]],Entrada[CANTIDAD])</f>
        <v>0</v>
      </c>
      <c r="F85" s="32">
        <f>SUMIF(Salidas[[CODIGO ]],Inventari_2[[#This Row],[CODIGO]],Salidas[CANTIDAD])</f>
        <v>0</v>
      </c>
      <c r="G85" s="23">
        <f>Inventari_2[[#This Row],[STOCK DE LLEGADA]]+Inventari_2[[#This Row],[ENTRADA ]]-Inventari_2[[#This Row],[SALIDA]]</f>
        <v>1</v>
      </c>
      <c r="H85" s="22">
        <f>VLOOKUP(Inventari_2[[#This Row],[CODIGO]],Inventario[#All],9,FALSE)</f>
        <v>25000</v>
      </c>
      <c r="I85" s="22" t="str">
        <f>"*"&amp;Inventari_2[[#This Row],[CODIGO]]&amp;"*"</f>
        <v>*6975699650178*</v>
      </c>
      <c r="J85" s="34" t="str">
        <f>Inventari_2[[#This Row],[COD]]</f>
        <v>*6975699650178*</v>
      </c>
    </row>
    <row r="86" spans="1:10" ht="36.75" customHeight="1">
      <c r="A86" s="166" t="s">
        <v>279</v>
      </c>
      <c r="B86" s="142" t="s">
        <v>280</v>
      </c>
      <c r="C86" s="123" t="s">
        <v>52</v>
      </c>
      <c r="D86" s="69">
        <v>1</v>
      </c>
      <c r="E86" s="31">
        <f>SUMIF(Entrada[CODIGO],Inventari_2[[#This Row],[CODIGO]],Entrada[CANTIDAD])</f>
        <v>2</v>
      </c>
      <c r="F86" s="32">
        <f>SUMIF(Salidas[[CODIGO ]],Inventari_2[[#This Row],[CODIGO]],Salidas[CANTIDAD])</f>
        <v>1</v>
      </c>
      <c r="G86" s="23">
        <f>Inventari_2[[#This Row],[STOCK DE LLEGADA]]+Inventari_2[[#This Row],[ENTRADA ]]-Inventari_2[[#This Row],[SALIDA]]</f>
        <v>2</v>
      </c>
      <c r="H86" s="13">
        <f>VLOOKUP(Inventari_2[[#This Row],[CODIGO]],Inventario[#All],9,FALSE)</f>
        <v>70000</v>
      </c>
      <c r="I86" s="79" t="str">
        <f>"*"&amp;Inventari_2[[#This Row],[CODIGO]]&amp;"*"</f>
        <v>*VARI-0044877*</v>
      </c>
      <c r="J86" s="34" t="str">
        <f>Inventari_2[[#This Row],[COD]]</f>
        <v>*VARI-0044877*</v>
      </c>
    </row>
    <row r="87" spans="1:10" ht="36.75" customHeight="1">
      <c r="A87" s="77">
        <v>6900010009991</v>
      </c>
      <c r="B87" s="142" t="s">
        <v>289</v>
      </c>
      <c r="C87" s="123" t="s">
        <v>12</v>
      </c>
      <c r="D87" s="69">
        <v>4</v>
      </c>
      <c r="E87" s="31">
        <f>SUMIF(Entrada[CODIGO],Inventari_2[[#This Row],[CODIGO]],Entrada[CANTIDAD])</f>
        <v>0</v>
      </c>
      <c r="F87" s="32">
        <f>SUMIF(Salidas[[CODIGO ]],Inventari_2[[#This Row],[CODIGO]],Salidas[CANTIDAD])</f>
        <v>1</v>
      </c>
      <c r="G87" s="24">
        <f>Inventari_2[[#This Row],[STOCK DE LLEGADA]]+Inventari_2[[#This Row],[ENTRADA ]]-Inventari_2[[#This Row],[SALIDA]]</f>
        <v>3</v>
      </c>
      <c r="H87" s="13">
        <f>VLOOKUP(Inventari_2[[#This Row],[CODIGO]],Inventario[#All],9,FALSE)</f>
        <v>5000</v>
      </c>
      <c r="I87" s="81" t="str">
        <f>"*"&amp;Inventari_2[[#This Row],[CODIGO]]&amp;"*"</f>
        <v>*6900010009991*</v>
      </c>
      <c r="J87" s="34" t="str">
        <f>Inventari_2[[#This Row],[COD]]</f>
        <v>*6900010009991*</v>
      </c>
    </row>
    <row r="88" spans="1:10" ht="36.75" customHeight="1">
      <c r="A88" s="89">
        <v>6599417022353</v>
      </c>
      <c r="B88" s="149" t="s">
        <v>291</v>
      </c>
      <c r="C88" s="123" t="s">
        <v>12</v>
      </c>
      <c r="D88" s="69">
        <v>1</v>
      </c>
      <c r="E88" s="31">
        <f>SUMIF(Entrada[CODIGO],Inventari_2[[#This Row],[CODIGO]],Entrada[CANTIDAD])</f>
        <v>0</v>
      </c>
      <c r="F88" s="32">
        <f>SUMIF(Salidas[[CODIGO ]],Inventari_2[[#This Row],[CODIGO]],Salidas[CANTIDAD])</f>
        <v>0</v>
      </c>
      <c r="G88" s="23">
        <f>Inventari_2[[#This Row],[STOCK DE LLEGADA]]+Inventari_2[[#This Row],[ENTRADA ]]-Inventari_2[[#This Row],[SALIDA]]</f>
        <v>1</v>
      </c>
      <c r="H88" s="13">
        <f>VLOOKUP(Inventari_2[[#This Row],[CODIGO]],Inventario[#All],9,FALSE)</f>
        <v>6666.666666666667</v>
      </c>
      <c r="I88" s="81" t="str">
        <f>"*"&amp;Inventari_2[[#This Row],[CODIGO]]&amp;"*"</f>
        <v>*6599417022353*</v>
      </c>
      <c r="J88" s="34" t="str">
        <f>Inventari_2[[#This Row],[COD]]</f>
        <v>*6599417022353*</v>
      </c>
    </row>
    <row r="89" spans="1:10" ht="36.75" customHeight="1">
      <c r="A89" s="163" t="s">
        <v>293</v>
      </c>
      <c r="B89" s="142" t="s">
        <v>294</v>
      </c>
      <c r="C89" s="123" t="s">
        <v>52</v>
      </c>
      <c r="D89" s="69">
        <v>1</v>
      </c>
      <c r="E89" s="31">
        <f>SUMIF(Entrada[CODIGO],Inventari_2[[#This Row],[CODIGO]],Entrada[CANTIDAD])</f>
        <v>0</v>
      </c>
      <c r="F89" s="32">
        <f>SUMIF(Salidas[[CODIGO ]],Inventari_2[[#This Row],[CODIGO]],Salidas[CANTIDAD])</f>
        <v>0</v>
      </c>
      <c r="G89" s="23">
        <f>Inventari_2[[#This Row],[STOCK DE LLEGADA]]+Inventari_2[[#This Row],[ENTRADA ]]-Inventari_2[[#This Row],[SALIDA]]</f>
        <v>1</v>
      </c>
      <c r="H89" s="22">
        <f>VLOOKUP(Inventari_2[[#This Row],[CODIGO]],Inventario[#All],9,FALSE)</f>
        <v>80000</v>
      </c>
      <c r="I89" s="80" t="str">
        <f>"*"&amp;Inventari_2[[#This Row],[CODIGO]]&amp;"*"</f>
        <v>*ESCP-22118*</v>
      </c>
      <c r="J89" s="34" t="str">
        <f>Inventari_2[[#This Row],[COD]]</f>
        <v>*ESCP-22118*</v>
      </c>
    </row>
    <row r="90" spans="1:10" ht="36.75" customHeight="1">
      <c r="A90" s="169" t="s">
        <v>296</v>
      </c>
      <c r="B90" s="144" t="s">
        <v>294</v>
      </c>
      <c r="C90" s="124" t="s">
        <v>16</v>
      </c>
      <c r="D90" s="69">
        <v>1</v>
      </c>
      <c r="E90" s="31">
        <f>SUMIF(Entrada[CODIGO],Inventari_2[[#This Row],[CODIGO]],Entrada[CANTIDAD])</f>
        <v>0</v>
      </c>
      <c r="F90" s="32">
        <f>SUMIF(Salidas[[CODIGO ]],Inventari_2[[#This Row],[CODIGO]],Salidas[CANTIDAD])</f>
        <v>0</v>
      </c>
      <c r="G90" s="23">
        <f>Inventari_2[[#This Row],[STOCK DE LLEGADA]]+Inventari_2[[#This Row],[ENTRADA ]]-Inventari_2[[#This Row],[SALIDA]]</f>
        <v>1</v>
      </c>
      <c r="H90" s="13">
        <f>VLOOKUP(Inventari_2[[#This Row],[CODIGO]],Inventario[#All],9,FALSE)</f>
        <v>67000</v>
      </c>
      <c r="I90" s="81" t="str">
        <f>"*"&amp;Inventari_2[[#This Row],[CODIGO]]&amp;"*"</f>
        <v>*JUGUE-44778*</v>
      </c>
      <c r="J90" s="34" t="str">
        <f>Inventari_2[[#This Row],[COD]]</f>
        <v>*JUGUE-44778*</v>
      </c>
    </row>
    <row r="91" spans="1:10" ht="36.75" customHeight="1">
      <c r="A91" s="146">
        <v>6975608880603</v>
      </c>
      <c r="B91" s="142" t="s">
        <v>301</v>
      </c>
      <c r="C91" s="123" t="s">
        <v>16</v>
      </c>
      <c r="D91" s="69">
        <v>1</v>
      </c>
      <c r="E91" s="31">
        <f>SUMIF(Entrada[CODIGO],Inventari_2[[#This Row],[CODIGO]],Entrada[CANTIDAD])</f>
        <v>1</v>
      </c>
      <c r="F91" s="32">
        <f>SUMIF(Salidas[[CODIGO ]],Inventari_2[[#This Row],[CODIGO]],Salidas[CANTIDAD])</f>
        <v>1</v>
      </c>
      <c r="G91" s="23">
        <f>Inventari_2[[#This Row],[STOCK DE LLEGADA]]+Inventari_2[[#This Row],[ENTRADA ]]-Inventari_2[[#This Row],[SALIDA]]</f>
        <v>1</v>
      </c>
      <c r="H91" s="13">
        <f>VLOOKUP(Inventari_2[[#This Row],[CODIGO]],Inventario[#All],9,FALSE)</f>
        <v>65000</v>
      </c>
      <c r="I91" s="13" t="str">
        <f>"*"&amp;Inventari_2[[#This Row],[CODIGO]]&amp;"*"</f>
        <v>*6975608880603*</v>
      </c>
      <c r="J91" s="34" t="str">
        <f>Inventari_2[[#This Row],[COD]]</f>
        <v>*6975608880603*</v>
      </c>
    </row>
    <row r="92" spans="1:10" ht="36.75" customHeight="1">
      <c r="A92" s="145">
        <v>6958763600132</v>
      </c>
      <c r="B92" s="142" t="s">
        <v>303</v>
      </c>
      <c r="C92" s="123" t="s">
        <v>12</v>
      </c>
      <c r="D92" s="69">
        <v>2</v>
      </c>
      <c r="E92" s="31">
        <f>SUMIF(Entrada[CODIGO],Inventari_2[[#This Row],[CODIGO]],Entrada[CANTIDAD])</f>
        <v>0</v>
      </c>
      <c r="F92" s="32">
        <f>SUMIF(Salidas[[CODIGO ]],Inventari_2[[#This Row],[CODIGO]],Salidas[CANTIDAD])</f>
        <v>0</v>
      </c>
      <c r="G92" s="23">
        <v>2</v>
      </c>
      <c r="H92" s="13">
        <f>VLOOKUP(Inventari_2[[#This Row],[CODIGO]],Inventario[#All],9,FALSE)</f>
        <v>13000</v>
      </c>
      <c r="I92" s="13" t="str">
        <f>"*"&amp;Inventari_2[[#This Row],[CODIGO]]&amp;"*"</f>
        <v>*6958763600132*</v>
      </c>
      <c r="J92" s="34" t="str">
        <f>Inventari_2[[#This Row],[COD]]</f>
        <v>*6958763600132*</v>
      </c>
    </row>
    <row r="93" spans="1:10" ht="36.75" customHeight="1">
      <c r="A93" s="167" t="s">
        <v>308</v>
      </c>
      <c r="B93" s="149" t="s">
        <v>309</v>
      </c>
      <c r="C93" s="123" t="s">
        <v>44</v>
      </c>
      <c r="D93" s="69">
        <v>1</v>
      </c>
      <c r="E93" s="31">
        <f>SUMIF(Entrada[CODIGO],Inventari_2[[#This Row],[CODIGO]],Entrada[CANTIDAD])</f>
        <v>0</v>
      </c>
      <c r="F93" s="32">
        <f>SUMIF(Salidas[[CODIGO ]],Inventari_2[[#This Row],[CODIGO]],Salidas[CANTIDAD])</f>
        <v>0</v>
      </c>
      <c r="G93" s="23">
        <f>Inventari_2[[#This Row],[STOCK DE LLEGADA]]+Inventari_2[[#This Row],[ENTRADA ]]-Inventari_2[[#This Row],[SALIDA]]</f>
        <v>1</v>
      </c>
      <c r="H93" s="22">
        <f>VLOOKUP(Inventari_2[[#This Row],[CODIGO]],Inventario[#All],9,FALSE)</f>
        <v>10000</v>
      </c>
      <c r="I93" s="22" t="str">
        <f>"*"&amp;Inventari_2[[#This Row],[CODIGO]]&amp;"*"</f>
        <v>*LAMP-001*</v>
      </c>
      <c r="J93" s="34" t="str">
        <f>Inventari_2[[#This Row],[COD]]</f>
        <v>*LAMP-001*</v>
      </c>
    </row>
    <row r="94" spans="1:10" ht="36.75" customHeight="1">
      <c r="A94" s="163" t="s">
        <v>314</v>
      </c>
      <c r="B94" s="142" t="s">
        <v>315</v>
      </c>
      <c r="C94" s="123" t="s">
        <v>44</v>
      </c>
      <c r="D94" s="69">
        <v>1</v>
      </c>
      <c r="E94" s="31">
        <f>SUMIF(Entrada[CODIGO],Inventari_2[[#This Row],[CODIGO]],Entrada[CANTIDAD])</f>
        <v>0</v>
      </c>
      <c r="F94" s="32">
        <f>SUMIF(Salidas[[CODIGO ]],Inventari_2[[#This Row],[CODIGO]],Salidas[CANTIDAD])</f>
        <v>0</v>
      </c>
      <c r="G94" s="23">
        <f>Inventari_2[[#This Row],[STOCK DE LLEGADA]]+Inventari_2[[#This Row],[ENTRADA ]]-Inventari_2[[#This Row],[SALIDA]]</f>
        <v>1</v>
      </c>
      <c r="H94" s="13">
        <f>VLOOKUP(Inventari_2[[#This Row],[CODIGO]],Inventario[#All],9,FALSE)</f>
        <v>10000</v>
      </c>
      <c r="I94" s="13" t="str">
        <f>"*"&amp;Inventari_2[[#This Row],[CODIGO]]&amp;"*"</f>
        <v>*LAMP-009*</v>
      </c>
      <c r="J94" s="34" t="str">
        <f>Inventari_2[[#This Row],[COD]]</f>
        <v>*LAMP-009*</v>
      </c>
    </row>
    <row r="95" spans="1:10" ht="36.75" customHeight="1">
      <c r="A95" s="151" t="s">
        <v>317</v>
      </c>
      <c r="B95" s="142" t="s">
        <v>318</v>
      </c>
      <c r="C95" s="123" t="s">
        <v>16</v>
      </c>
      <c r="D95" s="69">
        <v>1</v>
      </c>
      <c r="E95" s="31">
        <f>SUMIF(Entrada[CODIGO],Inventari_2[[#This Row],[CODIGO]],Entrada[CANTIDAD])</f>
        <v>0</v>
      </c>
      <c r="F95" s="32">
        <f>SUMIF(Salidas[[CODIGO ]],Inventari_2[[#This Row],[CODIGO]],Salidas[CANTIDAD])</f>
        <v>0</v>
      </c>
      <c r="G95" s="23">
        <f>Inventari_2[[#This Row],[STOCK DE LLEGADA]]+Inventari_2[[#This Row],[ENTRADA ]]-Inventari_2[[#This Row],[SALIDA]]</f>
        <v>1</v>
      </c>
      <c r="H95" s="13">
        <f>VLOOKUP(Inventari_2[[#This Row],[CODIGO]],Inventario[#All],9,FALSE)</f>
        <v>60000</v>
      </c>
      <c r="I95" s="13" t="str">
        <f>"*"&amp;Inventari_2[[#This Row],[CODIGO]]&amp;"*"</f>
        <v>*VARI-447882*</v>
      </c>
      <c r="J95" s="34" t="str">
        <f>Inventari_2[[#This Row],[COD]]</f>
        <v>*VARI-447882*</v>
      </c>
    </row>
    <row r="96" spans="1:10" ht="36.75" customHeight="1">
      <c r="A96" s="151" t="s">
        <v>319</v>
      </c>
      <c r="B96" s="142" t="s">
        <v>320</v>
      </c>
      <c r="C96" s="123" t="s">
        <v>16</v>
      </c>
      <c r="D96" s="69">
        <v>3</v>
      </c>
      <c r="E96" s="31">
        <f>SUMIF(Entrada[CODIGO],Inventari_2[[#This Row],[CODIGO]],Entrada[CANTIDAD])</f>
        <v>0</v>
      </c>
      <c r="F96" s="32">
        <f>SUMIF(Salidas[[CODIGO ]],Inventari_2[[#This Row],[CODIGO]],Salidas[CANTIDAD])</f>
        <v>1</v>
      </c>
      <c r="G96" s="23">
        <f>Inventari_2[[#This Row],[STOCK DE LLEGADA]]+Inventari_2[[#This Row],[ENTRADA ]]-Inventari_2[[#This Row],[SALIDA]]</f>
        <v>2</v>
      </c>
      <c r="H96" s="13">
        <f>VLOOKUP(Inventari_2[[#This Row],[CODIGO]],Inventario[#All],9,FALSE)</f>
        <v>25000</v>
      </c>
      <c r="I96" s="13" t="str">
        <f>"*"&amp;Inventari_2[[#This Row],[CODIGO]]&amp;"*"</f>
        <v>*VARI-05578*</v>
      </c>
      <c r="J96" s="34" t="str">
        <f>Inventari_2[[#This Row],[COD]]</f>
        <v>*VARI-05578*</v>
      </c>
    </row>
    <row r="97" spans="1:10" ht="36.75" customHeight="1">
      <c r="A97" s="151" t="s">
        <v>322</v>
      </c>
      <c r="B97" s="142" t="s">
        <v>323</v>
      </c>
      <c r="C97" s="123" t="s">
        <v>16</v>
      </c>
      <c r="D97" s="69">
        <v>1</v>
      </c>
      <c r="E97" s="31">
        <f>SUMIF(Entrada[CODIGO],Inventari_2[[#This Row],[CODIGO]],Entrada[CANTIDAD])</f>
        <v>0</v>
      </c>
      <c r="F97" s="32">
        <f>SUMIF(Salidas[[CODIGO ]],Inventari_2[[#This Row],[CODIGO]],Salidas[CANTIDAD])</f>
        <v>0</v>
      </c>
      <c r="G97" s="23">
        <f>Inventari_2[[#This Row],[STOCK DE LLEGADA]]+Inventari_2[[#This Row],[ENTRADA ]]-Inventari_2[[#This Row],[SALIDA]]</f>
        <v>1</v>
      </c>
      <c r="H97" s="13">
        <f>VLOOKUP(Inventari_2[[#This Row],[CODIGO]],Inventario[#All],9,FALSE)</f>
        <v>75000</v>
      </c>
      <c r="I97" s="13" t="str">
        <f>"*"&amp;Inventari_2[[#This Row],[CODIGO]]&amp;"*"</f>
        <v>*VARI-22787*</v>
      </c>
      <c r="J97" s="34" t="str">
        <f>Inventari_2[[#This Row],[COD]]</f>
        <v>*VARI-22787*</v>
      </c>
    </row>
    <row r="98" spans="1:10" ht="36.75" customHeight="1">
      <c r="A98" s="167" t="s">
        <v>328</v>
      </c>
      <c r="B98" s="149" t="s">
        <v>329</v>
      </c>
      <c r="C98" s="123" t="s">
        <v>44</v>
      </c>
      <c r="D98" s="69">
        <v>1</v>
      </c>
      <c r="E98" s="31">
        <f>SUMIF(Entrada[CODIGO],Inventari_2[[#This Row],[CODIGO]],Entrada[CANTIDAD])</f>
        <v>0</v>
      </c>
      <c r="F98" s="32">
        <f>SUMIF(Salidas[[CODIGO ]],Inventari_2[[#This Row],[CODIGO]],Salidas[CANTIDAD])</f>
        <v>0</v>
      </c>
      <c r="G98" s="23">
        <f>Inventari_2[[#This Row],[STOCK DE LLEGADA]]+Inventari_2[[#This Row],[ENTRADA ]]-Inventari_2[[#This Row],[SALIDA]]</f>
        <v>1</v>
      </c>
      <c r="H98" s="13">
        <f>VLOOKUP(Inventari_2[[#This Row],[CODIGO]],Inventario[#All],9,FALSE)</f>
        <v>12000</v>
      </c>
      <c r="I98" s="13" t="str">
        <f>"*"&amp;Inventari_2[[#This Row],[CODIGO]]&amp;"*"</f>
        <v>*LAMP-002*</v>
      </c>
      <c r="J98" s="34" t="str">
        <f>Inventari_2[[#This Row],[COD]]</f>
        <v>*LAMP-002*</v>
      </c>
    </row>
    <row r="99" spans="1:10" ht="36.75" customHeight="1">
      <c r="A99" s="146" t="s">
        <v>331</v>
      </c>
      <c r="B99" s="142" t="s">
        <v>332</v>
      </c>
      <c r="C99" s="123" t="s">
        <v>67</v>
      </c>
      <c r="D99" s="69">
        <v>1</v>
      </c>
      <c r="E99" s="31">
        <f>SUMIF(Entrada[CODIGO],Inventari_2[[#This Row],[CODIGO]],Entrada[CANTIDAD])</f>
        <v>0</v>
      </c>
      <c r="F99" s="32">
        <f>SUMIF(Salidas[[CODIGO ]],Inventari_2[[#This Row],[CODIGO]],Salidas[CANTIDAD])</f>
        <v>0</v>
      </c>
      <c r="G99" s="23">
        <f>Inventari_2[[#This Row],[STOCK DE LLEGADA]]+Inventari_2[[#This Row],[ENTRADA ]]-Inventari_2[[#This Row],[SALIDA]]</f>
        <v>1</v>
      </c>
      <c r="H99" s="13">
        <f>VLOOKUP(Inventari_2[[#This Row],[CODIGO]],Inventario[#All],9,FALSE)</f>
        <v>7000</v>
      </c>
      <c r="I99" s="13" t="str">
        <f>"*"&amp;Inventari_2[[#This Row],[CODIGO]]&amp;"*"</f>
        <v>*ESCP-522241*</v>
      </c>
      <c r="J99" s="34" t="str">
        <f>Inventari_2[[#This Row],[COD]]</f>
        <v>*ESCP-522241*</v>
      </c>
    </row>
    <row r="100" spans="1:10" ht="36.75" customHeight="1">
      <c r="A100" s="92">
        <v>6971010800499</v>
      </c>
      <c r="B100" s="142" t="s">
        <v>334</v>
      </c>
      <c r="C100" s="123" t="s">
        <v>25</v>
      </c>
      <c r="D100" s="69">
        <v>1</v>
      </c>
      <c r="E100" s="31">
        <f>SUMIF(Entrada[CODIGO],Inventari_2[[#This Row],[CODIGO]],Entrada[CANTIDAD])</f>
        <v>0</v>
      </c>
      <c r="F100" s="32">
        <f>SUMIF(Salidas[[CODIGO ]],Inventari_2[[#This Row],[CODIGO]],Salidas[CANTIDAD])</f>
        <v>11</v>
      </c>
      <c r="G100" s="23">
        <f>Inventari_2[[#This Row],[STOCK DE LLEGADA]]+Inventari_2[[#This Row],[ENTRADA ]]-Inventari_2[[#This Row],[SALIDA]]</f>
        <v>-10</v>
      </c>
      <c r="H100" s="13">
        <f>VLOOKUP(Inventari_2[[#This Row],[CODIGO]],Inventario[#All],9,FALSE)</f>
        <v>7000</v>
      </c>
      <c r="I100" s="13" t="str">
        <f>"*"&amp;Inventari_2[[#This Row],[CODIGO]]&amp;"*"</f>
        <v>*6971010800499*</v>
      </c>
      <c r="J100" s="34" t="str">
        <f>Inventari_2[[#This Row],[COD]]</f>
        <v>*6971010800499*</v>
      </c>
    </row>
    <row r="101" spans="1:10" ht="36.75" customHeight="1">
      <c r="A101" s="146">
        <v>4737865</v>
      </c>
      <c r="B101" s="142" t="s">
        <v>336</v>
      </c>
      <c r="C101" s="123" t="s">
        <v>16</v>
      </c>
      <c r="D101" s="69">
        <v>1</v>
      </c>
      <c r="E101" s="31">
        <f>SUMIF(Entrada[CODIGO],Inventari_2[[#This Row],[CODIGO]],Entrada[CANTIDAD])</f>
        <v>0</v>
      </c>
      <c r="F101" s="32">
        <f>SUMIF(Salidas[[CODIGO ]],Inventari_2[[#This Row],[CODIGO]],Salidas[CANTIDAD])</f>
        <v>0</v>
      </c>
      <c r="G101" s="23">
        <f>Inventari_2[[#This Row],[STOCK DE LLEGADA]]+Inventari_2[[#This Row],[ENTRADA ]]-Inventari_2[[#This Row],[SALIDA]]</f>
        <v>1</v>
      </c>
      <c r="H101" s="22" t="e">
        <f>VLOOKUP(Inventari_2[[#This Row],[CODIGO]],Inventario[#All],9,FALSE)</f>
        <v>#N/A</v>
      </c>
      <c r="I101" s="22" t="str">
        <f>"*"&amp;Inventari_2[[#This Row],[CODIGO]]&amp;"*"</f>
        <v>*4737865*</v>
      </c>
      <c r="J101" s="34" t="str">
        <f>Inventari_2[[#This Row],[COD]]</f>
        <v>*4737865*</v>
      </c>
    </row>
    <row r="102" spans="1:10" ht="36.75" customHeight="1">
      <c r="A102" s="160">
        <v>6970323226378</v>
      </c>
      <c r="B102" s="142" t="s">
        <v>336</v>
      </c>
      <c r="C102" s="123" t="s">
        <v>16</v>
      </c>
      <c r="D102" s="126" t="s">
        <v>781</v>
      </c>
      <c r="E102" s="31">
        <f>SUMIF(Entrada[CODIGO],Inventari_2[[#This Row],[CODIGO]],Entrada[CANTIDAD])</f>
        <v>0</v>
      </c>
      <c r="F102" s="32">
        <f>SUMIF(Salidas[[CODIGO ]],Inventari_2[[#This Row],[CODIGO]],Salidas[CANTIDAD])</f>
        <v>1</v>
      </c>
      <c r="G102" s="23">
        <f>Inventari_2[[#This Row],[STOCK DE LLEGADA]]+Inventari_2[[#This Row],[ENTRADA ]]-Inventari_2[[#This Row],[SALIDA]]</f>
        <v>0</v>
      </c>
      <c r="H102" s="13">
        <f>VLOOKUP(Inventari_2[[#This Row],[CODIGO]],Inventario[#All],9,FALSE)</f>
        <v>40000</v>
      </c>
      <c r="I102" s="13" t="str">
        <f>"*"&amp;Inventari_2[[#This Row],[CODIGO]]&amp;"*"</f>
        <v>*6970323226378*</v>
      </c>
      <c r="J102" s="34" t="str">
        <f>Inventari_2[[#This Row],[COD]]</f>
        <v>*6970323226378*</v>
      </c>
    </row>
    <row r="103" spans="1:10" ht="36.75" customHeight="1">
      <c r="A103" s="88">
        <v>6953961547791</v>
      </c>
      <c r="B103" s="144" t="s">
        <v>338</v>
      </c>
      <c r="C103" s="124" t="s">
        <v>339</v>
      </c>
      <c r="D103" s="69">
        <v>1</v>
      </c>
      <c r="E103" s="31">
        <f>SUMIF(Entrada[CODIGO],Inventari_2[[#This Row],[CODIGO]],Entrada[CANTIDAD])</f>
        <v>0</v>
      </c>
      <c r="F103" s="32">
        <f>SUMIF(Salidas[[CODIGO ]],Inventari_2[[#This Row],[CODIGO]],Salidas[CANTIDAD])</f>
        <v>0</v>
      </c>
      <c r="G103" s="24">
        <f>Inventari_2[[#This Row],[STOCK DE LLEGADA]]+Inventari_2[[#This Row],[ENTRADA ]]-Inventari_2[[#This Row],[SALIDA]]</f>
        <v>1</v>
      </c>
      <c r="H103" s="13">
        <f>VLOOKUP(Inventari_2[[#This Row],[CODIGO]],Inventario[#All],9,FALSE)</f>
        <v>6000</v>
      </c>
      <c r="I103" s="13" t="str">
        <f>"*"&amp;Inventari_2[[#This Row],[CODIGO]]&amp;"*"</f>
        <v>*6953961547791*</v>
      </c>
      <c r="J103" s="34" t="str">
        <f>Inventari_2[[#This Row],[COD]]</f>
        <v>*6953961547791*</v>
      </c>
    </row>
    <row r="104" spans="1:10" ht="36.75" customHeight="1">
      <c r="A104" s="152" t="s">
        <v>341</v>
      </c>
      <c r="B104" s="144" t="s">
        <v>342</v>
      </c>
      <c r="C104" s="124" t="s">
        <v>16</v>
      </c>
      <c r="D104" s="69">
        <v>3</v>
      </c>
      <c r="E104" s="31">
        <f>SUMIF(Entrada[CODIGO],Inventari_2[[#This Row],[CODIGO]],Entrada[CANTIDAD])</f>
        <v>12</v>
      </c>
      <c r="F104" s="32">
        <f>SUMIF(Salidas[[CODIGO ]],Inventari_2[[#This Row],[CODIGO]],Salidas[CANTIDAD])</f>
        <v>2</v>
      </c>
      <c r="G104" s="23">
        <f>Inventari_2[[#This Row],[STOCK DE LLEGADA]]+Inventari_2[[#This Row],[ENTRADA ]]-Inventari_2[[#This Row],[SALIDA]]</f>
        <v>13</v>
      </c>
      <c r="H104" s="13">
        <f>VLOOKUP(Inventari_2[[#This Row],[CODIGO]],Inventario[#All],9,FALSE)</f>
        <v>12000</v>
      </c>
      <c r="I104" s="13" t="str">
        <f>"*"&amp;Inventari_2[[#This Row],[CODIGO]]&amp;"*"</f>
        <v>*JUGUE-55411*</v>
      </c>
      <c r="J104" s="34" t="str">
        <f>Inventari_2[[#This Row],[COD]]</f>
        <v>*JUGUE-55411*</v>
      </c>
    </row>
    <row r="105" spans="1:10" ht="36.75" customHeight="1">
      <c r="A105" s="103">
        <v>6970556350604</v>
      </c>
      <c r="B105" s="142" t="s">
        <v>344</v>
      </c>
      <c r="C105" s="124" t="s">
        <v>339</v>
      </c>
      <c r="D105" s="69">
        <v>1</v>
      </c>
      <c r="E105" s="31">
        <f>SUMIF(Entrada[CODIGO],Inventari_2[[#This Row],[CODIGO]],Entrada[CANTIDAD])</f>
        <v>0</v>
      </c>
      <c r="F105" s="32">
        <f>SUMIF(Salidas[[CODIGO ]],Inventari_2[[#This Row],[CODIGO]],Salidas[CANTIDAD])</f>
        <v>0</v>
      </c>
      <c r="G105" s="24">
        <f>Inventari_2[[#This Row],[STOCK DE LLEGADA]]+Inventari_2[[#This Row],[ENTRADA ]]-Inventari_2[[#This Row],[SALIDA]]</f>
        <v>1</v>
      </c>
      <c r="H105" s="13">
        <f>VLOOKUP(Inventari_2[[#This Row],[CODIGO]],Inventario[#All],9,FALSE)</f>
        <v>110000</v>
      </c>
      <c r="I105" s="13" t="str">
        <f>"*"&amp;Inventari_2[[#This Row],[CODIGO]]&amp;"*"</f>
        <v>*6970556350604*</v>
      </c>
      <c r="J105" s="34" t="str">
        <f>Inventari_2[[#This Row],[COD]]</f>
        <v>*6970556350604*</v>
      </c>
    </row>
    <row r="106" spans="1:10" ht="36.75" customHeight="1">
      <c r="A106" s="145">
        <v>6973747383238</v>
      </c>
      <c r="B106" s="142" t="s">
        <v>346</v>
      </c>
      <c r="C106" s="124" t="s">
        <v>16</v>
      </c>
      <c r="D106" s="69">
        <v>1</v>
      </c>
      <c r="E106" s="31">
        <f>SUMIF(Entrada[CODIGO],Inventari_2[[#This Row],[CODIGO]],Entrada[CANTIDAD])</f>
        <v>0</v>
      </c>
      <c r="F106" s="32">
        <f>SUMIF(Salidas[[CODIGO ]],Inventari_2[[#This Row],[CODIGO]],Salidas[CANTIDAD])</f>
        <v>0</v>
      </c>
      <c r="G106" s="23">
        <f>Inventari_2[[#This Row],[STOCK DE LLEGADA]]+Inventari_2[[#This Row],[ENTRADA ]]-Inventari_2[[#This Row],[SALIDA]]</f>
        <v>1</v>
      </c>
      <c r="H106" s="13">
        <f>VLOOKUP(Inventari_2[[#This Row],[CODIGO]],Inventario[#All],9,FALSE)</f>
        <v>25000</v>
      </c>
      <c r="I106" s="13" t="str">
        <f>"*"&amp;Inventari_2[[#This Row],[CODIGO]]&amp;"*"</f>
        <v>*6973747383238*</v>
      </c>
      <c r="J106" s="34" t="str">
        <f>Inventari_2[[#This Row],[COD]]</f>
        <v>*6973747383238*</v>
      </c>
    </row>
    <row r="107" spans="1:10" ht="36.75" customHeight="1">
      <c r="A107" s="103" t="s">
        <v>347</v>
      </c>
      <c r="B107" s="142" t="s">
        <v>348</v>
      </c>
      <c r="C107" s="123" t="s">
        <v>349</v>
      </c>
      <c r="D107" s="69">
        <v>1</v>
      </c>
      <c r="E107" s="31">
        <f>SUMIF(Entrada[CODIGO],Inventari_2[[#This Row],[CODIGO]],Entrada[CANTIDAD])</f>
        <v>0</v>
      </c>
      <c r="F107" s="32">
        <f>SUMIF(Salidas[[CODIGO ]],Inventari_2[[#This Row],[CODIGO]],Salidas[CANTIDAD])</f>
        <v>0</v>
      </c>
      <c r="G107" s="23">
        <f>Inventari_2[[#This Row],[STOCK DE LLEGADA]]+Inventari_2[[#This Row],[ENTRADA ]]-Inventari_2[[#This Row],[SALIDA]]</f>
        <v>1</v>
      </c>
      <c r="H107" s="22">
        <f>VLOOKUP(Inventari_2[[#This Row],[CODIGO]],Inventario[#All],9,FALSE)</f>
        <v>6000</v>
      </c>
      <c r="I107" s="22" t="str">
        <f>"*"&amp;Inventari_2[[#This Row],[CODIGO]]&amp;"*"</f>
        <v>*JUGUE-013*</v>
      </c>
      <c r="J107" s="34" t="str">
        <f>Inventari_2[[#This Row],[COD]]</f>
        <v>*JUGUE-013*</v>
      </c>
    </row>
    <row r="108" spans="1:10" ht="36.75" customHeight="1">
      <c r="A108" s="145">
        <v>6954855226570</v>
      </c>
      <c r="B108" s="142" t="s">
        <v>352</v>
      </c>
      <c r="C108" s="123" t="s">
        <v>16</v>
      </c>
      <c r="D108" s="69">
        <v>1</v>
      </c>
      <c r="E108" s="31">
        <f>SUMIF(Entrada[CODIGO],Inventari_2[[#This Row],[CODIGO]],Entrada[CANTIDAD])</f>
        <v>2</v>
      </c>
      <c r="F108" s="32">
        <f>SUMIF(Salidas[[CODIGO ]],Inventari_2[[#This Row],[CODIGO]],Salidas[CANTIDAD])</f>
        <v>1</v>
      </c>
      <c r="G108" s="23">
        <f>Inventari_2[[#This Row],[STOCK DE LLEGADA]]+Inventari_2[[#This Row],[ENTRADA ]]-Inventari_2[[#This Row],[SALIDA]]</f>
        <v>2</v>
      </c>
      <c r="H108" s="13">
        <f>VLOOKUP(Inventari_2[[#This Row],[CODIGO]],Inventario[#All],9,FALSE)</f>
        <v>30000</v>
      </c>
      <c r="I108" s="13" t="str">
        <f>"*"&amp;Inventari_2[[#This Row],[CODIGO]]&amp;"*"</f>
        <v>*6954855226570*</v>
      </c>
      <c r="J108" s="34" t="str">
        <f>Inventari_2[[#This Row],[COD]]</f>
        <v>*6954855226570*</v>
      </c>
    </row>
    <row r="109" spans="1:10" ht="36.75" customHeight="1">
      <c r="A109" s="150" t="s">
        <v>356</v>
      </c>
      <c r="B109" s="10" t="s">
        <v>357</v>
      </c>
      <c r="C109" s="15" t="s">
        <v>56</v>
      </c>
      <c r="D109" s="69">
        <v>2</v>
      </c>
      <c r="E109" s="31">
        <f>SUMIF(Entrada[CODIGO],Inventari_2[[#This Row],[CODIGO]],Entrada[CANTIDAD])</f>
        <v>0</v>
      </c>
      <c r="F109" s="32">
        <f>SUMIF(Salidas[[CODIGO ]],Inventari_2[[#This Row],[CODIGO]],Salidas[CANTIDAD])</f>
        <v>0</v>
      </c>
      <c r="G109" s="24">
        <f>Inventari_2[[#This Row],[STOCK DE LLEGADA]]+Inventari_2[[#This Row],[ENTRADA ]]-Inventari_2[[#This Row],[SALIDA]]</f>
        <v>2</v>
      </c>
      <c r="H109" s="13">
        <v>15000</v>
      </c>
      <c r="I109" s="13" t="str">
        <f>"*"&amp;Inventari_2[[#This Row],[CODIGO]]&amp;"*"</f>
        <v>*LLAV-004*</v>
      </c>
      <c r="J109" s="34" t="str">
        <f>Inventari_2[[#This Row],[COD]]</f>
        <v>*LLAV-004*</v>
      </c>
    </row>
    <row r="110" spans="1:10" ht="36.75" customHeight="1">
      <c r="A110" s="163" t="s">
        <v>359</v>
      </c>
      <c r="B110" s="142" t="s">
        <v>360</v>
      </c>
      <c r="C110" s="123" t="s">
        <v>25</v>
      </c>
      <c r="D110" s="69">
        <v>1</v>
      </c>
      <c r="E110" s="31">
        <f>SUMIF(Entrada[CODIGO],Inventari_2[[#This Row],[CODIGO]],Entrada[CANTIDAD])</f>
        <v>0</v>
      </c>
      <c r="F110" s="32">
        <f>SUMIF(Salidas[[CODIGO ]],Inventari_2[[#This Row],[CODIGO]],Salidas[CANTIDAD])</f>
        <v>0</v>
      </c>
      <c r="G110" s="23">
        <f>Inventari_2[[#This Row],[STOCK DE LLEGADA]]+Inventari_2[[#This Row],[ENTRADA ]]-Inventari_2[[#This Row],[SALIDA]]</f>
        <v>1</v>
      </c>
      <c r="H110" s="13">
        <f>VLOOKUP(Inventari_2[[#This Row],[CODIGO]],Inventario[#All],9,FALSE)</f>
        <v>15000</v>
      </c>
      <c r="I110" s="13" t="str">
        <f>"*"&amp;Inventari_2[[#This Row],[CODIGO]]&amp;"*"</f>
        <v>*LLAV-005*</v>
      </c>
      <c r="J110" s="34" t="str">
        <f>Inventari_2[[#This Row],[COD]]</f>
        <v>*LLAV-005*</v>
      </c>
    </row>
    <row r="111" spans="1:10" ht="36.75" customHeight="1">
      <c r="A111" s="145" t="s">
        <v>362</v>
      </c>
      <c r="B111" s="142" t="s">
        <v>363</v>
      </c>
      <c r="C111" s="123" t="s">
        <v>56</v>
      </c>
      <c r="D111" s="69">
        <v>1</v>
      </c>
      <c r="E111" s="31">
        <f>SUMIF(Entrada[CODIGO],Inventari_2[[#This Row],[CODIGO]],Entrada[CANTIDAD])</f>
        <v>0</v>
      </c>
      <c r="F111" s="32">
        <f>SUMIF(Salidas[[CODIGO ]],Inventari_2[[#This Row],[CODIGO]],Salidas[CANTIDAD])</f>
        <v>0</v>
      </c>
      <c r="G111" s="24">
        <f>Inventari_2[[#This Row],[STOCK DE LLEGADA]]+Inventari_2[[#This Row],[ENTRADA ]]-Inventari_2[[#This Row],[SALIDA]]</f>
        <v>1</v>
      </c>
      <c r="H111" s="13">
        <f>VLOOKUP(Inventari_2[[#This Row],[CODIGO]],Inventario[#All],9,FALSE)</f>
        <v>30000</v>
      </c>
      <c r="I111" s="13" t="str">
        <f>"*"&amp;Inventari_2[[#This Row],[CODIGO]]&amp;"*"</f>
        <v>*LONC-005*</v>
      </c>
      <c r="J111" s="34" t="str">
        <f>Inventari_2[[#This Row],[COD]]</f>
        <v>*LONC-005*</v>
      </c>
    </row>
    <row r="112" spans="1:10" ht="36.75" customHeight="1">
      <c r="A112" s="228" t="s">
        <v>899</v>
      </c>
      <c r="B112" s="142" t="s">
        <v>368</v>
      </c>
      <c r="C112" s="123" t="s">
        <v>25</v>
      </c>
      <c r="D112" s="69">
        <v>1</v>
      </c>
      <c r="E112" s="31">
        <f>SUMIF(Entrada[CODIGO],Inventari_2[[#This Row],[CODIGO]],Entrada[CANTIDAD])</f>
        <v>0</v>
      </c>
      <c r="F112" s="32">
        <f>SUMIF(Salidas[[CODIGO ]],Inventari_2[[#This Row],[CODIGO]],Salidas[CANTIDAD])</f>
        <v>0</v>
      </c>
      <c r="G112" s="24">
        <f>Inventari_2[[#This Row],[STOCK DE LLEGADA]]+Inventari_2[[#This Row],[ENTRADA ]]-Inventari_2[[#This Row],[SALIDA]]</f>
        <v>1</v>
      </c>
      <c r="H112" s="13">
        <f>VLOOKUP(Inventari_2[[#This Row],[CODIGO]],Inventario[#All],9,FALSE)</f>
        <v>20000</v>
      </c>
      <c r="I112" s="13" t="str">
        <f>"*"&amp;Inventari_2[[#This Row],[CODIGO]]&amp;"*"</f>
        <v>*LONC'004*</v>
      </c>
      <c r="J112" s="34" t="str">
        <f>Inventari_2[[#This Row],[COD]]</f>
        <v>*LONC'004*</v>
      </c>
    </row>
    <row r="113" spans="1:10" ht="36.75" customHeight="1">
      <c r="A113" s="223" t="s">
        <v>892</v>
      </c>
      <c r="B113" s="10" t="s">
        <v>368</v>
      </c>
      <c r="C113" s="123" t="s">
        <v>25</v>
      </c>
      <c r="D113" s="69">
        <v>1</v>
      </c>
      <c r="E113" s="31">
        <f>SUMIF(Entrada[CODIGO],Inventari_2[[#This Row],[CODIGO]],Entrada[CANTIDAD])</f>
        <v>0</v>
      </c>
      <c r="F113" s="32">
        <f>SUMIF(Salidas[[CODIGO ]],Inventari_2[[#This Row],[CODIGO]],Salidas[CANTIDAD])</f>
        <v>1</v>
      </c>
      <c r="G113" s="23">
        <f>Inventari_2[[#This Row],[STOCK DE LLEGADA]]+Inventari_2[[#This Row],[ENTRADA ]]-Inventari_2[[#This Row],[SALIDA]]</f>
        <v>0</v>
      </c>
      <c r="H113" s="45">
        <f>VLOOKUP(Inventari_2[[#This Row],[CODIGO]],Inventario[#All],9,FALSE)</f>
        <v>35000</v>
      </c>
      <c r="I113" s="13" t="str">
        <f>"*"&amp;Inventari_2[[#This Row],[CODIGO]]&amp;"*"</f>
        <v>*LON{JCC02{32*</v>
      </c>
      <c r="J113" s="34" t="str">
        <f>Inventari_2[[#This Row],[COD]]</f>
        <v>*LON{JCC02{32*</v>
      </c>
    </row>
    <row r="114" spans="1:10" ht="36.75" customHeight="1">
      <c r="A114" s="145" t="s">
        <v>367</v>
      </c>
      <c r="B114" s="142" t="s">
        <v>372</v>
      </c>
      <c r="C114" s="123" t="s">
        <v>56</v>
      </c>
      <c r="D114" s="69">
        <v>1</v>
      </c>
      <c r="E114" s="31">
        <f>SUMIF(Entrada[CODIGO],Inventari_2[[#This Row],[CODIGO]],Entrada[CANTIDAD])</f>
        <v>0</v>
      </c>
      <c r="F114" s="32">
        <f>SUMIF(Salidas[[CODIGO ]],Inventari_2[[#This Row],[CODIGO]],Salidas[CANTIDAD])</f>
        <v>0</v>
      </c>
      <c r="G114" s="23">
        <f>Inventari_2[[#This Row],[STOCK DE LLEGADA]]+Inventari_2[[#This Row],[ENTRADA ]]-Inventari_2[[#This Row],[SALIDA]]</f>
        <v>1</v>
      </c>
      <c r="H114" s="13">
        <f>VLOOKUP(Inventari_2[[#This Row],[CODIGO]],Inventario[#All],9,FALSE)</f>
        <v>35000</v>
      </c>
      <c r="I114" s="13" t="str">
        <f>"*"&amp;Inventari_2[[#This Row],[CODIGO]]&amp;"*"</f>
        <v>*LONC-004*</v>
      </c>
      <c r="J114" s="34" t="str">
        <f>Inventari_2[[#This Row],[COD]]</f>
        <v>*LONC-004*</v>
      </c>
    </row>
    <row r="115" spans="1:10" ht="36.75" customHeight="1">
      <c r="A115" s="163" t="s">
        <v>373</v>
      </c>
      <c r="B115" s="142" t="s">
        <v>374</v>
      </c>
      <c r="C115" s="123" t="s">
        <v>181</v>
      </c>
      <c r="D115" s="69">
        <v>1</v>
      </c>
      <c r="E115" s="31">
        <f>SUMIF(Entrada[CODIGO],Inventari_2[[#This Row],[CODIGO]],Entrada[CANTIDAD])</f>
        <v>0</v>
      </c>
      <c r="F115" s="32">
        <f>SUMIF(Salidas[[CODIGO ]],Inventari_2[[#This Row],[CODIGO]],Salidas[CANTIDAD])</f>
        <v>0</v>
      </c>
      <c r="G115" s="23">
        <f>Inventari_2[[#This Row],[STOCK DE LLEGADA]]+Inventari_2[[#This Row],[ENTRADA ]]-Inventari_2[[#This Row],[SALIDA]]</f>
        <v>1</v>
      </c>
      <c r="H115" s="13">
        <f>VLOOKUP(Inventari_2[[#This Row],[CODIGO]],Inventario[#All],9,FALSE)</f>
        <v>35000</v>
      </c>
      <c r="I115" s="13" t="str">
        <f>"*"&amp;Inventari_2[[#This Row],[CODIGO]]&amp;"*"</f>
        <v>*LOCH-0011887*</v>
      </c>
      <c r="J115" s="34" t="str">
        <f>Inventari_2[[#This Row],[COD]]</f>
        <v>*LOCH-0011887*</v>
      </c>
    </row>
    <row r="116" spans="1:10" ht="36.75" customHeight="1">
      <c r="A116" s="145">
        <v>2024066042741</v>
      </c>
      <c r="B116" s="142" t="s">
        <v>376</v>
      </c>
      <c r="C116" s="123" t="s">
        <v>67</v>
      </c>
      <c r="D116" s="125" t="s">
        <v>781</v>
      </c>
      <c r="E116" s="31">
        <f>SUMIF(Entrada[CODIGO],Inventari_2[[#This Row],[CODIGO]],Entrada[CANTIDAD])</f>
        <v>0</v>
      </c>
      <c r="F116" s="32">
        <f>SUMIF(Salidas[[CODIGO ]],Inventari_2[[#This Row],[CODIGO]],Salidas[CANTIDAD])</f>
        <v>0</v>
      </c>
      <c r="G116" s="23">
        <f>Inventari_2[[#This Row],[STOCK DE LLEGADA]]+Inventari_2[[#This Row],[ENTRADA ]]-Inventari_2[[#This Row],[SALIDA]]</f>
        <v>1</v>
      </c>
      <c r="H116" s="13">
        <f>VLOOKUP(Inventari_2[[#This Row],[CODIGO]],Inventario[#All],9,FALSE)</f>
        <v>6000</v>
      </c>
      <c r="I116" s="13" t="str">
        <f>"*"&amp;Inventari_2[[#This Row],[CODIGO]]&amp;"*"</f>
        <v>*2024066042741*</v>
      </c>
      <c r="J116" s="34" t="str">
        <f>Inventari_2[[#This Row],[COD]]</f>
        <v>*2024066042741*</v>
      </c>
    </row>
    <row r="117" spans="1:10" ht="36.75" customHeight="1">
      <c r="A117" s="230" t="s">
        <v>904</v>
      </c>
      <c r="B117" s="142" t="s">
        <v>379</v>
      </c>
      <c r="C117" s="123" t="s">
        <v>56</v>
      </c>
      <c r="D117" s="69">
        <v>1</v>
      </c>
      <c r="E117" s="31">
        <f>SUMIF(Entrada[CODIGO],Inventari_2[[#This Row],[CODIGO]],Entrada[CANTIDAD])</f>
        <v>0</v>
      </c>
      <c r="F117" s="32">
        <f>SUMIF(Salidas[[CODIGO ]],Inventari_2[[#This Row],[CODIGO]],Salidas[CANTIDAD])</f>
        <v>0</v>
      </c>
      <c r="G117" s="23">
        <f>Inventari_2[[#This Row],[STOCK DE LLEGADA]]+Inventari_2[[#This Row],[ENTRADA ]]-Inventari_2[[#This Row],[SALIDA]]</f>
        <v>1</v>
      </c>
      <c r="H117" s="13" t="e">
        <f>VLOOKUP(Inventari_2[[#This Row],[CODIGO]],Inventario[#All],9,FALSE)</f>
        <v>#N/A</v>
      </c>
      <c r="I117" s="13" t="str">
        <f>"*"&amp;Inventari_2[[#This Row],[CODIGO]]&amp;"*"</f>
        <v>*VARI{003*</v>
      </c>
      <c r="J117" s="34" t="str">
        <f>Inventari_2[[#This Row],[COD]]</f>
        <v>*VARI{003*</v>
      </c>
    </row>
    <row r="118" spans="1:10" ht="36.75" customHeight="1">
      <c r="A118" s="144">
        <v>6975260472888</v>
      </c>
      <c r="B118" s="142" t="s">
        <v>381</v>
      </c>
      <c r="C118" s="123" t="s">
        <v>52</v>
      </c>
      <c r="D118" s="69">
        <v>1</v>
      </c>
      <c r="E118" s="31">
        <f>SUMIF(Entrada[CODIGO],Inventari_2[[#This Row],[CODIGO]],Entrada[CANTIDAD])</f>
        <v>1</v>
      </c>
      <c r="F118" s="32">
        <f>SUMIF(Salidas[[CODIGO ]],Inventari_2[[#This Row],[CODIGO]],Salidas[CANTIDAD])</f>
        <v>0</v>
      </c>
      <c r="G118" s="23">
        <f>Inventari_2[[#This Row],[STOCK DE LLEGADA]]+Inventari_2[[#This Row],[ENTRADA ]]-Inventari_2[[#This Row],[SALIDA]]</f>
        <v>2</v>
      </c>
      <c r="H118" s="13">
        <f>VLOOKUP(Inventari_2[[#This Row],[CODIGO]],Inventario[#All],9,FALSE)</f>
        <v>20000</v>
      </c>
      <c r="I118" s="13" t="str">
        <f>"*"&amp;Inventari_2[[#This Row],[CODIGO]]&amp;"*"</f>
        <v>*6975260472888*</v>
      </c>
      <c r="J118" s="34" t="str">
        <f>Inventari_2[[#This Row],[COD]]</f>
        <v>*6975260472888*</v>
      </c>
    </row>
    <row r="119" spans="1:10" ht="36.75" customHeight="1">
      <c r="A119" s="169" t="s">
        <v>383</v>
      </c>
      <c r="B119" s="142" t="s">
        <v>384</v>
      </c>
      <c r="C119" s="123" t="s">
        <v>67</v>
      </c>
      <c r="D119" s="69">
        <v>1</v>
      </c>
      <c r="E119" s="31">
        <f>SUMIF(Entrada[CODIGO],Inventari_2[[#This Row],[CODIGO]],Entrada[CANTIDAD])</f>
        <v>0</v>
      </c>
      <c r="F119" s="32">
        <f>SUMIF(Salidas[[CODIGO ]],Inventari_2[[#This Row],[CODIGO]],Salidas[CANTIDAD])</f>
        <v>0</v>
      </c>
      <c r="G119" s="23">
        <f>Inventari_2[[#This Row],[STOCK DE LLEGADA]]+Inventari_2[[#This Row],[ENTRADA ]]-Inventari_2[[#This Row],[SALIDA]]</f>
        <v>1</v>
      </c>
      <c r="H119" s="13">
        <f>VLOOKUP(Inventari_2[[#This Row],[CODIGO]],Inventario[#All],9,FALSE)</f>
        <v>40000</v>
      </c>
      <c r="I119" s="13" t="str">
        <f>"*"&amp;Inventari_2[[#This Row],[CODIGO]]&amp;"*"</f>
        <v>*ESCP-5500770*</v>
      </c>
      <c r="J119" s="34" t="str">
        <f>Inventari_2[[#This Row],[COD]]</f>
        <v>*ESCP-5500770*</v>
      </c>
    </row>
    <row r="120" spans="1:10" ht="36.75" customHeight="1">
      <c r="A120" s="222" t="s">
        <v>903</v>
      </c>
      <c r="B120" s="142" t="s">
        <v>388</v>
      </c>
      <c r="C120" s="123" t="s">
        <v>44</v>
      </c>
      <c r="D120" s="125" t="s">
        <v>791</v>
      </c>
      <c r="E120" s="31">
        <f>SUMIF(Entrada[CODIGO],Inventari_2[[#This Row],[CODIGO]],Entrada[CANTIDAD])</f>
        <v>0</v>
      </c>
      <c r="F120" s="32">
        <f>SUMIF(Salidas[[CODIGO ]],Inventari_2[[#This Row],[CODIGO]],Salidas[CANTIDAD])</f>
        <v>1</v>
      </c>
      <c r="G120" s="23">
        <f>Inventari_2[[#This Row],[STOCK DE LLEGADA]]+Inventari_2[[#This Row],[ENTRADA ]]-Inventari_2[[#This Row],[SALIDA]]</f>
        <v>10</v>
      </c>
      <c r="H120" s="13">
        <f>VLOOKUP(Inventari_2[[#This Row],[CODIGO]],Inventario[#All],9,FALSE)</f>
        <v>8000</v>
      </c>
      <c r="I120" s="13" t="str">
        <f>"*"&amp;Inventari_2[[#This Row],[CODIGO]]&amp;"*"</f>
        <v>*VARI'02247*</v>
      </c>
      <c r="J120" s="34" t="str">
        <f>Inventari_2[[#This Row],[COD]]</f>
        <v>*VARI'02247*</v>
      </c>
    </row>
    <row r="121" spans="1:10" ht="36.75" customHeight="1">
      <c r="A121" s="89">
        <v>6973578385104</v>
      </c>
      <c r="B121" s="149" t="s">
        <v>792</v>
      </c>
      <c r="C121" s="123" t="s">
        <v>25</v>
      </c>
      <c r="D121" s="69">
        <v>1</v>
      </c>
      <c r="E121" s="31">
        <f>SUMIF(Entrada[CODIGO],Inventari_2[[#This Row],[CODIGO]],Entrada[CANTIDAD])</f>
        <v>0</v>
      </c>
      <c r="F121" s="32">
        <f>SUMIF(Salidas[[CODIGO ]],Inventari_2[[#This Row],[CODIGO]],Salidas[CANTIDAD])</f>
        <v>0</v>
      </c>
      <c r="G121" s="23">
        <f>Inventari_2[[#This Row],[STOCK DE LLEGADA]]+Inventari_2[[#This Row],[ENTRADA ]]-Inventari_2[[#This Row],[SALIDA]]</f>
        <v>1</v>
      </c>
      <c r="H121" s="45">
        <f>VLOOKUP(Inventari_2[[#This Row],[CODIGO]],Inventario[#All],9,FALSE)</f>
        <v>15000</v>
      </c>
      <c r="I121" s="13" t="str">
        <f>"*"&amp;Inventari_2[[#This Row],[CODIGO]]&amp;"*"</f>
        <v>*6973578385104*</v>
      </c>
      <c r="J121" s="34" t="str">
        <f>Inventari_2[[#This Row],[COD]]</f>
        <v>*6973578385104*</v>
      </c>
    </row>
    <row r="122" spans="1:10" ht="36.75" customHeight="1">
      <c r="A122" s="146" t="s">
        <v>393</v>
      </c>
      <c r="B122" s="142" t="s">
        <v>394</v>
      </c>
      <c r="C122" s="123" t="s">
        <v>25</v>
      </c>
      <c r="D122" s="69">
        <v>1</v>
      </c>
      <c r="E122" s="31">
        <f>SUMIF(Entrada[CODIGO],Inventari_2[[#This Row],[CODIGO]],Entrada[CANTIDAD])</f>
        <v>0</v>
      </c>
      <c r="F122" s="32">
        <f>SUMIF(Salidas[[CODIGO ]],Inventari_2[[#This Row],[CODIGO]],Salidas[CANTIDAD])</f>
        <v>0</v>
      </c>
      <c r="G122" s="23">
        <f>Inventari_2[[#This Row],[STOCK DE LLEGADA]]+Inventari_2[[#This Row],[ENTRADA ]]-Inventari_2[[#This Row],[SALIDA]]</f>
        <v>1</v>
      </c>
      <c r="H122" s="13">
        <f>VLOOKUP(Inventari_2[[#This Row],[CODIGO]],Inventario[#All],9,FALSE)</f>
        <v>500</v>
      </c>
      <c r="I122" s="13" t="str">
        <f>"*"&amp;Inventari_2[[#This Row],[CODIGO]]&amp;"*"</f>
        <v>*REP-551000*</v>
      </c>
      <c r="J122" s="34" t="str">
        <f>Inventari_2[[#This Row],[COD]]</f>
        <v>*REP-551000*</v>
      </c>
    </row>
    <row r="123" spans="1:10" ht="36.75" customHeight="1">
      <c r="A123" s="145" t="s">
        <v>396</v>
      </c>
      <c r="B123" s="142" t="s">
        <v>397</v>
      </c>
      <c r="C123" s="123" t="s">
        <v>25</v>
      </c>
      <c r="D123" s="69">
        <v>1</v>
      </c>
      <c r="E123" s="31">
        <f>SUMIF(Entrada[CODIGO],Inventari_2[[#This Row],[CODIGO]],Entrada[CANTIDAD])</f>
        <v>0</v>
      </c>
      <c r="F123" s="32">
        <f>SUMIF(Salidas[[CODIGO ]],Inventari_2[[#This Row],[CODIGO]],Salidas[CANTIDAD])</f>
        <v>4</v>
      </c>
      <c r="G123" s="23">
        <f>Inventari_2[[#This Row],[STOCK DE LLEGADA]]+Inventari_2[[#This Row],[ENTRADA ]]-Inventari_2[[#This Row],[SALIDA]]</f>
        <v>-3</v>
      </c>
      <c r="H123" s="13">
        <v>2500</v>
      </c>
      <c r="I123" s="13" t="str">
        <f>"*"&amp;Inventari_2[[#This Row],[CODIGO]]&amp;"*"</f>
        <v>*VAR-000011*</v>
      </c>
      <c r="J123" s="34" t="str">
        <f>Inventari_2[[#This Row],[COD]]</f>
        <v>*VAR-000011*</v>
      </c>
    </row>
    <row r="124" spans="1:10" ht="36.75" customHeight="1">
      <c r="A124" s="146" t="s">
        <v>401</v>
      </c>
      <c r="B124" s="142" t="s">
        <v>402</v>
      </c>
      <c r="C124" s="123" t="s">
        <v>25</v>
      </c>
      <c r="D124" s="69">
        <v>1</v>
      </c>
      <c r="E124" s="31">
        <f>SUMIF(Entrada[CODIGO],Inventari_2[[#This Row],[CODIGO]],Entrada[CANTIDAD])</f>
        <v>8</v>
      </c>
      <c r="F124" s="32">
        <f>SUMIF(Salidas[[CODIGO ]],Inventari_2[[#This Row],[CODIGO]],Salidas[CANTIDAD])</f>
        <v>0</v>
      </c>
      <c r="G124" s="23">
        <f>Inventari_2[[#This Row],[STOCK DE LLEGADA]]+Inventari_2[[#This Row],[ENTRADA ]]-Inventari_2[[#This Row],[SALIDA]]</f>
        <v>9</v>
      </c>
      <c r="H124" s="13">
        <f>VLOOKUP(Inventari_2[[#This Row],[CODIGO]],Inventario[#All],9,FALSE)</f>
        <v>7000</v>
      </c>
      <c r="I124" s="13" t="str">
        <f>"*"&amp;Inventari_2[[#This Row],[CODIGO]]&amp;"*"</f>
        <v>*ESCP-00883*</v>
      </c>
      <c r="J124" s="34" t="str">
        <f>Inventari_2[[#This Row],[COD]]</f>
        <v>*ESCP-00883*</v>
      </c>
    </row>
    <row r="125" spans="1:10" ht="36.75" customHeight="1">
      <c r="A125" s="151">
        <v>6982023157050</v>
      </c>
      <c r="B125" s="142" t="s">
        <v>404</v>
      </c>
      <c r="C125" s="123" t="s">
        <v>16</v>
      </c>
      <c r="D125" s="69">
        <v>1</v>
      </c>
      <c r="E125" s="31">
        <f>SUMIF(Entrada[CODIGO],Inventari_2[[#This Row],[CODIGO]],Entrada[CANTIDAD])</f>
        <v>0</v>
      </c>
      <c r="F125" s="32">
        <f>SUMIF(Salidas[[CODIGO ]],Inventari_2[[#This Row],[CODIGO]],Salidas[CANTIDAD])</f>
        <v>2</v>
      </c>
      <c r="G125" s="23">
        <f>Inventari_2[[#This Row],[STOCK DE LLEGADA]]+Inventari_2[[#This Row],[ENTRADA ]]-Inventari_2[[#This Row],[SALIDA]]</f>
        <v>-1</v>
      </c>
      <c r="H125" s="13">
        <f>VLOOKUP(Inventari_2[[#This Row],[CODIGO]],Inventario[#All],9,FALSE)</f>
        <v>7000</v>
      </c>
      <c r="I125" s="13" t="str">
        <f>"*"&amp;Inventari_2[[#This Row],[CODIGO]]&amp;"*"</f>
        <v>*6982023157050*</v>
      </c>
      <c r="J125" s="34" t="str">
        <f>Inventari_2[[#This Row],[COD]]</f>
        <v>*6982023157050*</v>
      </c>
    </row>
    <row r="126" spans="1:10" ht="36.75" customHeight="1">
      <c r="A126" s="87">
        <v>6971288310157</v>
      </c>
      <c r="B126" s="142" t="s">
        <v>406</v>
      </c>
      <c r="C126" s="123" t="s">
        <v>185</v>
      </c>
      <c r="D126" s="69">
        <v>1</v>
      </c>
      <c r="E126" s="31">
        <f>SUMIF(Entrada[CODIGO],Inventari_2[[#This Row],[CODIGO]],Entrada[CANTIDAD])</f>
        <v>0</v>
      </c>
      <c r="F126" s="32">
        <f>SUMIF(Salidas[[CODIGO ]],Inventari_2[[#This Row],[CODIGO]],Salidas[CANTIDAD])</f>
        <v>0</v>
      </c>
      <c r="G126" s="23">
        <f>Inventari_2[[#This Row],[STOCK DE LLEGADA]]+Inventari_2[[#This Row],[ENTRADA ]]-Inventari_2[[#This Row],[SALIDA]]</f>
        <v>1</v>
      </c>
      <c r="H126" s="13">
        <f>VLOOKUP(Inventari_2[[#This Row],[CODIGO]],Inventario[#All],9,FALSE)</f>
        <v>23000</v>
      </c>
      <c r="I126" s="13" t="str">
        <f>"*"&amp;Inventari_2[[#This Row],[CODIGO]]&amp;"*"</f>
        <v>*6971288310157*</v>
      </c>
      <c r="J126" s="34" t="str">
        <f>Inventari_2[[#This Row],[COD]]</f>
        <v>*6971288310157*</v>
      </c>
    </row>
    <row r="127" spans="1:10" ht="36.75" customHeight="1">
      <c r="A127" s="146" t="s">
        <v>793</v>
      </c>
      <c r="B127" s="142" t="s">
        <v>794</v>
      </c>
      <c r="C127" s="123" t="s">
        <v>67</v>
      </c>
      <c r="D127" s="69">
        <v>1</v>
      </c>
      <c r="E127" s="31">
        <f>SUMIF(Entrada[CODIGO],Inventari_2[[#This Row],[CODIGO]],Entrada[CANTIDAD])</f>
        <v>0</v>
      </c>
      <c r="F127" s="32">
        <f>SUMIF(Salidas[[CODIGO ]],Inventari_2[[#This Row],[CODIGO]],Salidas[CANTIDAD])</f>
        <v>0</v>
      </c>
      <c r="G127" s="23">
        <f>Inventari_2[[#This Row],[STOCK DE LLEGADA]]+Inventari_2[[#This Row],[ENTRADA ]]-Inventari_2[[#This Row],[SALIDA]]</f>
        <v>1</v>
      </c>
      <c r="H127" s="13" t="e">
        <f>VLOOKUP(Inventari_2[[#This Row],[CODIGO]],Inventario[#All],9,FALSE)</f>
        <v>#N/A</v>
      </c>
      <c r="I127" s="13" t="str">
        <f>"*"&amp;Inventari_2[[#This Row],[CODIGO]]&amp;"*"</f>
        <v>*JUGUE-8882*</v>
      </c>
      <c r="J127" s="34" t="str">
        <f>Inventari_2[[#This Row],[COD]]</f>
        <v>*JUGUE-8882*</v>
      </c>
    </row>
    <row r="128" spans="1:10" ht="36.75" customHeight="1">
      <c r="A128" s="145" t="s">
        <v>413</v>
      </c>
      <c r="B128" s="142" t="s">
        <v>414</v>
      </c>
      <c r="C128" s="123" t="s">
        <v>56</v>
      </c>
      <c r="D128" s="69">
        <v>2</v>
      </c>
      <c r="E128" s="31">
        <f>SUMIF(Entrada[CODIGO],Inventari_2[[#This Row],[CODIGO]],Entrada[CANTIDAD])</f>
        <v>0</v>
      </c>
      <c r="F128" s="32">
        <f>SUMIF(Salidas[[CODIGO ]],Inventari_2[[#This Row],[CODIGO]],Salidas[CANTIDAD])</f>
        <v>0</v>
      </c>
      <c r="G128" s="23">
        <f>Inventari_2[[#This Row],[STOCK DE LLEGADA]]+Inventari_2[[#This Row],[ENTRADA ]]-Inventari_2[[#This Row],[SALIDA]]</f>
        <v>2</v>
      </c>
      <c r="H128" s="13">
        <f>VLOOKUP(Inventari_2[[#This Row],[CODIGO]],Inventario[#All],9,FALSE)</f>
        <v>20000</v>
      </c>
      <c r="I128" s="13" t="str">
        <f>"*"&amp;Inventari_2[[#This Row],[CODIGO]]&amp;"*"</f>
        <v>*VARI-005*</v>
      </c>
      <c r="J128" s="34" t="str">
        <f>Inventari_2[[#This Row],[COD]]</f>
        <v>*VARI-005*</v>
      </c>
    </row>
    <row r="129" spans="1:10" ht="36.75" customHeight="1">
      <c r="A129" s="222" t="s">
        <v>900</v>
      </c>
      <c r="B129" s="142" t="s">
        <v>417</v>
      </c>
      <c r="C129" s="123" t="s">
        <v>418</v>
      </c>
      <c r="D129" s="69">
        <v>9</v>
      </c>
      <c r="E129" s="31">
        <f>SUMIF(Entrada[CODIGO],Inventari_2[[#This Row],[CODIGO]],Entrada[CANTIDAD])</f>
        <v>0</v>
      </c>
      <c r="F129" s="32">
        <f>SUMIF(Salidas[[CODIGO ]],Inventari_2[[#This Row],[CODIGO]],Salidas[CANTIDAD])</f>
        <v>2</v>
      </c>
      <c r="G129" s="23">
        <f>Inventari_2[[#This Row],[STOCK DE LLEGADA]]+Inventari_2[[#This Row],[ENTRADA ]]-Inventari_2[[#This Row],[SALIDA]]</f>
        <v>7</v>
      </c>
      <c r="H129" s="13">
        <f>VLOOKUP(Inventari_2[[#This Row],[CODIGO]],Inventario[#All],9,FALSE)</f>
        <v>8000</v>
      </c>
      <c r="I129" s="13" t="str">
        <f>"*"&amp;Inventari_2[[#This Row],[CODIGO]]&amp;"*"</f>
        <v>*VARI'88547*</v>
      </c>
      <c r="J129" s="34" t="str">
        <f>Inventari_2[[#This Row],[COD]]</f>
        <v>*VARI'88547*</v>
      </c>
    </row>
    <row r="130" spans="1:10" ht="36.75" customHeight="1">
      <c r="A130" s="145" t="s">
        <v>420</v>
      </c>
      <c r="B130" s="142" t="s">
        <v>421</v>
      </c>
      <c r="C130" s="123" t="s">
        <v>44</v>
      </c>
      <c r="D130" s="125" t="s">
        <v>781</v>
      </c>
      <c r="E130" s="31">
        <f>SUMIF(Entrada[CODIGO],Inventari_2[[#This Row],[CODIGO]],Entrada[CANTIDAD])</f>
        <v>0</v>
      </c>
      <c r="F130" s="32">
        <f>SUMIF(Salidas[[CODIGO ]],Inventari_2[[#This Row],[CODIGO]],Salidas[CANTIDAD])</f>
        <v>0</v>
      </c>
      <c r="G130" s="23">
        <f>Inventari_2[[#This Row],[STOCK DE LLEGADA]]+Inventari_2[[#This Row],[ENTRADA ]]-Inventari_2[[#This Row],[SALIDA]]</f>
        <v>1</v>
      </c>
      <c r="H130" s="13">
        <f>VLOOKUP(Inventari_2[[#This Row],[CODIGO]],Inventario[#All],9,FALSE)</f>
        <v>5000</v>
      </c>
      <c r="I130" s="13" t="str">
        <f>"*"&amp;Inventari_2[[#This Row],[CODIGO]]&amp;"*"</f>
        <v>*VARI-0021444*</v>
      </c>
      <c r="J130" s="34" t="str">
        <f>Inventari_2[[#This Row],[COD]]</f>
        <v>*VARI-0021444*</v>
      </c>
    </row>
    <row r="131" spans="1:10" ht="36.75" customHeight="1">
      <c r="A131" s="221" t="s">
        <v>885</v>
      </c>
      <c r="B131" s="10" t="s">
        <v>422</v>
      </c>
      <c r="C131" s="10" t="s">
        <v>185</v>
      </c>
      <c r="D131" s="69">
        <v>1</v>
      </c>
      <c r="E131" s="31">
        <f>SUMIF(Entrada[CODIGO],Inventari_2[[#This Row],[CODIGO]],Entrada[CANTIDAD])</f>
        <v>0</v>
      </c>
      <c r="F131" s="32">
        <f>SUMIF(Salidas[[CODIGO ]],Inventari_2[[#This Row],[CODIGO]],Salidas[CANTIDAD])</f>
        <v>0</v>
      </c>
      <c r="G131" s="23">
        <f>Inventari_2[[#This Row],[STOCK DE LLEGADA]]+Inventari_2[[#This Row],[ENTRADA ]]-Inventari_2[[#This Row],[SALIDA]]</f>
        <v>1</v>
      </c>
      <c r="H131" s="13">
        <f>VLOOKUP(Inventari_2[[#This Row],[CODIGO]],Inventario[#All],9,FALSE)</f>
        <v>110000</v>
      </c>
      <c r="I131" s="13" t="str">
        <f>"*"&amp;Inventari_2[[#This Row],[CODIGO]]&amp;"*"</f>
        <v>*MOR'001*</v>
      </c>
      <c r="J131" s="34" t="str">
        <f>Inventari_2[[#This Row],[COD]]</f>
        <v>*MOR'001*</v>
      </c>
    </row>
    <row r="132" spans="1:10" ht="36.75" customHeight="1">
      <c r="A132" s="151" t="s">
        <v>424</v>
      </c>
      <c r="B132" s="142" t="s">
        <v>425</v>
      </c>
      <c r="C132" s="123" t="s">
        <v>52</v>
      </c>
      <c r="D132" s="125" t="s">
        <v>781</v>
      </c>
      <c r="E132" s="31">
        <f>SUMIF(Entrada[CODIGO],Inventari_2[[#This Row],[CODIGO]],Entrada[CANTIDAD])</f>
        <v>0</v>
      </c>
      <c r="F132" s="32">
        <f>SUMIF(Salidas[[CODIGO ]],Inventari_2[[#This Row],[CODIGO]],Salidas[CANTIDAD])</f>
        <v>0</v>
      </c>
      <c r="G132" s="23">
        <f>Inventari_2[[#This Row],[STOCK DE LLEGADA]]+Inventari_2[[#This Row],[ENTRADA ]]-Inventari_2[[#This Row],[SALIDA]]</f>
        <v>1</v>
      </c>
      <c r="H132" s="13">
        <f>VLOOKUP(Inventari_2[[#This Row],[CODIGO]],Inventario[#All],9,FALSE)</f>
        <v>110000</v>
      </c>
      <c r="I132" s="13" t="str">
        <f>"*"&amp;Inventari_2[[#This Row],[CODIGO]]&amp;"*"</f>
        <v>*MOR-0020*</v>
      </c>
      <c r="J132" s="34" t="str">
        <f>Inventari_2[[#This Row],[COD]]</f>
        <v>*MOR-0020*</v>
      </c>
    </row>
    <row r="133" spans="1:10" ht="36.75" customHeight="1">
      <c r="A133" s="151" t="s">
        <v>429</v>
      </c>
      <c r="B133" s="142" t="s">
        <v>430</v>
      </c>
      <c r="C133" s="123" t="s">
        <v>44</v>
      </c>
      <c r="D133" s="69">
        <v>2</v>
      </c>
      <c r="E133" s="31">
        <f>SUMIF(Entrada[CODIGO],Inventari_2[[#This Row],[CODIGO]],Entrada[CANTIDAD])</f>
        <v>0</v>
      </c>
      <c r="F133" s="32">
        <f>SUMIF(Salidas[[CODIGO ]],Inventari_2[[#This Row],[CODIGO]],Salidas[CANTIDAD])</f>
        <v>0</v>
      </c>
      <c r="G133" s="24">
        <f>Inventari_2[[#This Row],[STOCK DE LLEGADA]]+Inventari_2[[#This Row],[ENTRADA ]]-Inventari_2[[#This Row],[SALIDA]]</f>
        <v>2</v>
      </c>
      <c r="H133" s="13">
        <f>VLOOKUP(Inventari_2[[#This Row],[CODIGO]],Inventario[#All],9,FALSE)</f>
        <v>35000</v>
      </c>
      <c r="I133" s="13" t="str">
        <f>"*"&amp;Inventari_2[[#This Row],[CODIGO]]&amp;"*"</f>
        <v>*POCI-011*</v>
      </c>
      <c r="J133" s="34" t="str">
        <f>Inventari_2[[#This Row],[COD]]</f>
        <v>*POCI-011*</v>
      </c>
    </row>
    <row r="134" spans="1:10" ht="36.75" customHeight="1">
      <c r="A134" s="77">
        <v>6909620885865</v>
      </c>
      <c r="B134" s="142" t="s">
        <v>432</v>
      </c>
      <c r="C134" s="123" t="s">
        <v>12</v>
      </c>
      <c r="D134" s="69">
        <v>2</v>
      </c>
      <c r="E134" s="31">
        <f>SUMIF(Entrada[CODIGO],Inventari_2[[#This Row],[CODIGO]],Entrada[CANTIDAD])</f>
        <v>0</v>
      </c>
      <c r="F134" s="32">
        <f>SUMIF(Salidas[[CODIGO ]],Inventari_2[[#This Row],[CODIGO]],Salidas[CANTIDAD])</f>
        <v>1</v>
      </c>
      <c r="G134" s="23">
        <f>Inventari_2[[#This Row],[STOCK DE LLEGADA]]+Inventari_2[[#This Row],[ENTRADA ]]-Inventari_2[[#This Row],[SALIDA]]</f>
        <v>1</v>
      </c>
      <c r="H134" s="13">
        <f>VLOOKUP(Inventari_2[[#This Row],[CODIGO]],Inventario[#All],9,FALSE)</f>
        <v>5000</v>
      </c>
      <c r="I134" s="13" t="str">
        <f>"*"&amp;Inventari_2[[#This Row],[CODIGO]]&amp;"*"</f>
        <v>*6909620885865*</v>
      </c>
      <c r="J134" s="34" t="str">
        <f>Inventari_2[[#This Row],[COD]]</f>
        <v>*6909620885865*</v>
      </c>
    </row>
    <row r="135" spans="1:10" ht="36.75" customHeight="1">
      <c r="A135" s="87">
        <v>6972423478022</v>
      </c>
      <c r="B135" s="142" t="s">
        <v>434</v>
      </c>
      <c r="C135" s="123" t="s">
        <v>12</v>
      </c>
      <c r="D135" s="69">
        <v>2</v>
      </c>
      <c r="E135" s="31">
        <f>SUMIF(Entrada[CODIGO],Inventari_2[[#This Row],[CODIGO]],Entrada[CANTIDAD])</f>
        <v>0</v>
      </c>
      <c r="F135" s="32">
        <f>SUMIF(Salidas[[CODIGO ]],Inventari_2[[#This Row],[CODIGO]],Salidas[CANTIDAD])</f>
        <v>0</v>
      </c>
      <c r="G135" s="24">
        <f>Inventari_2[[#This Row],[STOCK DE LLEGADA]]+Inventari_2[[#This Row],[ENTRADA ]]-Inventari_2[[#This Row],[SALIDA]]</f>
        <v>2</v>
      </c>
      <c r="H135" s="13">
        <f>VLOOKUP(Inventari_2[[#This Row],[CODIGO]],Inventario[#All],9,FALSE)</f>
        <v>6000</v>
      </c>
      <c r="I135" s="13" t="str">
        <f>"*"&amp;Inventari_2[[#This Row],[CODIGO]]&amp;"*"</f>
        <v>*6972423478022*</v>
      </c>
      <c r="J135" s="34" t="str">
        <f>Inventari_2[[#This Row],[COD]]</f>
        <v>*6972423478022*</v>
      </c>
    </row>
    <row r="136" spans="1:10" ht="36.75" customHeight="1">
      <c r="A136" s="239" t="s">
        <v>911</v>
      </c>
      <c r="B136" s="142" t="s">
        <v>437</v>
      </c>
      <c r="C136" s="123" t="s">
        <v>67</v>
      </c>
      <c r="D136" s="69">
        <v>2</v>
      </c>
      <c r="E136" s="31">
        <f>SUMIF(Entrada[CODIGO],Inventari_2[[#This Row],[CODIGO]],Entrada[CANTIDAD])</f>
        <v>0</v>
      </c>
      <c r="F136" s="32">
        <f>SUMIF(Salidas[[CODIGO ]],Inventari_2[[#This Row],[CODIGO]],Salidas[CANTIDAD])</f>
        <v>0</v>
      </c>
      <c r="G136" s="23">
        <f>Inventari_2[[#This Row],[STOCK DE LLEGADA]]+Inventari_2[[#This Row],[ENTRADA ]]-Inventari_2[[#This Row],[SALIDA]]</f>
        <v>2</v>
      </c>
      <c r="H136" s="13">
        <f>VLOOKUP(Inventari_2[[#This Row],[CODIGO]],Inventario[#All],9,FALSE)</f>
        <v>25000</v>
      </c>
      <c r="I136" s="13" t="str">
        <f>"*"&amp;Inventari_2[[#This Row],[CODIGO]]&amp;"*"</f>
        <v>*TEC{011*</v>
      </c>
      <c r="J136" s="34" t="str">
        <f>Inventari_2[[#This Row],[COD]]</f>
        <v>*TEC{011*</v>
      </c>
    </row>
    <row r="137" spans="1:10" ht="36.75" customHeight="1">
      <c r="A137" s="89">
        <v>6934520143678</v>
      </c>
      <c r="B137" s="149" t="s">
        <v>445</v>
      </c>
      <c r="C137" s="123" t="s">
        <v>12</v>
      </c>
      <c r="D137" s="69">
        <v>1</v>
      </c>
      <c r="E137" s="31">
        <f>SUMIF(Entrada[CODIGO],Inventari_2[[#This Row],[CODIGO]],Entrada[CANTIDAD])</f>
        <v>0</v>
      </c>
      <c r="F137" s="32">
        <f>SUMIF(Salidas[[CODIGO ]],Inventari_2[[#This Row],[CODIGO]],Salidas[CANTIDAD])</f>
        <v>0</v>
      </c>
      <c r="G137" s="23">
        <f>Inventari_2[[#This Row],[STOCK DE LLEGADA]]+Inventari_2[[#This Row],[ENTRADA ]]-Inventari_2[[#This Row],[SALIDA]]</f>
        <v>1</v>
      </c>
      <c r="H137" s="45">
        <f>VLOOKUP(Inventari_2[[#This Row],[CODIGO]],Inventario[#All],9,FALSE)</f>
        <v>8000</v>
      </c>
      <c r="I137" s="13" t="str">
        <f>"*"&amp;Inventari_2[[#This Row],[CODIGO]]&amp;"*"</f>
        <v>*6934520143678*</v>
      </c>
      <c r="J137" s="34" t="str">
        <f>Inventari_2[[#This Row],[COD]]</f>
        <v>*6934520143678*</v>
      </c>
    </row>
    <row r="138" spans="1:10" ht="36.75" customHeight="1">
      <c r="A138" s="89">
        <v>6934520143067</v>
      </c>
      <c r="B138" s="149" t="s">
        <v>446</v>
      </c>
      <c r="C138" s="123" t="s">
        <v>12</v>
      </c>
      <c r="D138" s="69">
        <v>1</v>
      </c>
      <c r="E138" s="31">
        <f>SUMIF(Entrada[CODIGO],Inventari_2[[#This Row],[CODIGO]],Entrada[CANTIDAD])</f>
        <v>0</v>
      </c>
      <c r="F138" s="32">
        <f>SUMIF(Salidas[[CODIGO ]],Inventari_2[[#This Row],[CODIGO]],Salidas[CANTIDAD])</f>
        <v>1</v>
      </c>
      <c r="G138" s="24">
        <v>2</v>
      </c>
      <c r="H138" s="45">
        <f>VLOOKUP(Inventari_2[[#This Row],[CODIGO]],Inventario[#All],9,FALSE)</f>
        <v>8000</v>
      </c>
      <c r="I138" s="13" t="str">
        <f>"*"&amp;Inventari_2[[#This Row],[CODIGO]]&amp;"*"</f>
        <v>*6934520143067*</v>
      </c>
      <c r="J138" s="34" t="str">
        <f>Inventari_2[[#This Row],[COD]]</f>
        <v>*6934520143067*</v>
      </c>
    </row>
    <row r="139" spans="1:10" ht="36.75" customHeight="1">
      <c r="A139" s="89">
        <v>6934520140899</v>
      </c>
      <c r="B139" s="149" t="s">
        <v>447</v>
      </c>
      <c r="C139" s="123" t="s">
        <v>12</v>
      </c>
      <c r="D139" s="69">
        <v>1</v>
      </c>
      <c r="E139" s="31">
        <f>SUMIF(Entrada[CODIGO],Inventari_2[[#This Row],[CODIGO]],Entrada[CANTIDAD])</f>
        <v>0</v>
      </c>
      <c r="F139" s="32">
        <f>SUMIF(Salidas[[CODIGO ]],Inventari_2[[#This Row],[CODIGO]],Salidas[CANTIDAD])</f>
        <v>0</v>
      </c>
      <c r="G139" s="23">
        <f>Inventari_2[[#This Row],[STOCK DE LLEGADA]]+Inventari_2[[#This Row],[ENTRADA ]]-Inventari_2[[#This Row],[SALIDA]]</f>
        <v>1</v>
      </c>
      <c r="H139" s="46" t="e">
        <f>VLOOKUP(Inventari_2[[#This Row],[CODIGO]],Inventario[#All],9,FALSE)</f>
        <v>#N/A</v>
      </c>
      <c r="I139" s="22" t="str">
        <f>"*"&amp;Inventari_2[[#This Row],[CODIGO]]&amp;"*"</f>
        <v>*6934520140899*</v>
      </c>
      <c r="J139" s="34" t="str">
        <f>Inventari_2[[#This Row],[COD]]</f>
        <v>*6934520140899*</v>
      </c>
    </row>
    <row r="140" spans="1:10" ht="36.75" customHeight="1">
      <c r="A140" s="78">
        <v>6971010807337</v>
      </c>
      <c r="B140" s="149" t="s">
        <v>795</v>
      </c>
      <c r="C140" s="123" t="s">
        <v>12</v>
      </c>
      <c r="D140" s="69">
        <v>3</v>
      </c>
      <c r="E140" s="31">
        <f>SUMIF(Entrada[CODIGO],Inventari_2[[#This Row],[CODIGO]],Entrada[CANTIDAD])</f>
        <v>0</v>
      </c>
      <c r="F140" s="32">
        <f>SUMIF(Salidas[[CODIGO ]],Inventari_2[[#This Row],[CODIGO]],Salidas[CANTIDAD])</f>
        <v>0</v>
      </c>
      <c r="G140" s="23">
        <v>3</v>
      </c>
      <c r="H140" s="13">
        <f>VLOOKUP(Inventari_2[[#This Row],[CODIGO]],Inventario[#All],9,FALSE)</f>
        <v>4500</v>
      </c>
      <c r="I140" s="13" t="str">
        <f>"*"&amp;Inventari_2[[#This Row],[CODIGO]]&amp;"*"</f>
        <v>*6971010807337*</v>
      </c>
      <c r="J140" s="34" t="str">
        <f>Inventari_2[[#This Row],[COD]]</f>
        <v>*6971010807337*</v>
      </c>
    </row>
    <row r="141" spans="1:10" ht="36.75" customHeight="1">
      <c r="A141" s="145" t="s">
        <v>458</v>
      </c>
      <c r="B141" s="142" t="s">
        <v>459</v>
      </c>
      <c r="C141" s="123" t="s">
        <v>37</v>
      </c>
      <c r="D141" s="69">
        <v>19</v>
      </c>
      <c r="E141" s="31">
        <f>SUMIF(Entrada[CODIGO],Inventari_2[[#This Row],[CODIGO]],Entrada[CANTIDAD])</f>
        <v>0</v>
      </c>
      <c r="F141" s="32">
        <f>SUMIF(Salidas[[CODIGO ]],Inventari_2[[#This Row],[CODIGO]],Salidas[CANTIDAD])</f>
        <v>5</v>
      </c>
      <c r="G141" s="23">
        <f>Inventari_2[[#This Row],[STOCK DE LLEGADA]]+Inventari_2[[#This Row],[ENTRADA ]]-Inventari_2[[#This Row],[SALIDA]]</f>
        <v>14</v>
      </c>
      <c r="H141" s="13">
        <f>VLOOKUP(Inventari_2[[#This Row],[CODIGO]],Inventario[#All],9,FALSE)</f>
        <v>7000</v>
      </c>
      <c r="I141" s="13" t="str">
        <f>"*"&amp;Inventari_2[[#This Row],[CODIGO]]&amp;"*"</f>
        <v>*VARI-00055889*</v>
      </c>
      <c r="J141" s="34" t="str">
        <f>Inventari_2[[#This Row],[COD]]</f>
        <v>*VARI-00055889*</v>
      </c>
    </row>
    <row r="142" spans="1:10" ht="36.75" customHeight="1">
      <c r="A142" s="151" t="s">
        <v>461</v>
      </c>
      <c r="B142" s="142" t="s">
        <v>462</v>
      </c>
      <c r="C142" s="123" t="s">
        <v>12</v>
      </c>
      <c r="D142" s="69">
        <v>1</v>
      </c>
      <c r="E142" s="31">
        <f>SUMIF(Entrada[CODIGO],Inventari_2[[#This Row],[CODIGO]],Entrada[CANTIDAD])</f>
        <v>0</v>
      </c>
      <c r="F142" s="32">
        <f>SUMIF(Salidas[[CODIGO ]],Inventari_2[[#This Row],[CODIGO]],Salidas[CANTIDAD])</f>
        <v>1</v>
      </c>
      <c r="G142" s="23">
        <f>Inventari_2[[#This Row],[STOCK DE LLEGADA]]+Inventari_2[[#This Row],[ENTRADA ]]-Inventari_2[[#This Row],[SALIDA]]</f>
        <v>0</v>
      </c>
      <c r="H142" s="13">
        <f>VLOOKUP(Inventari_2[[#This Row],[CODIGO]],Inventario[#All],9,FALSE)</f>
        <v>60000</v>
      </c>
      <c r="I142" s="13" t="str">
        <f>"*"&amp;Inventari_2[[#This Row],[CODIGO]]&amp;"*"</f>
        <v>*JUGUE-00125*</v>
      </c>
      <c r="J142" s="34" t="str">
        <f>Inventari_2[[#This Row],[COD]]</f>
        <v>*JUGUE-00125*</v>
      </c>
    </row>
    <row r="143" spans="1:10" ht="36.75" customHeight="1">
      <c r="A143" s="87">
        <v>6920556405002</v>
      </c>
      <c r="B143" s="142" t="s">
        <v>464</v>
      </c>
      <c r="C143" s="123" t="s">
        <v>44</v>
      </c>
      <c r="D143" s="69">
        <v>1</v>
      </c>
      <c r="E143" s="31">
        <f>SUMIF(Entrada[CODIGO],Inventari_2[[#This Row],[CODIGO]],Entrada[CANTIDAD])</f>
        <v>0</v>
      </c>
      <c r="F143" s="32">
        <f>SUMIF(Salidas[[CODIGO ]],Inventari_2[[#This Row],[CODIGO]],Salidas[CANTIDAD])</f>
        <v>0</v>
      </c>
      <c r="G143" s="23">
        <f>Inventari_2[[#This Row],[STOCK DE LLEGADA]]+Inventari_2[[#This Row],[ENTRADA ]]-Inventari_2[[#This Row],[SALIDA]]</f>
        <v>1</v>
      </c>
      <c r="H143" s="13">
        <f>VLOOKUP(Inventari_2[[#This Row],[CODIGO]],Inventario[#All],9,FALSE)</f>
        <v>30000</v>
      </c>
      <c r="I143" s="13" t="str">
        <f>"*"&amp;Inventari_2[[#This Row],[CODIGO]]&amp;"*"</f>
        <v>*6920556405002*</v>
      </c>
      <c r="J143" s="34" t="str">
        <f>Inventari_2[[#This Row],[COD]]</f>
        <v>*6920556405002*</v>
      </c>
    </row>
    <row r="144" spans="1:10" ht="36.75" customHeight="1">
      <c r="A144" s="146" t="s">
        <v>466</v>
      </c>
      <c r="B144" s="142" t="s">
        <v>467</v>
      </c>
      <c r="C144" s="123" t="s">
        <v>12</v>
      </c>
      <c r="D144" s="69">
        <v>1</v>
      </c>
      <c r="E144" s="31">
        <f>SUMIF(Entrada[CODIGO],Inventari_2[[#This Row],[CODIGO]],Entrada[CANTIDAD])</f>
        <v>0</v>
      </c>
      <c r="F144" s="32">
        <f>SUMIF(Salidas[[CODIGO ]],Inventari_2[[#This Row],[CODIGO]],Salidas[CANTIDAD])</f>
        <v>1</v>
      </c>
      <c r="G144" s="23">
        <f>Inventari_2[[#This Row],[STOCK DE LLEGADA]]+Inventari_2[[#This Row],[ENTRADA ]]-Inventari_2[[#This Row],[SALIDA]]</f>
        <v>0</v>
      </c>
      <c r="H144" s="13">
        <f>VLOOKUP(Inventari_2[[#This Row],[CODIGO]],Inventario[#All],9,FALSE)</f>
        <v>5000</v>
      </c>
      <c r="I144" s="13" t="str">
        <f>"*"&amp;Inventari_2[[#This Row],[CODIGO]]&amp;"*"</f>
        <v>*ESCP-01488*</v>
      </c>
      <c r="J144" s="34" t="str">
        <f>Inventari_2[[#This Row],[COD]]</f>
        <v>*ESCP-01488*</v>
      </c>
    </row>
    <row r="145" spans="1:10" ht="36.75" customHeight="1">
      <c r="A145" s="167" t="s">
        <v>469</v>
      </c>
      <c r="B145" s="10" t="s">
        <v>470</v>
      </c>
      <c r="C145" s="149" t="s">
        <v>44</v>
      </c>
      <c r="D145" s="69">
        <v>1</v>
      </c>
      <c r="E145" s="31">
        <f>SUMIF(Entrada[CODIGO],Inventari_2[[#This Row],[CODIGO]],Entrada[CANTIDAD])</f>
        <v>0</v>
      </c>
      <c r="F145" s="32">
        <f>SUMIF(Salidas[[CODIGO ]],Inventari_2[[#This Row],[CODIGO]],Salidas[CANTIDAD])</f>
        <v>0</v>
      </c>
      <c r="G145" s="24">
        <f>Inventari_2[[#This Row],[STOCK DE LLEGADA]]+Inventari_2[[#This Row],[ENTRADA ]]-Inventari_2[[#This Row],[SALIDA]]</f>
        <v>1</v>
      </c>
      <c r="H145" s="13">
        <f>VLOOKUP(Inventari_2[[#This Row],[CODIGO]],Inventario[#All],9,FALSE)</f>
        <v>10000</v>
      </c>
      <c r="I145" s="13" t="str">
        <f>"*"&amp;Inventari_2[[#This Row],[CODIGO]]&amp;"*"</f>
        <v>*POPS-001*</v>
      </c>
      <c r="J145" s="34" t="str">
        <f>Inventari_2[[#This Row],[COD]]</f>
        <v>*POPS-001*</v>
      </c>
    </row>
    <row r="146" spans="1:10" ht="36.75" customHeight="1">
      <c r="A146" s="150" t="s">
        <v>472</v>
      </c>
      <c r="B146" s="10" t="s">
        <v>473</v>
      </c>
      <c r="C146" s="15" t="s">
        <v>44</v>
      </c>
      <c r="D146" s="69">
        <v>3</v>
      </c>
      <c r="E146" s="31">
        <f>SUMIF(Entrada[CODIGO],Inventari_2[[#This Row],[CODIGO]],Entrada[CANTIDAD])</f>
        <v>7</v>
      </c>
      <c r="F146" s="32">
        <f>SUMIF(Salidas[[CODIGO ]],Inventari_2[[#This Row],[CODIGO]],Salidas[CANTIDAD])</f>
        <v>1</v>
      </c>
      <c r="G146" s="23">
        <f>Inventari_2[[#This Row],[STOCK DE LLEGADA]]+Inventari_2[[#This Row],[ENTRADA ]]-Inventari_2[[#This Row],[SALIDA]]</f>
        <v>9</v>
      </c>
      <c r="H146" s="13">
        <v>10000</v>
      </c>
      <c r="I146" s="13" t="str">
        <f>"*"&amp;Inventari_2[[#This Row],[CODIGO]]&amp;"*"</f>
        <v>*PORC'001*</v>
      </c>
      <c r="J146" s="34" t="str">
        <f>Inventari_2[[#This Row],[COD]]</f>
        <v>*PORC'001*</v>
      </c>
    </row>
    <row r="147" spans="1:10" ht="36.75" customHeight="1">
      <c r="A147" s="225" t="s">
        <v>894</v>
      </c>
      <c r="B147" s="142" t="s">
        <v>481</v>
      </c>
      <c r="C147" s="123" t="s">
        <v>37</v>
      </c>
      <c r="D147" s="69">
        <v>7</v>
      </c>
      <c r="E147" s="31">
        <f>SUMIF(Entrada[CODIGO],Inventari_2[[#This Row],[CODIGO]],Entrada[CANTIDAD])</f>
        <v>0</v>
      </c>
      <c r="F147" s="32">
        <f>SUMIF(Salidas[[CODIGO ]],Inventari_2[[#This Row],[CODIGO]],Salidas[CANTIDAD])</f>
        <v>1</v>
      </c>
      <c r="G147" s="23">
        <f>Inventari_2[[#This Row],[STOCK DE LLEGADA]]+Inventari_2[[#This Row],[ENTRADA ]]-Inventari_2[[#This Row],[SALIDA]]</f>
        <v>6</v>
      </c>
      <c r="H147" s="13">
        <f>VLOOKUP(Inventari_2[[#This Row],[CODIGO]],Inventario[#All],9,FALSE)</f>
        <v>20000</v>
      </c>
      <c r="I147" s="13" t="str">
        <f>"*"&amp;Inventari_2[[#This Row],[CODIGO]]&amp;"*"</f>
        <v>*VARI'00055523*</v>
      </c>
      <c r="J147" s="34" t="str">
        <f>Inventari_2[[#This Row],[COD]]</f>
        <v>*VARI'00055523*</v>
      </c>
    </row>
    <row r="148" spans="1:10" ht="36.75" customHeight="1">
      <c r="A148" s="145" t="s">
        <v>484</v>
      </c>
      <c r="B148" s="142" t="s">
        <v>485</v>
      </c>
      <c r="C148" s="123" t="s">
        <v>103</v>
      </c>
      <c r="D148" s="69">
        <v>1</v>
      </c>
      <c r="E148" s="31">
        <f>SUMIF(Entrada[CODIGO],Inventari_2[[#This Row],[CODIGO]],Entrada[CANTIDAD])</f>
        <v>0</v>
      </c>
      <c r="F148" s="32">
        <f>SUMIF(Salidas[[CODIGO ]],Inventari_2[[#This Row],[CODIGO]],Salidas[CANTIDAD])</f>
        <v>0</v>
      </c>
      <c r="G148" s="23">
        <f>Inventari_2[[#This Row],[STOCK DE LLEGADA]]+Inventari_2[[#This Row],[ENTRADA ]]-Inventari_2[[#This Row],[SALIDA]]</f>
        <v>1</v>
      </c>
      <c r="H148" s="13">
        <f>VLOOKUP(Inventari_2[[#This Row],[CODIGO]],Inventario[#All],9,FALSE)</f>
        <v>50000</v>
      </c>
      <c r="I148" s="13" t="str">
        <f>"*"&amp;Inventari_2[[#This Row],[CODIGO]]&amp;"*"</f>
        <v>*PORT-012*</v>
      </c>
      <c r="J148" s="34" t="str">
        <f>Inventari_2[[#This Row],[COD]]</f>
        <v>*PORT-012*</v>
      </c>
    </row>
    <row r="149" spans="1:10" ht="36.75" customHeight="1">
      <c r="A149" s="145" t="s">
        <v>487</v>
      </c>
      <c r="B149" s="142" t="s">
        <v>488</v>
      </c>
      <c r="C149" s="123" t="s">
        <v>56</v>
      </c>
      <c r="D149" s="69">
        <v>1</v>
      </c>
      <c r="E149" s="31">
        <f>SUMIF(Entrada[CODIGO],Inventari_2[[#This Row],[CODIGO]],Entrada[CANTIDAD])</f>
        <v>0</v>
      </c>
      <c r="F149" s="32">
        <f>SUMIF(Salidas[[CODIGO ]],Inventari_2[[#This Row],[CODIGO]],Salidas[CANTIDAD])</f>
        <v>0</v>
      </c>
      <c r="G149" s="23">
        <f>Inventari_2[[#This Row],[STOCK DE LLEGADA]]+Inventari_2[[#This Row],[ENTRADA ]]-Inventari_2[[#This Row],[SALIDA]]</f>
        <v>1</v>
      </c>
      <c r="H149" s="13">
        <f>VLOOKUP(Inventari_2[[#This Row],[CODIGO]],Inventario[#All],9,FALSE)</f>
        <v>15000</v>
      </c>
      <c r="I149" s="13" t="str">
        <f>"*"&amp;Inventari_2[[#This Row],[CODIGO]]&amp;"*"</f>
        <v>*]c18456123456221*</v>
      </c>
      <c r="J149" s="34" t="str">
        <f>Inventari_2[[#This Row],[COD]]</f>
        <v>*]c18456123456221*</v>
      </c>
    </row>
    <row r="150" spans="1:10" ht="36.75" customHeight="1">
      <c r="A150" s="151" t="s">
        <v>491</v>
      </c>
      <c r="B150" s="142" t="s">
        <v>796</v>
      </c>
      <c r="C150" s="123" t="s">
        <v>451</v>
      </c>
      <c r="D150" s="69">
        <v>1</v>
      </c>
      <c r="E150" s="31">
        <f>SUMIF(Entrada[CODIGO],Inventari_2[[#This Row],[CODIGO]],Entrada[CANTIDAD])</f>
        <v>0</v>
      </c>
      <c r="F150" s="32">
        <f>SUMIF(Salidas[[CODIGO ]],Inventari_2[[#This Row],[CODIGO]],Salidas[CANTIDAD])</f>
        <v>0</v>
      </c>
      <c r="G150" s="23">
        <f>Inventari_2[[#This Row],[STOCK DE LLEGADA]]+Inventari_2[[#This Row],[ENTRADA ]]-Inventari_2[[#This Row],[SALIDA]]</f>
        <v>1</v>
      </c>
      <c r="H150" s="13">
        <f>VLOOKUP(Inventari_2[[#This Row],[CODIGO]],Inventario[#All],9,FALSE)</f>
        <v>70000</v>
      </c>
      <c r="I150" s="13" t="str">
        <f>"*"&amp;Inventari_2[[#This Row],[CODIGO]]&amp;"*"</f>
        <v>*TEC'008*</v>
      </c>
      <c r="J150" s="34" t="str">
        <f>Inventari_2[[#This Row],[COD]]</f>
        <v>*TEC'008*</v>
      </c>
    </row>
    <row r="151" spans="1:10" ht="36.75" customHeight="1">
      <c r="A151" s="146" t="s">
        <v>494</v>
      </c>
      <c r="B151" s="142" t="s">
        <v>495</v>
      </c>
      <c r="C151" s="123" t="s">
        <v>44</v>
      </c>
      <c r="D151" s="69">
        <v>1</v>
      </c>
      <c r="E151" s="31">
        <f>SUMIF(Entrada[CODIGO],Inventari_2[[#This Row],[CODIGO]],Entrada[CANTIDAD])</f>
        <v>0</v>
      </c>
      <c r="F151" s="32">
        <f>SUMIF(Salidas[[CODIGO ]],Inventari_2[[#This Row],[CODIGO]],Salidas[CANTIDAD])</f>
        <v>0</v>
      </c>
      <c r="G151" s="23">
        <f>Inventari_2[[#This Row],[STOCK DE LLEGADA]]+Inventari_2[[#This Row],[ENTRADA ]]-Inventari_2[[#This Row],[SALIDA]]</f>
        <v>1</v>
      </c>
      <c r="H151" s="13">
        <f>VLOOKUP(Inventari_2[[#This Row],[CODIGO]],Inventario[#All],9,FALSE)</f>
        <v>6000</v>
      </c>
      <c r="I151" s="13" t="str">
        <f>"*"&amp;Inventari_2[[#This Row],[CODIGO]]&amp;"*"</f>
        <v>*ESCP'00112233*</v>
      </c>
      <c r="J151" s="34" t="str">
        <f>Inventari_2[[#This Row],[COD]]</f>
        <v>*ESCP'00112233*</v>
      </c>
    </row>
    <row r="152" spans="1:10" ht="36.75" customHeight="1">
      <c r="A152" s="92" t="s">
        <v>497</v>
      </c>
      <c r="B152" s="142" t="s">
        <v>498</v>
      </c>
      <c r="C152" s="123" t="s">
        <v>52</v>
      </c>
      <c r="D152" s="69">
        <v>23</v>
      </c>
      <c r="E152" s="31">
        <f>SUMIF(Entrada[CODIGO],Inventari_2[[#This Row],[CODIGO]],Entrada[CANTIDAD])</f>
        <v>0</v>
      </c>
      <c r="F152" s="32">
        <f>SUMIF(Salidas[[CODIGO ]],Inventari_2[[#This Row],[CODIGO]],Salidas[CANTIDAD])</f>
        <v>2</v>
      </c>
      <c r="G152" s="23">
        <f>Inventari_2[[#This Row],[STOCK DE LLEGADA]]+Inventari_2[[#This Row],[ENTRADA ]]-Inventari_2[[#This Row],[SALIDA]]</f>
        <v>21</v>
      </c>
      <c r="H152" s="13">
        <f>VLOOKUP(Inventari_2[[#This Row],[CODIGO]],Inventario[#All],9,FALSE)</f>
        <v>5000</v>
      </c>
      <c r="I152" s="13" t="str">
        <f>"*"&amp;Inventari_2[[#This Row],[CODIGO]]&amp;"*"</f>
        <v>*VARI-77558*</v>
      </c>
      <c r="J152" s="34" t="str">
        <f>Inventari_2[[#This Row],[COD]]</f>
        <v>*VARI-77558*</v>
      </c>
    </row>
    <row r="153" spans="1:10" ht="36.75" customHeight="1">
      <c r="A153" s="77">
        <v>8886688008800</v>
      </c>
      <c r="B153" s="142" t="s">
        <v>499</v>
      </c>
      <c r="C153" s="123" t="s">
        <v>12</v>
      </c>
      <c r="D153" s="69">
        <v>1</v>
      </c>
      <c r="E153" s="31">
        <f>SUMIF(Entrada[CODIGO],Inventari_2[[#This Row],[CODIGO]],Entrada[CANTIDAD])</f>
        <v>0</v>
      </c>
      <c r="F153" s="32">
        <f>SUMIF(Salidas[[CODIGO ]],Inventari_2[[#This Row],[CODIGO]],Salidas[CANTIDAD])</f>
        <v>0</v>
      </c>
      <c r="G153" s="24">
        <f>Inventari_2[[#This Row],[STOCK DE LLEGADA]]+Inventari_2[[#This Row],[ENTRADA ]]-Inventari_2[[#This Row],[SALIDA]]</f>
        <v>1</v>
      </c>
      <c r="H153" s="13">
        <f>VLOOKUP(Inventari_2[[#This Row],[CODIGO]],Inventario[#All],9,FALSE)</f>
        <v>10000</v>
      </c>
      <c r="I153" s="13" t="str">
        <f>"*"&amp;Inventari_2[[#This Row],[CODIGO]]&amp;"*"</f>
        <v>*8886688008800*</v>
      </c>
      <c r="J153" s="34" t="str">
        <f>Inventari_2[[#This Row],[COD]]</f>
        <v>*8886688008800*</v>
      </c>
    </row>
    <row r="154" spans="1:10" ht="36.75" customHeight="1">
      <c r="A154" s="146" t="s">
        <v>501</v>
      </c>
      <c r="B154" s="142" t="s">
        <v>502</v>
      </c>
      <c r="C154" s="123" t="s">
        <v>44</v>
      </c>
      <c r="D154" s="69">
        <v>2</v>
      </c>
      <c r="E154" s="31">
        <f>SUMIF(Entrada[CODIGO],Inventari_2[[#This Row],[CODIGO]],Entrada[CANTIDAD])</f>
        <v>0</v>
      </c>
      <c r="F154" s="32">
        <f>SUMIF(Salidas[[CODIGO ]],Inventari_2[[#This Row],[CODIGO]],Salidas[CANTIDAD])</f>
        <v>0</v>
      </c>
      <c r="G154" s="23">
        <f>Inventari_2[[#This Row],[STOCK DE LLEGADA]]+Inventari_2[[#This Row],[ENTRADA ]]-Inventari_2[[#This Row],[SALIDA]]</f>
        <v>2</v>
      </c>
      <c r="H154" s="13">
        <f>VLOOKUP(Inventari_2[[#This Row],[CODIGO]],Inventario[#All],9,FALSE)</f>
        <v>5000</v>
      </c>
      <c r="I154" s="13" t="str">
        <f>"*"&amp;Inventari_2[[#This Row],[CODIGO]]&amp;"*"</f>
        <v>*PROTC'002*</v>
      </c>
      <c r="J154" s="34" t="str">
        <f>Inventari_2[[#This Row],[COD]]</f>
        <v>*PROTC'002*</v>
      </c>
    </row>
    <row r="155" spans="1:10" ht="36.75" customHeight="1">
      <c r="A155" s="89">
        <v>6945072400102</v>
      </c>
      <c r="B155" s="149" t="s">
        <v>797</v>
      </c>
      <c r="C155" s="123" t="s">
        <v>25</v>
      </c>
      <c r="D155" s="69">
        <v>1</v>
      </c>
      <c r="E155" s="31">
        <f>SUMIF(Entrada[CODIGO],Inventari_2[[#This Row],[CODIGO]],Entrada[CANTIDAD])</f>
        <v>0</v>
      </c>
      <c r="F155" s="32">
        <f>SUMIF(Salidas[[CODIGO ]],Inventari_2[[#This Row],[CODIGO]],Salidas[CANTIDAD])</f>
        <v>0</v>
      </c>
      <c r="G155" s="23">
        <f>Inventari_2[[#This Row],[STOCK DE LLEGADA]]+Inventari_2[[#This Row],[ENTRADA ]]-Inventari_2[[#This Row],[SALIDA]]</f>
        <v>1</v>
      </c>
      <c r="H155" s="45">
        <f>VLOOKUP(Inventari_2[[#This Row],[CODIGO]],Inventario[#All],9,FALSE)</f>
        <v>2000</v>
      </c>
      <c r="I155" s="13" t="str">
        <f>"*"&amp;Inventari_2[[#This Row],[CODIGO]]&amp;"*"</f>
        <v>*6945072400102*</v>
      </c>
      <c r="J155" s="34" t="str">
        <f>Inventari_2[[#This Row],[COD]]</f>
        <v>*6945072400102*</v>
      </c>
    </row>
    <row r="156" spans="1:10" ht="36.75" customHeight="1">
      <c r="A156" s="89">
        <v>8802017200587</v>
      </c>
      <c r="B156" s="149" t="s">
        <v>798</v>
      </c>
      <c r="C156" s="123" t="s">
        <v>25</v>
      </c>
      <c r="D156" s="69">
        <v>1</v>
      </c>
      <c r="E156" s="31">
        <f>SUMIF(Entrada[CODIGO],Inventari_2[[#This Row],[CODIGO]],Entrada[CANTIDAD])</f>
        <v>0</v>
      </c>
      <c r="F156" s="32">
        <f>SUMIF(Salidas[[CODIGO ]],Inventari_2[[#This Row],[CODIGO]],Salidas[CANTIDAD])</f>
        <v>0</v>
      </c>
      <c r="G156" s="23">
        <f>Inventari_2[[#This Row],[STOCK DE LLEGADA]]+Inventari_2[[#This Row],[ENTRADA ]]-Inventari_2[[#This Row],[SALIDA]]</f>
        <v>1</v>
      </c>
      <c r="H156" s="45">
        <f>VLOOKUP(Inventari_2[[#This Row],[CODIGO]],Inventario[#All],9,FALSE)</f>
        <v>2500</v>
      </c>
      <c r="I156" s="13" t="str">
        <f>"*"&amp;Inventari_2[[#This Row],[CODIGO]]&amp;"*"</f>
        <v>*8802017200587*</v>
      </c>
      <c r="J156" s="34" t="str">
        <f>Inventari_2[[#This Row],[COD]]</f>
        <v>*8802017200587*</v>
      </c>
    </row>
    <row r="157" spans="1:10" ht="36.75" customHeight="1">
      <c r="A157" s="151" t="s">
        <v>506</v>
      </c>
      <c r="B157" s="142" t="s">
        <v>507</v>
      </c>
      <c r="C157" s="123" t="s">
        <v>52</v>
      </c>
      <c r="D157" s="69">
        <v>4</v>
      </c>
      <c r="E157" s="31">
        <f>SUMIF(Entrada[CODIGO],Inventari_2[[#This Row],[CODIGO]],Entrada[CANTIDAD])</f>
        <v>0</v>
      </c>
      <c r="F157" s="32">
        <f>SUMIF(Salidas[[CODIGO ]],Inventari_2[[#This Row],[CODIGO]],Salidas[CANTIDAD])</f>
        <v>1</v>
      </c>
      <c r="G157" s="24">
        <f>Inventari_2[[#This Row],[STOCK DE LLEGADA]]+Inventari_2[[#This Row],[ENTRADA ]]-Inventari_2[[#This Row],[SALIDA]]</f>
        <v>3</v>
      </c>
      <c r="H157" s="13">
        <f>VLOOKUP(Inventari_2[[#This Row],[CODIGO]],Inventario[#All],9,FALSE)</f>
        <v>10000</v>
      </c>
      <c r="I157" s="13" t="str">
        <f>"*"&amp;Inventari_2[[#This Row],[CODIGO]]&amp;"*"</f>
        <v>*ESCP-2025*</v>
      </c>
      <c r="J157" s="34" t="str">
        <f>Inventari_2[[#This Row],[COD]]</f>
        <v>*ESCP-2025*</v>
      </c>
    </row>
    <row r="158" spans="1:10" ht="36.75" customHeight="1">
      <c r="A158" s="151" t="s">
        <v>511</v>
      </c>
      <c r="B158" s="142" t="s">
        <v>512</v>
      </c>
      <c r="C158" s="123" t="s">
        <v>103</v>
      </c>
      <c r="D158" s="69">
        <v>1</v>
      </c>
      <c r="E158" s="31">
        <f>SUMIF(Entrada[CODIGO],Inventari_2[[#This Row],[CODIGO]],Entrada[CANTIDAD])</f>
        <v>0</v>
      </c>
      <c r="F158" s="32">
        <f>SUMIF(Salidas[[CODIGO ]],Inventari_2[[#This Row],[CODIGO]],Salidas[CANTIDAD])</f>
        <v>0</v>
      </c>
      <c r="G158" s="23">
        <f>Inventari_2[[#This Row],[STOCK DE LLEGADA]]+Inventari_2[[#This Row],[ENTRADA ]]-Inventari_2[[#This Row],[SALIDA]]</f>
        <v>1</v>
      </c>
      <c r="H158" s="13">
        <f>VLOOKUP(Inventari_2[[#This Row],[CODIGO]],Inventario[#All],9,FALSE)</f>
        <v>3000</v>
      </c>
      <c r="I158" s="13" t="str">
        <f>"*"&amp;Inventari_2[[#This Row],[CODIGO]]&amp;"*"</f>
        <v>*ESCP-052*</v>
      </c>
      <c r="J158" s="34" t="str">
        <f>Inventari_2[[#This Row],[COD]]</f>
        <v>*ESCP-052*</v>
      </c>
    </row>
    <row r="159" spans="1:10" ht="36.75" customHeight="1">
      <c r="A159" s="222" t="s">
        <v>887</v>
      </c>
      <c r="B159" s="142" t="s">
        <v>516</v>
      </c>
      <c r="C159" s="123" t="s">
        <v>16</v>
      </c>
      <c r="D159" s="69">
        <v>3</v>
      </c>
      <c r="E159" s="31">
        <f>SUMIF(Entrada[CODIGO],Inventari_2[[#This Row],[CODIGO]],Entrada[CANTIDAD])</f>
        <v>0</v>
      </c>
      <c r="F159" s="32">
        <f>SUMIF(Salidas[[CODIGO ]],Inventari_2[[#This Row],[CODIGO]],Salidas[CANTIDAD])</f>
        <v>1</v>
      </c>
      <c r="G159" s="23">
        <f>Inventari_2[[#This Row],[STOCK DE LLEGADA]]+Inventari_2[[#This Row],[ENTRADA ]]-Inventari_2[[#This Row],[SALIDA]]</f>
        <v>2</v>
      </c>
      <c r="H159" s="13">
        <f>VLOOKUP(Inventari_2[[#This Row],[CODIGO]],Inventario[#All],9,FALSE)</f>
        <v>30000</v>
      </c>
      <c r="I159" s="13" t="str">
        <f>"*"&amp;Inventari_2[[#This Row],[CODIGO]]&amp;"*"</f>
        <v>*REJ'5500588*</v>
      </c>
      <c r="J159" s="34" t="str">
        <f>Inventari_2[[#This Row],[COD]]</f>
        <v>*REJ'5500588*</v>
      </c>
    </row>
    <row r="160" spans="1:10" ht="36.75" customHeight="1">
      <c r="A160" s="94">
        <v>9941484881215</v>
      </c>
      <c r="B160" s="163" t="s">
        <v>521</v>
      </c>
      <c r="C160" s="170" t="s">
        <v>12</v>
      </c>
      <c r="D160" s="95">
        <v>1</v>
      </c>
      <c r="E160" s="96">
        <f>SUMIF(Entrada[CODIGO],Inventari_2[[#This Row],[CODIGO]],Entrada[CANTIDAD])</f>
        <v>0</v>
      </c>
      <c r="F160" s="96">
        <f>SUMIF(Salidas[[CODIGO ]],Inventari_2[[#This Row],[CODIGO]],Salidas[CANTIDAD])</f>
        <v>0</v>
      </c>
      <c r="G160" s="97">
        <f>Inventari_2[[#This Row],[STOCK DE LLEGADA]]+Inventari_2[[#This Row],[ENTRADA ]]-Inventari_2[[#This Row],[SALIDA]]</f>
        <v>1</v>
      </c>
      <c r="H160" s="98">
        <f>VLOOKUP(Inventari_2[[#This Row],[CODIGO]],Inventario[#All],9,FALSE)</f>
        <v>3000</v>
      </c>
      <c r="I160" s="99" t="str">
        <f>"*"&amp;Inventari_2[[#This Row],[CODIGO]]&amp;"*"</f>
        <v>*9941484881215*</v>
      </c>
      <c r="J160" s="100" t="str">
        <f>Inventari_2[[#This Row],[COD]]</f>
        <v>*9941484881215*</v>
      </c>
    </row>
    <row r="161" spans="1:10" ht="36.75" customHeight="1">
      <c r="A161" s="87">
        <v>6690002500642</v>
      </c>
      <c r="B161" s="142" t="s">
        <v>523</v>
      </c>
      <c r="C161" s="123" t="s">
        <v>12</v>
      </c>
      <c r="D161" s="69">
        <v>2</v>
      </c>
      <c r="E161" s="31">
        <f>SUMIF(Entrada[CODIGO],Inventari_2[[#This Row],[CODIGO]],Entrada[CANTIDAD])</f>
        <v>0</v>
      </c>
      <c r="F161" s="32">
        <f>SUMIF(Salidas[[CODIGO ]],Inventari_2[[#This Row],[CODIGO]],Salidas[CANTIDAD])</f>
        <v>1</v>
      </c>
      <c r="G161" s="23">
        <f>Inventari_2[[#This Row],[STOCK DE LLEGADA]]+Inventari_2[[#This Row],[ENTRADA ]]-Inventari_2[[#This Row],[SALIDA]]</f>
        <v>1</v>
      </c>
      <c r="H161" s="13">
        <f>VLOOKUP(Inventari_2[[#This Row],[CODIGO]],Inventario[#All],9,FALSE)</f>
        <v>20000</v>
      </c>
      <c r="I161" s="13" t="str">
        <f>"*"&amp;Inventari_2[[#This Row],[CODIGO]]&amp;"*"</f>
        <v>*6690002500642*</v>
      </c>
      <c r="J161" s="34" t="str">
        <f>Inventari_2[[#This Row],[COD]]</f>
        <v>*6690002500642*</v>
      </c>
    </row>
    <row r="162" spans="1:10" ht="36.75" customHeight="1">
      <c r="A162" s="163" t="s">
        <v>532</v>
      </c>
      <c r="B162" s="142" t="s">
        <v>533</v>
      </c>
      <c r="C162" s="123" t="s">
        <v>12</v>
      </c>
      <c r="D162" s="69">
        <v>1</v>
      </c>
      <c r="E162" s="31">
        <f>SUMIF(Entrada[CODIGO],Inventari_2[[#This Row],[CODIGO]],Entrada[CANTIDAD])</f>
        <v>0</v>
      </c>
      <c r="F162" s="32">
        <f>SUMIF(Salidas[[CODIGO ]],Inventari_2[[#This Row],[CODIGO]],Salidas[CANTIDAD])</f>
        <v>1</v>
      </c>
      <c r="G162" s="24">
        <v>3</v>
      </c>
      <c r="H162" s="13">
        <f>VLOOKUP(Inventari_2[[#This Row],[CODIGO]],Inventario[#All],9,FALSE)</f>
        <v>10000</v>
      </c>
      <c r="I162" s="13" t="str">
        <f>"*"&amp;Inventari_2[[#This Row],[CODIGO]]&amp;"*"</f>
        <v>*ESCP-007878*</v>
      </c>
      <c r="J162" s="34" t="str">
        <f>Inventari_2[[#This Row],[COD]]</f>
        <v>*ESCP-007878*</v>
      </c>
    </row>
    <row r="163" spans="1:10" ht="36.75" customHeight="1">
      <c r="A163" s="93">
        <v>6975160081579</v>
      </c>
      <c r="B163" s="149" t="s">
        <v>799</v>
      </c>
      <c r="C163" s="123" t="s">
        <v>25</v>
      </c>
      <c r="D163" s="69">
        <v>1</v>
      </c>
      <c r="E163" s="31">
        <f>SUMIF(Entrada[CODIGO],Inventari_2[[#This Row],[CODIGO]],Entrada[CANTIDAD])</f>
        <v>0</v>
      </c>
      <c r="F163" s="32">
        <f>SUMIF(Salidas[[CODIGO ]],Inventari_2[[#This Row],[CODIGO]],Salidas[CANTIDAD])</f>
        <v>0</v>
      </c>
      <c r="G163" s="23">
        <f>Inventari_2[[#This Row],[STOCK DE LLEGADA]]+Inventari_2[[#This Row],[ENTRADA ]]-Inventari_2[[#This Row],[SALIDA]]</f>
        <v>1</v>
      </c>
      <c r="H163" s="45">
        <f>VLOOKUP(Inventari_2[[#This Row],[CODIGO]],Inventario[#All],9,FALSE)</f>
        <v>15000</v>
      </c>
      <c r="I163" s="13" t="str">
        <f>"*"&amp;Inventari_2[[#This Row],[CODIGO]]&amp;"*"</f>
        <v>*6975160081579*</v>
      </c>
      <c r="J163" s="34" t="str">
        <f>Inventari_2[[#This Row],[COD]]</f>
        <v>*6975160081579*</v>
      </c>
    </row>
    <row r="164" spans="1:10" ht="36.75" customHeight="1">
      <c r="A164" s="104">
        <v>6965482362531</v>
      </c>
      <c r="B164" s="149" t="s">
        <v>539</v>
      </c>
      <c r="C164" s="123" t="s">
        <v>25</v>
      </c>
      <c r="D164" s="69">
        <v>1</v>
      </c>
      <c r="E164" s="31">
        <f>SUMIF(Entrada[CODIGO],Inventari_2[[#This Row],[CODIGO]],Entrada[CANTIDAD])</f>
        <v>0</v>
      </c>
      <c r="F164" s="32">
        <f>SUMIF(Salidas[[CODIGO ]],Inventari_2[[#This Row],[CODIGO]],Salidas[CANTIDAD])</f>
        <v>0</v>
      </c>
      <c r="G164" s="23">
        <f>Inventari_2[[#This Row],[STOCK DE LLEGADA]]+Inventari_2[[#This Row],[ENTRADA ]]-Inventari_2[[#This Row],[SALIDA]]</f>
        <v>1</v>
      </c>
      <c r="H164" s="45">
        <f>VLOOKUP(Inventari_2[[#This Row],[CODIGO]],Inventario[#All],9,FALSE)</f>
        <v>15000</v>
      </c>
      <c r="I164" s="81" t="str">
        <f>"*"&amp;Inventari_2[[#This Row],[CODIGO]]&amp;"*"</f>
        <v>*6965482362531*</v>
      </c>
      <c r="J164" s="34" t="str">
        <f>Inventari_2[[#This Row],[COD]]</f>
        <v>*6965482362531*</v>
      </c>
    </row>
    <row r="165" spans="1:10" ht="36.75" customHeight="1">
      <c r="A165" s="78">
        <v>6990621325184</v>
      </c>
      <c r="B165" s="149" t="s">
        <v>541</v>
      </c>
      <c r="C165" s="123" t="s">
        <v>12</v>
      </c>
      <c r="D165" s="69">
        <v>1</v>
      </c>
      <c r="E165" s="31">
        <f>SUMIF(Entrada[CODIGO],Inventari_2[[#This Row],[CODIGO]],Entrada[CANTIDAD])</f>
        <v>0</v>
      </c>
      <c r="F165" s="32">
        <f>SUMIF(Salidas[[CODIGO ]],Inventari_2[[#This Row],[CODIGO]],Salidas[CANTIDAD])</f>
        <v>0</v>
      </c>
      <c r="G165" s="23">
        <f>Inventari_2[[#This Row],[STOCK DE LLEGADA]]+Inventari_2[[#This Row],[ENTRADA ]]-Inventari_2[[#This Row],[SALIDA]]</f>
        <v>1</v>
      </c>
      <c r="H165" s="45">
        <f>VLOOKUP(Inventari_2[[#This Row],[CODIGO]],Inventario[#All],9,FALSE)</f>
        <v>15000</v>
      </c>
      <c r="I165" s="13" t="str">
        <f>"*"&amp;Inventari_2[[#This Row],[CODIGO]]&amp;"*"</f>
        <v>*6990621325184*</v>
      </c>
      <c r="J165" s="34" t="str">
        <f>Inventari_2[[#This Row],[COD]]</f>
        <v>*6990621325184*</v>
      </c>
    </row>
    <row r="166" spans="1:10" ht="36.75" customHeight="1">
      <c r="A166" s="89">
        <v>6965235633130</v>
      </c>
      <c r="B166" s="149" t="s">
        <v>800</v>
      </c>
      <c r="C166" s="123" t="s">
        <v>12</v>
      </c>
      <c r="D166" s="69">
        <v>1</v>
      </c>
      <c r="E166" s="31">
        <f>SUMIF(Entrada[CODIGO],Inventari_2[[#This Row],[CODIGO]],Entrada[CANTIDAD])</f>
        <v>0</v>
      </c>
      <c r="F166" s="32">
        <f>SUMIF(Salidas[[CODIGO ]],Inventari_2[[#This Row],[CODIGO]],Salidas[CANTIDAD])</f>
        <v>0</v>
      </c>
      <c r="G166" s="23">
        <f>Inventari_2[[#This Row],[STOCK DE LLEGADA]]+Inventari_2[[#This Row],[ENTRADA ]]-Inventari_2[[#This Row],[SALIDA]]</f>
        <v>1</v>
      </c>
      <c r="H166" s="13">
        <f>VLOOKUP(Inventari_2[[#This Row],[CODIGO]],Inventario[#All],9,FALSE)</f>
        <v>15000</v>
      </c>
      <c r="I166" s="81" t="str">
        <f>"*"&amp;Inventari_2[[#This Row],[CODIGO]]&amp;"*"</f>
        <v>*6965235633130*</v>
      </c>
      <c r="J166" s="34" t="str">
        <f>Inventari_2[[#This Row],[COD]]</f>
        <v>*6965235633130*</v>
      </c>
    </row>
    <row r="167" spans="1:10" ht="36.75" customHeight="1">
      <c r="A167" s="77">
        <v>6971548835116</v>
      </c>
      <c r="B167" s="142" t="s">
        <v>801</v>
      </c>
      <c r="C167" s="123" t="s">
        <v>12</v>
      </c>
      <c r="D167" s="69">
        <v>1</v>
      </c>
      <c r="E167" s="31">
        <f>SUMIF(Entrada[CODIGO],Inventari_2[[#This Row],[CODIGO]],Entrada[CANTIDAD])</f>
        <v>0</v>
      </c>
      <c r="F167" s="32">
        <f>SUMIF(Salidas[[CODIGO ]],Inventari_2[[#This Row],[CODIGO]],Salidas[CANTIDAD])</f>
        <v>0</v>
      </c>
      <c r="G167" s="23">
        <f>Inventari_2[[#This Row],[STOCK DE LLEGADA]]+Inventari_2[[#This Row],[ENTRADA ]]-Inventari_2[[#This Row],[SALIDA]]</f>
        <v>1</v>
      </c>
      <c r="H167" s="13">
        <f>VLOOKUP(Inventari_2[[#This Row],[CODIGO]],Inventario[#All],9,FALSE)</f>
        <v>15000</v>
      </c>
      <c r="I167" s="13" t="str">
        <f>"*"&amp;Inventari_2[[#This Row],[CODIGO]]&amp;"*"</f>
        <v>*6971548835116*</v>
      </c>
      <c r="J167" s="34" t="str">
        <f>Inventari_2[[#This Row],[COD]]</f>
        <v>*6971548835116*</v>
      </c>
    </row>
    <row r="168" spans="1:10" ht="36.75" customHeight="1">
      <c r="A168" s="77">
        <v>8809335770785</v>
      </c>
      <c r="B168" s="142" t="s">
        <v>552</v>
      </c>
      <c r="C168" s="123" t="s">
        <v>12</v>
      </c>
      <c r="D168" s="69">
        <v>1</v>
      </c>
      <c r="E168" s="31">
        <f>SUMIF(Entrada[CODIGO],Inventari_2[[#This Row],[CODIGO]],Entrada[CANTIDAD])</f>
        <v>0</v>
      </c>
      <c r="F168" s="32">
        <f>SUMIF(Salidas[[CODIGO ]],Inventari_2[[#This Row],[CODIGO]],Salidas[CANTIDAD])</f>
        <v>0</v>
      </c>
      <c r="G168" s="24">
        <f>Inventari_2[[#This Row],[STOCK DE LLEGADA]]+Inventari_2[[#This Row],[ENTRADA ]]-Inventari_2[[#This Row],[SALIDA]]</f>
        <v>1</v>
      </c>
      <c r="H168" s="13">
        <f>VLOOKUP(Inventari_2[[#This Row],[CODIGO]],Inventario[#All],9,FALSE)</f>
        <v>15000</v>
      </c>
      <c r="I168" s="13" t="str">
        <f>"*"&amp;Inventari_2[[#This Row],[CODIGO]]&amp;"*"</f>
        <v>*8809335770785*</v>
      </c>
      <c r="J168" s="34" t="str">
        <f>Inventari_2[[#This Row],[COD]]</f>
        <v>*8809335770785*</v>
      </c>
    </row>
    <row r="169" spans="1:10" ht="36.75" customHeight="1">
      <c r="A169" s="77">
        <v>6986831217203</v>
      </c>
      <c r="B169" s="142" t="s">
        <v>559</v>
      </c>
      <c r="C169" s="123" t="s">
        <v>12</v>
      </c>
      <c r="D169" s="69">
        <v>1</v>
      </c>
      <c r="E169" s="31">
        <f>SUMIF(Entrada[CODIGO],Inventari_2[[#This Row],[CODIGO]],Entrada[CANTIDAD])</f>
        <v>0</v>
      </c>
      <c r="F169" s="32">
        <f>SUMIF(Salidas[[CODIGO ]],Inventari_2[[#This Row],[CODIGO]],Salidas[CANTIDAD])</f>
        <v>1</v>
      </c>
      <c r="G169" s="24">
        <f>Inventari_2[[#This Row],[STOCK DE LLEGADA]]+Inventari_2[[#This Row],[ENTRADA ]]-Inventari_2[[#This Row],[SALIDA]]</f>
        <v>0</v>
      </c>
      <c r="H169" s="13">
        <f>VLOOKUP(Inventari_2[[#This Row],[CODIGO]],Inventario[#All],9,FALSE)</f>
        <v>15000</v>
      </c>
      <c r="I169" s="13" t="str">
        <f>"*"&amp;Inventari_2[[#This Row],[CODIGO]]&amp;"*"</f>
        <v>*6986831217203*</v>
      </c>
      <c r="J169" s="34" t="str">
        <f>Inventari_2[[#This Row],[COD]]</f>
        <v>*6986831217203*</v>
      </c>
    </row>
    <row r="170" spans="1:10" ht="36.75" customHeight="1">
      <c r="A170" s="163" t="s">
        <v>561</v>
      </c>
      <c r="B170" s="142" t="s">
        <v>562</v>
      </c>
      <c r="C170" s="123" t="s">
        <v>451</v>
      </c>
      <c r="D170" s="69">
        <v>1</v>
      </c>
      <c r="E170" s="31">
        <f>SUMIF(Entrada[CODIGO],Inventari_2[[#This Row],[CODIGO]],Entrada[CANTIDAD])</f>
        <v>0</v>
      </c>
      <c r="F170" s="32">
        <f>SUMIF(Salidas[[CODIGO ]],Inventari_2[[#This Row],[CODIGO]],Salidas[CANTIDAD])</f>
        <v>0</v>
      </c>
      <c r="G170" s="23">
        <f>Inventari_2[[#This Row],[STOCK DE LLEGADA]]+Inventari_2[[#This Row],[ENTRADA ]]-Inventari_2[[#This Row],[SALIDA]]</f>
        <v>1</v>
      </c>
      <c r="H170" s="13">
        <f>VLOOKUP(Inventari_2[[#This Row],[CODIGO]],Inventario[#All],9,FALSE)</f>
        <v>20000</v>
      </c>
      <c r="I170" s="13" t="str">
        <f>"*"&amp;Inventari_2[[#This Row],[CODIGO]]&amp;"*"</f>
        <v>*TEC-007*</v>
      </c>
      <c r="J170" s="34" t="str">
        <f>Inventari_2[[#This Row],[COD]]</f>
        <v>*TEC-007*</v>
      </c>
    </row>
    <row r="171" spans="1:10" ht="36.75" customHeight="1">
      <c r="A171" s="145">
        <v>6971907230422</v>
      </c>
      <c r="B171" s="142" t="s">
        <v>564</v>
      </c>
      <c r="C171" s="123" t="s">
        <v>12</v>
      </c>
      <c r="D171" s="69">
        <v>1</v>
      </c>
      <c r="E171" s="31">
        <f>SUMIF(Entrada[CODIGO],Inventari_2[[#This Row],[CODIGO]],Entrada[CANTIDAD])</f>
        <v>0</v>
      </c>
      <c r="F171" s="32">
        <f>SUMIF(Salidas[[CODIGO ]],Inventari_2[[#This Row],[CODIGO]],Salidas[CANTIDAD])</f>
        <v>0</v>
      </c>
      <c r="G171" s="23">
        <f>Inventari_2[[#This Row],[STOCK DE LLEGADA]]+Inventari_2[[#This Row],[ENTRADA ]]-Inventari_2[[#This Row],[SALIDA]]</f>
        <v>1</v>
      </c>
      <c r="H171" s="13">
        <f>VLOOKUP(Inventari_2[[#This Row],[CODIGO]],Inventario[#All],9,FALSE)</f>
        <v>15000</v>
      </c>
      <c r="I171" s="13" t="str">
        <f>"*"&amp;Inventari_2[[#This Row],[CODIGO]]&amp;"*"</f>
        <v>*6971907230422*</v>
      </c>
      <c r="J171" s="34" t="str">
        <f>Inventari_2[[#This Row],[COD]]</f>
        <v>*6971907230422*</v>
      </c>
    </row>
    <row r="172" spans="1:10" ht="36.75" customHeight="1">
      <c r="A172" s="145" t="s">
        <v>566</v>
      </c>
      <c r="B172" s="142" t="s">
        <v>567</v>
      </c>
      <c r="C172" s="123" t="s">
        <v>67</v>
      </c>
      <c r="D172" s="69">
        <v>1</v>
      </c>
      <c r="E172" s="31">
        <f>SUMIF(Entrada[CODIGO],Inventari_2[[#This Row],[CODIGO]],Entrada[CANTIDAD])</f>
        <v>0</v>
      </c>
      <c r="F172" s="32">
        <f>SUMIF(Salidas[[CODIGO ]],Inventari_2[[#This Row],[CODIGO]],Salidas[CANTIDAD])</f>
        <v>0</v>
      </c>
      <c r="G172" s="23">
        <f>Inventari_2[[#This Row],[STOCK DE LLEGADA]]+Inventari_2[[#This Row],[ENTRADA ]]-Inventari_2[[#This Row],[SALIDA]]</f>
        <v>1</v>
      </c>
      <c r="H172" s="13">
        <f>VLOOKUP(Inventari_2[[#This Row],[CODIGO]],Inventario[#All],9,FALSE)</f>
        <v>5000</v>
      </c>
      <c r="I172" s="13" t="str">
        <f>"*"&amp;Inventari_2[[#This Row],[CODIGO]]&amp;"*"</f>
        <v>*JUGUE-001155*</v>
      </c>
      <c r="J172" s="34" t="str">
        <f>Inventari_2[[#This Row],[COD]]</f>
        <v>*JUGUE-001155*</v>
      </c>
    </row>
    <row r="173" spans="1:10" ht="36.75" customHeight="1">
      <c r="A173" s="145">
        <v>6938542010208</v>
      </c>
      <c r="B173" s="142" t="s">
        <v>573</v>
      </c>
      <c r="C173" s="123" t="s">
        <v>12</v>
      </c>
      <c r="D173" s="69">
        <v>1</v>
      </c>
      <c r="E173" s="31">
        <f>SUMIF(Entrada[CODIGO],Inventari_2[[#This Row],[CODIGO]],Entrada[CANTIDAD])</f>
        <v>0</v>
      </c>
      <c r="F173" s="32">
        <f>SUMIF(Salidas[[CODIGO ]],Inventari_2[[#This Row],[CODIGO]],Salidas[CANTIDAD])</f>
        <v>0</v>
      </c>
      <c r="G173" s="23">
        <f>Inventari_2[[#This Row],[STOCK DE LLEGADA]]+Inventari_2[[#This Row],[ENTRADA ]]-Inventari_2[[#This Row],[SALIDA]]</f>
        <v>1</v>
      </c>
      <c r="H173" s="13">
        <v>5000</v>
      </c>
      <c r="I173" s="13" t="str">
        <f>"*"&amp;Inventari_2[[#This Row],[CODIGO]]&amp;"*"</f>
        <v>*6938542010208*</v>
      </c>
      <c r="J173" s="34" t="str">
        <f>Inventari_2[[#This Row],[COD]]</f>
        <v>*6938542010208*</v>
      </c>
    </row>
    <row r="174" spans="1:10" ht="36.75" customHeight="1">
      <c r="A174" s="87">
        <v>6938542010239</v>
      </c>
      <c r="B174" s="142" t="s">
        <v>573</v>
      </c>
      <c r="C174" s="123" t="s">
        <v>12</v>
      </c>
      <c r="D174" s="126" t="s">
        <v>787</v>
      </c>
      <c r="E174" s="31">
        <f>SUMIF(Entrada[CODIGO],Inventari_2[[#This Row],[CODIGO]],Entrada[CANTIDAD])</f>
        <v>2</v>
      </c>
      <c r="F174" s="32">
        <f>SUMIF(Salidas[[CODIGO ]],Inventari_2[[#This Row],[CODIGO]],Salidas[CANTIDAD])</f>
        <v>3</v>
      </c>
      <c r="G174" s="24">
        <f>Inventari_2[[#This Row],[STOCK DE LLEGADA]]+Inventari_2[[#This Row],[ENTRADA ]]-Inventari_2[[#This Row],[SALIDA]]</f>
        <v>1</v>
      </c>
      <c r="H174" s="13">
        <f>VLOOKUP(Inventari_2[[#This Row],[CODIGO]],Inventario[#All],9,FALSE)</f>
        <v>5000</v>
      </c>
      <c r="I174" s="13" t="str">
        <f>"*"&amp;Inventari_2[[#This Row],[CODIGO]]&amp;"*"</f>
        <v>*6938542010239*</v>
      </c>
      <c r="J174" s="34" t="str">
        <f>Inventari_2[[#This Row],[COD]]</f>
        <v>*6938542010239*</v>
      </c>
    </row>
    <row r="175" spans="1:10" ht="36.75" customHeight="1">
      <c r="A175" s="78">
        <v>6972613449801</v>
      </c>
      <c r="B175" s="149" t="s">
        <v>802</v>
      </c>
      <c r="C175" s="123" t="s">
        <v>12</v>
      </c>
      <c r="D175" s="69">
        <v>1</v>
      </c>
      <c r="E175" s="31">
        <f>SUMIF(Entrada[CODIGO],Inventari_2[[#This Row],[CODIGO]],Entrada[CANTIDAD])</f>
        <v>0</v>
      </c>
      <c r="F175" s="32">
        <f>SUMIF(Salidas[[CODIGO ]],Inventari_2[[#This Row],[CODIGO]],Salidas[CANTIDAD])</f>
        <v>2</v>
      </c>
      <c r="G175" s="23">
        <f>Inventari_2[[#This Row],[STOCK DE LLEGADA]]+Inventari_2[[#This Row],[ENTRADA ]]-Inventari_2[[#This Row],[SALIDA]]</f>
        <v>-1</v>
      </c>
      <c r="H175" s="45">
        <f>VLOOKUP(Inventari_2[[#This Row],[CODIGO]],Inventario[#All],9,FALSE)</f>
        <v>8000</v>
      </c>
      <c r="I175" s="13" t="str">
        <f>"*"&amp;Inventari_2[[#This Row],[CODIGO]]&amp;"*"</f>
        <v>*6972613449801*</v>
      </c>
      <c r="J175" s="34" t="str">
        <f>Inventari_2[[#This Row],[COD]]</f>
        <v>*6972613449801*</v>
      </c>
    </row>
    <row r="176" spans="1:10" ht="36.75" customHeight="1">
      <c r="A176" s="163" t="s">
        <v>575</v>
      </c>
      <c r="B176" s="142" t="s">
        <v>576</v>
      </c>
      <c r="C176" s="123" t="s">
        <v>52</v>
      </c>
      <c r="D176" s="69">
        <v>1</v>
      </c>
      <c r="E176" s="31">
        <f>SUMIF(Entrada[CODIGO],Inventari_2[[#This Row],[CODIGO]],Entrada[CANTIDAD])</f>
        <v>0</v>
      </c>
      <c r="F176" s="32">
        <f>SUMIF(Salidas[[CODIGO ]],Inventari_2[[#This Row],[CODIGO]],Salidas[CANTIDAD])</f>
        <v>0</v>
      </c>
      <c r="G176" s="23">
        <f>Inventari_2[[#This Row],[STOCK DE LLEGADA]]+Inventari_2[[#This Row],[ENTRADA ]]-Inventari_2[[#This Row],[SALIDA]]</f>
        <v>1</v>
      </c>
      <c r="H176" s="13">
        <f>VLOOKUP(Inventari_2[[#This Row],[CODIGO]],Inventario[#All],9,FALSE)</f>
        <v>10000</v>
      </c>
      <c r="I176" s="13" t="str">
        <f>"*"&amp;Inventari_2[[#This Row],[CODIGO]]&amp;"*"</f>
        <v>*JUGUE-997545*</v>
      </c>
      <c r="J176" s="34" t="str">
        <f>Inventari_2[[#This Row],[COD]]</f>
        <v>*JUGUE-997545*</v>
      </c>
    </row>
    <row r="177" spans="1:10" ht="36.75" customHeight="1">
      <c r="A177" s="163" t="s">
        <v>578</v>
      </c>
      <c r="B177" s="142" t="s">
        <v>579</v>
      </c>
      <c r="C177" s="123" t="s">
        <v>52</v>
      </c>
      <c r="D177" s="69">
        <v>1</v>
      </c>
      <c r="E177" s="31">
        <f>SUMIF(Entrada[CODIGO],Inventari_2[[#This Row],[CODIGO]],Entrada[CANTIDAD])</f>
        <v>0</v>
      </c>
      <c r="F177" s="32">
        <f>SUMIF(Salidas[[CODIGO ]],Inventari_2[[#This Row],[CODIGO]],Salidas[CANTIDAD])</f>
        <v>0</v>
      </c>
      <c r="G177" s="23">
        <f>Inventari_2[[#This Row],[STOCK DE LLEGADA]]+Inventari_2[[#This Row],[ENTRADA ]]-Inventari_2[[#This Row],[SALIDA]]</f>
        <v>1</v>
      </c>
      <c r="H177" s="13">
        <f>VLOOKUP(Inventari_2[[#This Row],[CODIGO]],Inventario[#All],9,FALSE)</f>
        <v>12000</v>
      </c>
      <c r="I177" s="13" t="str">
        <f>"*"&amp;Inventari_2[[#This Row],[CODIGO]]&amp;"*"</f>
        <v>*JUGUE-112245*</v>
      </c>
      <c r="J177" s="34" t="str">
        <f>Inventari_2[[#This Row],[COD]]</f>
        <v>*JUGUE-112245*</v>
      </c>
    </row>
    <row r="178" spans="1:10" ht="36.75" customHeight="1">
      <c r="A178" s="163" t="s">
        <v>580</v>
      </c>
      <c r="B178" s="142" t="s">
        <v>581</v>
      </c>
      <c r="C178" s="123" t="s">
        <v>16</v>
      </c>
      <c r="D178" s="69">
        <v>1</v>
      </c>
      <c r="E178" s="31">
        <f>SUMIF(Entrada[CODIGO],Inventari_2[[#This Row],[CODIGO]],Entrada[CANTIDAD])</f>
        <v>0</v>
      </c>
      <c r="F178" s="32">
        <f>SUMIF(Salidas[[CODIGO ]],Inventari_2[[#This Row],[CODIGO]],Salidas[CANTIDAD])</f>
        <v>1</v>
      </c>
      <c r="G178" s="23">
        <f>Inventari_2[[#This Row],[STOCK DE LLEGADA]]+Inventari_2[[#This Row],[ENTRADA ]]-Inventari_2[[#This Row],[SALIDA]]</f>
        <v>0</v>
      </c>
      <c r="H178" s="13">
        <f>VLOOKUP(Inventari_2[[#This Row],[CODIGO]],Inventario[#All],9,FALSE)</f>
        <v>10000</v>
      </c>
      <c r="I178" s="13" t="str">
        <f>"*"&amp;Inventari_2[[#This Row],[CODIGO]]&amp;"*"</f>
        <v>*JUGUE-881447*</v>
      </c>
      <c r="J178" s="34" t="str">
        <f>Inventari_2[[#This Row],[COD]]</f>
        <v>*JUGUE-881447*</v>
      </c>
    </row>
    <row r="179" spans="1:10" ht="36.75" customHeight="1">
      <c r="A179" s="150" t="s">
        <v>583</v>
      </c>
      <c r="B179" s="10" t="s">
        <v>584</v>
      </c>
      <c r="C179" s="10" t="s">
        <v>185</v>
      </c>
      <c r="D179" s="69">
        <v>1</v>
      </c>
      <c r="E179" s="31">
        <f>SUMIF(Entrada[CODIGO],Inventari_2[[#This Row],[CODIGO]],Entrada[CANTIDAD])</f>
        <v>0</v>
      </c>
      <c r="F179" s="32">
        <f>SUMIF(Salidas[[CODIGO ]],Inventari_2[[#This Row],[CODIGO]],Salidas[CANTIDAD])</f>
        <v>1</v>
      </c>
      <c r="G179" s="24">
        <f>Inventari_2[[#This Row],[STOCK DE LLEGADA]]+Inventari_2[[#This Row],[ENTRADA ]]-Inventari_2[[#This Row],[SALIDA]]</f>
        <v>0</v>
      </c>
      <c r="H179" s="13">
        <f>VLOOKUP(Inventari_2[[#This Row],[CODIGO]],Inventario[#All],9,FALSE)</f>
        <v>35000</v>
      </c>
      <c r="I179" s="13" t="str">
        <f>"*"&amp;Inventari_2[[#This Row],[CODIGO]]&amp;"*"</f>
        <v>*SOMB-001*</v>
      </c>
      <c r="J179" s="34" t="str">
        <f>Inventari_2[[#This Row],[COD]]</f>
        <v>*SOMB-001*</v>
      </c>
    </row>
    <row r="180" spans="1:10" ht="36.75" customHeight="1">
      <c r="A180" s="145" t="s">
        <v>586</v>
      </c>
      <c r="B180" s="142" t="s">
        <v>587</v>
      </c>
      <c r="C180" s="123" t="s">
        <v>44</v>
      </c>
      <c r="D180" s="69">
        <v>1</v>
      </c>
      <c r="E180" s="31">
        <f>SUMIF(Entrada[CODIGO],Inventari_2[[#This Row],[CODIGO]],Entrada[CANTIDAD])</f>
        <v>0</v>
      </c>
      <c r="F180" s="32">
        <f>SUMIF(Salidas[[CODIGO ]],Inventari_2[[#This Row],[CODIGO]],Salidas[CANTIDAD])</f>
        <v>0</v>
      </c>
      <c r="G180" s="23">
        <f>Inventari_2[[#This Row],[STOCK DE LLEGADA]]+Inventari_2[[#This Row],[ENTRADA ]]-Inventari_2[[#This Row],[SALIDA]]</f>
        <v>1</v>
      </c>
      <c r="H180" s="13">
        <f>VLOOKUP(Inventari_2[[#This Row],[CODIGO]],Inventario[#All],9,FALSE)</f>
        <v>986.66666666666674</v>
      </c>
      <c r="I180" s="13" t="str">
        <f>"*"&amp;Inventari_2[[#This Row],[CODIGO]]&amp;"*"</f>
        <v>*VARI-002478*</v>
      </c>
      <c r="J180" s="34" t="str">
        <f>Inventari_2[[#This Row],[COD]]</f>
        <v>*VARI-002478*</v>
      </c>
    </row>
    <row r="181" spans="1:10" ht="36.75" customHeight="1">
      <c r="A181" s="146" t="s">
        <v>589</v>
      </c>
      <c r="B181" s="142" t="s">
        <v>803</v>
      </c>
      <c r="C181" s="123" t="s">
        <v>37</v>
      </c>
      <c r="D181" s="69">
        <v>393</v>
      </c>
      <c r="E181" s="31">
        <f>SUMIF(Entrada[CODIGO],Inventari_2[[#This Row],[CODIGO]],Entrada[CANTIDAD])</f>
        <v>10</v>
      </c>
      <c r="F181" s="32">
        <f>SUMIF(Salidas[[CODIGO ]],Inventari_2[[#This Row],[CODIGO]],Salidas[CANTIDAD])</f>
        <v>43</v>
      </c>
      <c r="G181" s="23">
        <f>Inventari_2[[#This Row],[STOCK DE LLEGADA]]+Inventari_2[[#This Row],[ENTRADA ]]-Inventari_2[[#This Row],[SALIDA]]</f>
        <v>360</v>
      </c>
      <c r="H181" s="13">
        <f>VLOOKUP(Inventari_2[[#This Row],[CODIGO]],Inventario[#All],9,FALSE)</f>
        <v>1000</v>
      </c>
      <c r="I181" s="13" t="str">
        <f>"*"&amp;Inventari_2[[#This Row],[CODIGO]]&amp;"*"</f>
        <v>*VARI-002161*</v>
      </c>
      <c r="J181" s="34" t="str">
        <f>Inventari_2[[#This Row],[COD]]</f>
        <v>*VARI-002161*</v>
      </c>
    </row>
    <row r="182" spans="1:10" ht="36.75" customHeight="1">
      <c r="A182" s="145">
        <v>6978156215019</v>
      </c>
      <c r="B182" s="142" t="s">
        <v>594</v>
      </c>
      <c r="C182" s="123" t="s">
        <v>25</v>
      </c>
      <c r="D182" s="69">
        <v>1</v>
      </c>
      <c r="E182" s="31">
        <f>SUMIF(Entrada[CODIGO],Inventari_2[[#This Row],[CODIGO]],Entrada[CANTIDAD])</f>
        <v>2</v>
      </c>
      <c r="F182" s="32">
        <f>SUMIF(Salidas[[CODIGO ]],Inventari_2[[#This Row],[CODIGO]],Salidas[CANTIDAD])</f>
        <v>1</v>
      </c>
      <c r="G182" s="23">
        <f>Inventari_2[[#This Row],[STOCK DE LLEGADA]]+Inventari_2[[#This Row],[ENTRADA ]]-Inventari_2[[#This Row],[SALIDA]]</f>
        <v>2</v>
      </c>
      <c r="H182" s="13">
        <f>VLOOKUP(Inventari_2[[#This Row],[CODIGO]],Inventario[#All],9,FALSE)</f>
        <v>15000</v>
      </c>
      <c r="I182" s="13" t="str">
        <f>"*"&amp;Inventari_2[[#This Row],[CODIGO]]&amp;"*"</f>
        <v>*6978156215019*</v>
      </c>
      <c r="J182" s="34" t="str">
        <f>Inventari_2[[#This Row],[COD]]</f>
        <v>*6978156215019*</v>
      </c>
    </row>
    <row r="183" spans="1:10" ht="36.75" customHeight="1">
      <c r="A183" s="87">
        <v>6971010809751</v>
      </c>
      <c r="B183" s="142" t="s">
        <v>598</v>
      </c>
      <c r="C183" s="123" t="s">
        <v>12</v>
      </c>
      <c r="D183" s="69">
        <v>2</v>
      </c>
      <c r="E183" s="31">
        <f>SUMIF(Entrada[CODIGO],Inventari_2[[#This Row],[CODIGO]],Entrada[CANTIDAD])</f>
        <v>0</v>
      </c>
      <c r="F183" s="32">
        <f>SUMIF(Salidas[[CODIGO ]],Inventari_2[[#This Row],[CODIGO]],Salidas[CANTIDAD])</f>
        <v>0</v>
      </c>
      <c r="G183" s="24">
        <f>Inventari_2[[#This Row],[STOCK DE LLEGADA]]+Inventari_2[[#This Row],[ENTRADA ]]-Inventari_2[[#This Row],[SALIDA]]</f>
        <v>2</v>
      </c>
      <c r="H183" s="13">
        <f>VLOOKUP(Inventari_2[[#This Row],[CODIGO]],Inventario[#All],9,FALSE)</f>
        <v>5000</v>
      </c>
      <c r="I183" s="13" t="str">
        <f>"*"&amp;Inventari_2[[#This Row],[CODIGO]]&amp;"*"</f>
        <v>*6971010809751*</v>
      </c>
      <c r="J183" s="34" t="str">
        <f>Inventari_2[[#This Row],[COD]]</f>
        <v>*6971010809751*</v>
      </c>
    </row>
    <row r="184" spans="1:10" ht="36.75" customHeight="1">
      <c r="A184" s="89">
        <v>6875336130363</v>
      </c>
      <c r="B184" s="149" t="s">
        <v>602</v>
      </c>
      <c r="C184" s="123" t="s">
        <v>25</v>
      </c>
      <c r="D184" s="69">
        <v>1</v>
      </c>
      <c r="E184" s="31">
        <f>SUMIF(Entrada[CODIGO],Inventari_2[[#This Row],[CODIGO]],Entrada[CANTIDAD])</f>
        <v>0</v>
      </c>
      <c r="F184" s="32">
        <f>SUMIF(Salidas[[CODIGO ]],Inventari_2[[#This Row],[CODIGO]],Salidas[CANTIDAD])</f>
        <v>0</v>
      </c>
      <c r="G184" s="23">
        <f>Inventari_2[[#This Row],[STOCK DE LLEGADA]]+Inventari_2[[#This Row],[ENTRADA ]]-Inventari_2[[#This Row],[SALIDA]]</f>
        <v>1</v>
      </c>
      <c r="H184" s="45">
        <f>VLOOKUP(Inventari_2[[#This Row],[CODIGO]],Inventario[#All],9,FALSE)</f>
        <v>10000</v>
      </c>
      <c r="I184" s="81" t="str">
        <f>"*"&amp;Inventari_2[[#This Row],[CODIGO]]&amp;"*"</f>
        <v>*6875336130363*</v>
      </c>
      <c r="J184" s="34" t="str">
        <f>Inventari_2[[#This Row],[COD]]</f>
        <v>*6875336130363*</v>
      </c>
    </row>
    <row r="185" spans="1:10" ht="36.75" customHeight="1">
      <c r="A185" s="87">
        <v>6991200021428</v>
      </c>
      <c r="B185" s="142" t="s">
        <v>606</v>
      </c>
      <c r="C185" s="123" t="s">
        <v>67</v>
      </c>
      <c r="D185" s="69">
        <v>1</v>
      </c>
      <c r="E185" s="31">
        <f>SUMIF(Entrada[CODIGO],Inventari_2[[#This Row],[CODIGO]],Entrada[CANTIDAD])</f>
        <v>0</v>
      </c>
      <c r="F185" s="32">
        <f>SUMIF(Salidas[[CODIGO ]],Inventari_2[[#This Row],[CODIGO]],Salidas[CANTIDAD])</f>
        <v>3</v>
      </c>
      <c r="G185" s="23">
        <f>Inventari_2[[#This Row],[STOCK DE LLEGADA]]+Inventari_2[[#This Row],[ENTRADA ]]-Inventari_2[[#This Row],[SALIDA]]</f>
        <v>-2</v>
      </c>
      <c r="H185" s="13">
        <f>VLOOKUP(Inventari_2[[#This Row],[CODIGO]],Inventario[#All],9,FALSE)</f>
        <v>15000</v>
      </c>
      <c r="I185" s="13" t="str">
        <f>"*"&amp;Inventari_2[[#This Row],[CODIGO]]&amp;"*"</f>
        <v>*6991200021428*</v>
      </c>
      <c r="J185" s="34" t="str">
        <f>Inventari_2[[#This Row],[COD]]</f>
        <v>*6991200021428*</v>
      </c>
    </row>
    <row r="186" spans="1:10" ht="36.75" customHeight="1">
      <c r="A186" s="92">
        <v>6957157003092</v>
      </c>
      <c r="B186" s="142" t="s">
        <v>608</v>
      </c>
      <c r="C186" s="123" t="s">
        <v>609</v>
      </c>
      <c r="D186" s="69">
        <v>9</v>
      </c>
      <c r="E186" s="31">
        <f>SUMIF(Entrada[CODIGO],Inventari_2[[#This Row],[CODIGO]],Entrada[CANTIDAD])</f>
        <v>0</v>
      </c>
      <c r="F186" s="32">
        <f>SUMIF(Salidas[[CODIGO ]],Inventari_2[[#This Row],[CODIGO]],Salidas[CANTIDAD])</f>
        <v>0</v>
      </c>
      <c r="G186" s="24">
        <f>Inventari_2[[#This Row],[STOCK DE LLEGADA]]+Inventari_2[[#This Row],[ENTRADA ]]-Inventari_2[[#This Row],[SALIDA]]</f>
        <v>9</v>
      </c>
      <c r="H186" s="13">
        <f>VLOOKUP(Inventari_2[[#This Row],[CODIGO]],Inventario[#All],9,FALSE)</f>
        <v>15000</v>
      </c>
      <c r="I186" s="13" t="str">
        <f>"*"&amp;Inventari_2[[#This Row],[CODIGO]]&amp;"*"</f>
        <v>*6957157003092*</v>
      </c>
      <c r="J186" s="34" t="str">
        <f>Inventari_2[[#This Row],[COD]]</f>
        <v>*6957157003092*</v>
      </c>
    </row>
    <row r="187" spans="1:10" ht="36.75" customHeight="1">
      <c r="A187" s="151" t="s">
        <v>611</v>
      </c>
      <c r="B187" s="142" t="s">
        <v>612</v>
      </c>
      <c r="C187" s="123" t="s">
        <v>56</v>
      </c>
      <c r="D187" s="69">
        <v>3</v>
      </c>
      <c r="E187" s="31">
        <f>SUMIF(Entrada[CODIGO],Inventari_2[[#This Row],[CODIGO]],Entrada[CANTIDAD])</f>
        <v>0</v>
      </c>
      <c r="F187" s="32">
        <f>SUMIF(Salidas[[CODIGO ]],Inventari_2[[#This Row],[CODIGO]],Salidas[CANTIDAD])</f>
        <v>0</v>
      </c>
      <c r="G187" s="23">
        <f>Inventari_2[[#This Row],[STOCK DE LLEGADA]]+Inventari_2[[#This Row],[ENTRADA ]]-Inventari_2[[#This Row],[SALIDA]]</f>
        <v>3</v>
      </c>
      <c r="H187" s="13">
        <f>VLOOKUP(Inventari_2[[#This Row],[CODIGO]],Inventario[#All],9,FALSE)</f>
        <v>20000</v>
      </c>
      <c r="I187" s="13" t="str">
        <f>"*"&amp;Inventari_2[[#This Row],[CODIGO]]&amp;"*"</f>
        <v>*TAPE'001*</v>
      </c>
      <c r="J187" s="34" t="str">
        <f>Inventari_2[[#This Row],[COD]]</f>
        <v>*TAPE'001*</v>
      </c>
    </row>
    <row r="188" spans="1:10" ht="36.75" customHeight="1">
      <c r="A188" s="87">
        <v>6913587944718</v>
      </c>
      <c r="B188" s="142" t="s">
        <v>614</v>
      </c>
      <c r="C188" s="123" t="s">
        <v>202</v>
      </c>
      <c r="D188" s="125" t="s">
        <v>781</v>
      </c>
      <c r="E188" s="31">
        <f>SUMIF(Entrada[CODIGO],Inventari_2[[#This Row],[CODIGO]],Entrada[CANTIDAD])</f>
        <v>0</v>
      </c>
      <c r="F188" s="32">
        <f>SUMIF(Salidas[[CODIGO ]],Inventari_2[[#This Row],[CODIGO]],Salidas[CANTIDAD])</f>
        <v>0</v>
      </c>
      <c r="G188" s="23">
        <f>Inventari_2[[#This Row],[STOCK DE LLEGADA]]+Inventari_2[[#This Row],[ENTRADA ]]-Inventari_2[[#This Row],[SALIDA]]</f>
        <v>1</v>
      </c>
      <c r="H188" s="13">
        <f>VLOOKUP(Inventari_2[[#This Row],[CODIGO]],Inventario[#All],9,FALSE)</f>
        <v>80000</v>
      </c>
      <c r="I188" s="13" t="str">
        <f>"*"&amp;Inventari_2[[#This Row],[CODIGO]]&amp;"*"</f>
        <v>*6913587944718*</v>
      </c>
      <c r="J188" s="34" t="str">
        <f>Inventari_2[[#This Row],[COD]]</f>
        <v>*6913587944718*</v>
      </c>
    </row>
    <row r="189" spans="1:10" ht="36.75" customHeight="1">
      <c r="A189" s="235" t="s">
        <v>909</v>
      </c>
      <c r="B189" s="142" t="s">
        <v>616</v>
      </c>
      <c r="C189" s="123" t="s">
        <v>12</v>
      </c>
      <c r="D189" s="69">
        <v>1</v>
      </c>
      <c r="E189" s="31">
        <f>SUMIF(Entrada[CODIGO],Inventari_2[[#This Row],[CODIGO]],Entrada[CANTIDAD])</f>
        <v>0</v>
      </c>
      <c r="F189" s="32">
        <f>SUMIF(Salidas[[CODIGO ]],Inventari_2[[#This Row],[CODIGO]],Salidas[CANTIDAD])</f>
        <v>1</v>
      </c>
      <c r="G189" s="23">
        <f>Inventari_2[[#This Row],[STOCK DE LLEGADA]]+Inventari_2[[#This Row],[ENTRADA ]]-Inventari_2[[#This Row],[SALIDA]]</f>
        <v>0</v>
      </c>
      <c r="H189" s="13">
        <f>VLOOKUP(Inventari_2[[#This Row],[CODIGO]],Inventario[#All],9,FALSE)</f>
        <v>40000</v>
      </c>
      <c r="I189" s="13" t="str">
        <f>"*"&amp;Inventari_2[[#This Row],[CODIGO]]&amp;"*"</f>
        <v>*TERM'20055*</v>
      </c>
      <c r="J189" s="34" t="str">
        <f>Inventari_2[[#This Row],[COD]]</f>
        <v>*TERM'20055*</v>
      </c>
    </row>
    <row r="190" spans="1:10" ht="36.75" customHeight="1">
      <c r="A190" s="87">
        <v>6972547490146</v>
      </c>
      <c r="B190" s="142" t="s">
        <v>620</v>
      </c>
      <c r="C190" s="123" t="s">
        <v>12</v>
      </c>
      <c r="D190" s="69">
        <v>1</v>
      </c>
      <c r="E190" s="31">
        <f>SUMIF(Entrada[CODIGO],Inventari_2[[#This Row],[CODIGO]],Entrada[CANTIDAD])</f>
        <v>0</v>
      </c>
      <c r="F190" s="32">
        <f>SUMIF(Salidas[[CODIGO ]],Inventari_2[[#This Row],[CODIGO]],Salidas[CANTIDAD])</f>
        <v>0</v>
      </c>
      <c r="G190" s="24">
        <f>Inventari_2[[#This Row],[STOCK DE LLEGADA]]+Inventari_2[[#This Row],[ENTRADA ]]-Inventari_2[[#This Row],[SALIDA]]</f>
        <v>1</v>
      </c>
      <c r="H190" s="13">
        <f>VLOOKUP(Inventari_2[[#This Row],[CODIGO]],Inventario[#All],9,FALSE)</f>
        <v>35000</v>
      </c>
      <c r="I190" s="13" t="str">
        <f>"*"&amp;Inventari_2[[#This Row],[CODIGO]]&amp;"*"</f>
        <v>*6972547490146*</v>
      </c>
      <c r="J190" s="34" t="str">
        <f>Inventari_2[[#This Row],[COD]]</f>
        <v>*6972547490146*</v>
      </c>
    </row>
    <row r="191" spans="1:10" ht="36.75" customHeight="1">
      <c r="A191" s="151" t="s">
        <v>622</v>
      </c>
      <c r="B191" s="142" t="s">
        <v>623</v>
      </c>
      <c r="C191" s="123" t="s">
        <v>56</v>
      </c>
      <c r="D191" s="69">
        <v>1</v>
      </c>
      <c r="E191" s="31">
        <f>SUMIF(Entrada[CODIGO],Inventari_2[[#This Row],[CODIGO]],Entrada[CANTIDAD])</f>
        <v>0</v>
      </c>
      <c r="F191" s="32">
        <f>SUMIF(Salidas[[CODIGO ]],Inventari_2[[#This Row],[CODIGO]],Salidas[CANTIDAD])</f>
        <v>0</v>
      </c>
      <c r="G191" s="23">
        <f>Inventari_2[[#This Row],[STOCK DE LLEGADA]]+Inventari_2[[#This Row],[ENTRADA ]]-Inventari_2[[#This Row],[SALIDA]]</f>
        <v>1</v>
      </c>
      <c r="H191" s="13">
        <f>VLOOKUP(Inventari_2[[#This Row],[CODIGO]],Inventario[#All],9,FALSE)</f>
        <v>35000</v>
      </c>
      <c r="I191" s="13" t="str">
        <f>"*"&amp;Inventari_2[[#This Row],[CODIGO]]&amp;"*"</f>
        <v>*TERM-0044*</v>
      </c>
      <c r="J191" s="34" t="str">
        <f>Inventari_2[[#This Row],[COD]]</f>
        <v>*TERM-0044*</v>
      </c>
    </row>
    <row r="192" spans="1:10" ht="36.75" customHeight="1">
      <c r="A192" s="77">
        <v>6972544691058</v>
      </c>
      <c r="B192" s="161" t="s">
        <v>625</v>
      </c>
      <c r="C192" s="123" t="s">
        <v>12</v>
      </c>
      <c r="D192" s="69">
        <v>3</v>
      </c>
      <c r="E192" s="31">
        <f>SUMIF(Entrada[CODIGO],Inventari_2[[#This Row],[CODIGO]],Entrada[CANTIDAD])</f>
        <v>0</v>
      </c>
      <c r="F192" s="32">
        <f>SUMIF(Salidas[[CODIGO ]],Inventari_2[[#This Row],[CODIGO]],Salidas[CANTIDAD])</f>
        <v>1</v>
      </c>
      <c r="G192" s="24">
        <f>Inventari_2[[#This Row],[STOCK DE LLEGADA]]+Inventari_2[[#This Row],[ENTRADA ]]-Inventari_2[[#This Row],[SALIDA]]</f>
        <v>2</v>
      </c>
      <c r="H192" s="13">
        <f>VLOOKUP(Inventari_2[[#This Row],[CODIGO]],Inventario[#All],9,FALSE)</f>
        <v>7000</v>
      </c>
      <c r="I192" s="13" t="str">
        <f>"*"&amp;Inventari_2[[#This Row],[CODIGO]]&amp;"*"</f>
        <v>*6972544691058*</v>
      </c>
      <c r="J192" s="34" t="str">
        <f>Inventari_2[[#This Row],[COD]]</f>
        <v>*6972544691058*</v>
      </c>
    </row>
    <row r="193" spans="1:10" ht="36.75" customHeight="1">
      <c r="A193" s="145" t="s">
        <v>627</v>
      </c>
      <c r="B193" s="161" t="s">
        <v>628</v>
      </c>
      <c r="C193" s="123" t="s">
        <v>44</v>
      </c>
      <c r="D193" s="125" t="s">
        <v>781</v>
      </c>
      <c r="E193" s="31">
        <f>SUMIF(Entrada[CODIGO],Inventari_2[[#This Row],[CODIGO]],Entrada[CANTIDAD])</f>
        <v>0</v>
      </c>
      <c r="F193" s="32">
        <f>SUMIF(Salidas[[CODIGO ]],Inventari_2[[#This Row],[CODIGO]],Salidas[CANTIDAD])</f>
        <v>0</v>
      </c>
      <c r="G193" s="23">
        <f>Inventari_2[[#This Row],[STOCK DE LLEGADA]]+Inventari_2[[#This Row],[ENTRADA ]]-Inventari_2[[#This Row],[SALIDA]]</f>
        <v>1</v>
      </c>
      <c r="H193" s="13">
        <f>VLOOKUP(Inventari_2[[#This Row],[CODIGO]],Inventario[#All],9,FALSE)</f>
        <v>15000</v>
      </c>
      <c r="I193" s="13" t="str">
        <f>"*"&amp;Inventari_2[[#This Row],[CODIGO]]&amp;"*"</f>
        <v>*VARI-00258*</v>
      </c>
      <c r="J193" s="34" t="str">
        <f>Inventari_2[[#This Row],[COD]]</f>
        <v>*VARI-00258*</v>
      </c>
    </row>
    <row r="194" spans="1:10" ht="36.75" customHeight="1" thickBot="1">
      <c r="A194" s="87">
        <v>1595169005953</v>
      </c>
      <c r="B194" s="142" t="s">
        <v>630</v>
      </c>
      <c r="C194" s="123" t="s">
        <v>12</v>
      </c>
      <c r="D194" s="69">
        <v>1</v>
      </c>
      <c r="E194" s="31">
        <f>SUMIF(Entrada[CODIGO],Inventari_2[[#This Row],[CODIGO]],Entrada[CANTIDAD])</f>
        <v>0</v>
      </c>
      <c r="F194" s="32">
        <f>SUMIF(Salidas[[CODIGO ]],Inventari_2[[#This Row],[CODIGO]],Salidas[CANTIDAD])</f>
        <v>0</v>
      </c>
      <c r="G194" s="24">
        <f>Inventari_2[[#This Row],[STOCK DE LLEGADA]]+Inventari_2[[#This Row],[ENTRADA ]]-Inventari_2[[#This Row],[SALIDA]]</f>
        <v>1</v>
      </c>
      <c r="H194" s="13">
        <f>VLOOKUP(Inventari_2[[#This Row],[CODIGO]],Inventario[#All],9,FALSE)</f>
        <v>30000</v>
      </c>
      <c r="I194" s="13" t="str">
        <f>"*"&amp;Inventari_2[[#This Row],[CODIGO]]&amp;"*"</f>
        <v>*1595169005953*</v>
      </c>
      <c r="J194" s="34" t="str">
        <f>Inventari_2[[#This Row],[COD]]</f>
        <v>*1595169005953*</v>
      </c>
    </row>
    <row r="195" spans="1:10" ht="36.75" customHeight="1" thickBot="1">
      <c r="A195" s="117" t="s">
        <v>634</v>
      </c>
      <c r="B195" s="118" t="s">
        <v>635</v>
      </c>
      <c r="C195" s="123" t="s">
        <v>44</v>
      </c>
      <c r="D195" s="125" t="s">
        <v>781</v>
      </c>
      <c r="E195" s="31">
        <f>SUMIF(Entrada[CODIGO],Inventari_2[[#This Row],[CODIGO]],Entrada[CANTIDAD])</f>
        <v>0</v>
      </c>
      <c r="F195" s="32">
        <f>SUMIF(Salidas[[CODIGO ]],Inventari_2[[#This Row],[CODIGO]],Salidas[CANTIDAD])</f>
        <v>1</v>
      </c>
      <c r="G195" s="23">
        <f>Inventari_2[[#This Row],[STOCK DE LLEGADA]]+Inventari_2[[#This Row],[ENTRADA ]]-Inventari_2[[#This Row],[SALIDA]]</f>
        <v>0</v>
      </c>
      <c r="H195" s="13">
        <f>VLOOKUP(Inventari_2[[#This Row],[CODIGO]],Inventario[#All],9,FALSE)</f>
        <v>31666.666666666668</v>
      </c>
      <c r="I195" s="13" t="str">
        <f>"*"&amp;Inventari_2[[#This Row],[CODIGO]]&amp;"*"</f>
        <v>*VARI-0775*</v>
      </c>
      <c r="J195" s="34" t="str">
        <f>Inventari_2[[#This Row],[COD]]</f>
        <v>*VARI-0775*</v>
      </c>
    </row>
    <row r="196" spans="1:10" ht="36.75" customHeight="1" thickBot="1">
      <c r="A196" s="119" t="s">
        <v>636</v>
      </c>
      <c r="B196" s="120" t="s">
        <v>637</v>
      </c>
      <c r="C196" s="124" t="s">
        <v>44</v>
      </c>
      <c r="D196" s="125" t="s">
        <v>781</v>
      </c>
      <c r="E196" s="31">
        <f>SUMIF(Entrada[CODIGO],Inventari_2[[#This Row],[CODIGO]],Entrada[CANTIDAD])</f>
        <v>0</v>
      </c>
      <c r="F196" s="32">
        <f>SUMIF(Salidas[[CODIGO ]],Inventari_2[[#This Row],[CODIGO]],Salidas[CANTIDAD])</f>
        <v>1</v>
      </c>
      <c r="G196" s="23">
        <f>Inventari_2[[#This Row],[STOCK DE LLEGADA]]+Inventari_2[[#This Row],[ENTRADA ]]-Inventari_2[[#This Row],[SALIDA]]</f>
        <v>0</v>
      </c>
      <c r="H196" s="13">
        <f>VLOOKUP(Inventari_2[[#This Row],[CODIGO]],Inventario[#All],9,FALSE)</f>
        <v>18833.333333333336</v>
      </c>
      <c r="I196" s="22" t="str">
        <f>"*"&amp;Inventari_2[[#This Row],[CODIGO]]&amp;"*"</f>
        <v>*VARI-0332*</v>
      </c>
      <c r="J196" s="38" t="str">
        <f>Inventari_2[[#This Row],[COD]]</f>
        <v>*VARI-0332*</v>
      </c>
    </row>
    <row r="197" spans="1:10" ht="36.75" customHeight="1" thickBot="1">
      <c r="A197" s="121" t="s">
        <v>638</v>
      </c>
      <c r="B197" s="122" t="s">
        <v>639</v>
      </c>
      <c r="C197" s="123" t="s">
        <v>44</v>
      </c>
      <c r="D197" s="125" t="s">
        <v>781</v>
      </c>
      <c r="E197" s="31">
        <f>SUMIF(Entrada[CODIGO],Inventari_2[[#This Row],[CODIGO]],Entrada[CANTIDAD])</f>
        <v>0</v>
      </c>
      <c r="F197" s="32">
        <f>SUMIF(Salidas[[CODIGO ]],Inventari_2[[#This Row],[CODIGO]],Salidas[CANTIDAD])</f>
        <v>0</v>
      </c>
      <c r="G197" s="23">
        <f>Inventari_2[[#This Row],[STOCK DE LLEGADA]]+Inventari_2[[#This Row],[ENTRADA ]]-Inventari_2[[#This Row],[SALIDA]]</f>
        <v>1</v>
      </c>
      <c r="H197" s="13">
        <f>VLOOKUP(Inventari_2[[#This Row],[CODIGO]],Inventario[#All],9,FALSE)</f>
        <v>15333.333333333334</v>
      </c>
      <c r="I197" s="13" t="str">
        <f>"*"&amp;Inventari_2[[#This Row],[CODIGO]]&amp;"*"</f>
        <v>*VARI-4476*</v>
      </c>
      <c r="J197" s="34" t="str">
        <f>Inventari_2[[#This Row],[COD]]</f>
        <v>*VARI-4476*</v>
      </c>
    </row>
    <row r="198" spans="1:10" ht="36.75" customHeight="1" thickBot="1">
      <c r="A198" s="119" t="s">
        <v>640</v>
      </c>
      <c r="B198" s="120" t="s">
        <v>641</v>
      </c>
      <c r="C198" s="124" t="s">
        <v>44</v>
      </c>
      <c r="D198" s="126" t="s">
        <v>781</v>
      </c>
      <c r="E198" s="31">
        <f>SUMIF(Entrada[CODIGO],Inventari_2[[#This Row],[CODIGO]],Entrada[CANTIDAD])</f>
        <v>0</v>
      </c>
      <c r="F198" s="32">
        <f>SUMIF(Salidas[[CODIGO ]],Inventari_2[[#This Row],[CODIGO]],Salidas[CANTIDAD])</f>
        <v>0</v>
      </c>
      <c r="G198" s="24">
        <f>Inventari_2[[#This Row],[STOCK DE LLEGADA]]+Inventari_2[[#This Row],[ENTRADA ]]-Inventari_2[[#This Row],[SALIDA]]</f>
        <v>1</v>
      </c>
      <c r="H198" s="13">
        <f>VLOOKUP(Inventari_2[[#This Row],[CODIGO]],Inventario[#All],9,FALSE)</f>
        <v>41666.666666666672</v>
      </c>
      <c r="I198" s="22" t="str">
        <f>"*"&amp;Inventari_2[[#This Row],[CODIGO]]&amp;"*"</f>
        <v>*VARI-0311223*</v>
      </c>
      <c r="J198" s="38" t="str">
        <f>Inventari_2[[#This Row],[COD]]</f>
        <v>*VARI-0311223*</v>
      </c>
    </row>
    <row r="199" spans="1:10" ht="36.75" customHeight="1">
      <c r="A199" s="141" t="s">
        <v>642</v>
      </c>
      <c r="B199" s="21" t="s">
        <v>643</v>
      </c>
      <c r="C199" s="15" t="s">
        <v>67</v>
      </c>
      <c r="D199" s="26">
        <v>1</v>
      </c>
      <c r="E199" s="31">
        <f>SUMIF(Entrada[CODIGO],Inventari_2[[#This Row],[CODIGO]],Entrada[CANTIDAD])</f>
        <v>0</v>
      </c>
      <c r="F199" s="32">
        <f>SUMIF(Salidas[[CODIGO ]],Inventari_2[[#This Row],[CODIGO]],Salidas[CANTIDAD])</f>
        <v>0</v>
      </c>
      <c r="G199" s="24">
        <f>Inventari_2[[#This Row],[STOCK DE LLEGADA]]+Inventari_2[[#This Row],[ENTRADA ]]-Inventari_2[[#This Row],[SALIDA]]</f>
        <v>1</v>
      </c>
      <c r="H199" s="13">
        <f>VLOOKUP(Inventari_2[[#This Row],[CODIGO]],Inventario[#All],9,FALSE)</f>
        <v>15000</v>
      </c>
      <c r="I199" s="13" t="str">
        <f>"*"&amp;Inventari_2[[#This Row],[CODIGO]]&amp;"*"</f>
        <v>*JUGE-88666*</v>
      </c>
      <c r="J199" s="34" t="str">
        <f>Inventari_2[[#This Row],[COD]]</f>
        <v>*JUGE-88666*</v>
      </c>
    </row>
    <row r="200" spans="1:10" ht="36.75" customHeight="1">
      <c r="A200" s="21">
        <v>6976264160825</v>
      </c>
      <c r="B200" s="21" t="s">
        <v>645</v>
      </c>
      <c r="C200" s="15" t="s">
        <v>67</v>
      </c>
      <c r="D200" s="26">
        <v>9</v>
      </c>
      <c r="E200" s="31">
        <f>SUMIF(Entrada[CODIGO],Inventari_2[[#This Row],[CODIGO]],Entrada[CANTIDAD])</f>
        <v>0</v>
      </c>
      <c r="F200" s="32">
        <f>SUMIF(Salidas[[CODIGO ]],Inventari_2[[#This Row],[CODIGO]],Salidas[CANTIDAD])</f>
        <v>4</v>
      </c>
      <c r="G200" s="23">
        <f>Inventari_2[[#This Row],[STOCK DE LLEGADA]]+Inventari_2[[#This Row],[ENTRADA ]]-Inventari_2[[#This Row],[SALIDA]]</f>
        <v>5</v>
      </c>
      <c r="H200" s="13">
        <f>VLOOKUP(Inventari_2[[#This Row],[CODIGO]],Inventario[#All],9,FALSE)</f>
        <v>2000</v>
      </c>
      <c r="I200" s="13" t="str">
        <f>"*"&amp;Inventari_2[[#This Row],[CODIGO]]&amp;"*"</f>
        <v>*6976264160825*</v>
      </c>
      <c r="J200" s="34" t="str">
        <f>Inventari_2[[#This Row],[COD]]</f>
        <v>*6976264160825*</v>
      </c>
    </row>
    <row r="201" spans="1:10" ht="36.75" customHeight="1">
      <c r="A201" s="21">
        <v>6974042771065</v>
      </c>
      <c r="B201" s="21" t="s">
        <v>647</v>
      </c>
      <c r="C201" s="15" t="s">
        <v>67</v>
      </c>
      <c r="D201" s="26">
        <v>9</v>
      </c>
      <c r="E201" s="31">
        <f>SUMIF(Entrada[CODIGO],Inventari_2[[#This Row],[CODIGO]],Entrada[CANTIDAD])</f>
        <v>0</v>
      </c>
      <c r="F201" s="32">
        <f>SUMIF(Salidas[[CODIGO ]],Inventari_2[[#This Row],[CODIGO]],Salidas[CANTIDAD])</f>
        <v>0</v>
      </c>
      <c r="G201" s="23">
        <f>Inventari_2[[#This Row],[STOCK DE LLEGADA]]+Inventari_2[[#This Row],[ENTRADA ]]-Inventari_2[[#This Row],[SALIDA]]</f>
        <v>9</v>
      </c>
      <c r="H201" s="13">
        <f>VLOOKUP(Inventari_2[[#This Row],[CODIGO]],Inventario[#All],9,FALSE)</f>
        <v>2000</v>
      </c>
      <c r="I201" s="13" t="str">
        <f>"*"&amp;Inventari_2[[#This Row],[CODIGO]]&amp;"*"</f>
        <v>*6974042771065*</v>
      </c>
      <c r="J201" s="34" t="str">
        <f>Inventari_2[[#This Row],[COD]]</f>
        <v>*6974042771065*</v>
      </c>
    </row>
    <row r="202" spans="1:10" ht="36.75" customHeight="1">
      <c r="A202" s="21">
        <v>6922291002621</v>
      </c>
      <c r="B202" s="21" t="s">
        <v>649</v>
      </c>
      <c r="C202" s="15" t="s">
        <v>67</v>
      </c>
      <c r="D202" s="26">
        <v>1</v>
      </c>
      <c r="E202" s="31">
        <f>SUMIF(Entrada[CODIGO],Inventari_2[[#This Row],[CODIGO]],Entrada[CANTIDAD])</f>
        <v>0</v>
      </c>
      <c r="F202" s="32">
        <f>SUMIF(Salidas[[CODIGO ]],Inventari_2[[#This Row],[CODIGO]],Salidas[CANTIDAD])</f>
        <v>0</v>
      </c>
      <c r="G202" s="23">
        <f>Inventari_2[[#This Row],[STOCK DE LLEGADA]]+Inventari_2[[#This Row],[ENTRADA ]]-Inventari_2[[#This Row],[SALIDA]]</f>
        <v>1</v>
      </c>
      <c r="H202" s="13">
        <f>VLOOKUP(Inventari_2[[#This Row],[CODIGO]],Inventario[#All],9,FALSE)</f>
        <v>20000</v>
      </c>
      <c r="I202" s="13" t="str">
        <f>"*"&amp;Inventari_2[[#This Row],[CODIGO]]&amp;"*"</f>
        <v>*6922291002621*</v>
      </c>
      <c r="J202" s="34" t="str">
        <f>Inventari_2[[#This Row],[COD]]</f>
        <v>*6922291002621*</v>
      </c>
    </row>
    <row r="203" spans="1:10" ht="36.75" customHeight="1">
      <c r="A203" s="21">
        <v>6973672501189</v>
      </c>
      <c r="B203" s="21" t="s">
        <v>651</v>
      </c>
      <c r="C203" s="15" t="s">
        <v>67</v>
      </c>
      <c r="D203" s="26">
        <v>3</v>
      </c>
      <c r="E203" s="31">
        <f>SUMIF(Entrada[CODIGO],Inventari_2[[#This Row],[CODIGO]],Entrada[CANTIDAD])</f>
        <v>0</v>
      </c>
      <c r="F203" s="32">
        <f>SUMIF(Salidas[[CODIGO ]],Inventari_2[[#This Row],[CODIGO]],Salidas[CANTIDAD])</f>
        <v>1</v>
      </c>
      <c r="G203" s="23">
        <f>Inventari_2[[#This Row],[STOCK DE LLEGADA]]+Inventari_2[[#This Row],[ENTRADA ]]-Inventari_2[[#This Row],[SALIDA]]</f>
        <v>2</v>
      </c>
      <c r="H203" s="13">
        <f>VLOOKUP(Inventari_2[[#This Row],[CODIGO]],Inventario[#All],9,FALSE)</f>
        <v>5000</v>
      </c>
      <c r="I203" s="13" t="str">
        <f>"*"&amp;Inventari_2[[#This Row],[CODIGO]]&amp;"*"</f>
        <v>*6973672501189*</v>
      </c>
      <c r="J203" s="34" t="str">
        <f>Inventari_2[[#This Row],[COD]]</f>
        <v>*6973672501189*</v>
      </c>
    </row>
    <row r="204" spans="1:10" ht="36.75" customHeight="1">
      <c r="A204" s="21">
        <v>6971879380453</v>
      </c>
      <c r="B204" s="21" t="s">
        <v>653</v>
      </c>
      <c r="C204" s="15" t="s">
        <v>67</v>
      </c>
      <c r="D204" s="26">
        <v>1</v>
      </c>
      <c r="E204" s="31">
        <f>SUMIF(Entrada[CODIGO],Inventari_2[[#This Row],[CODIGO]],Entrada[CANTIDAD])</f>
        <v>0</v>
      </c>
      <c r="F204" s="32">
        <f>SUMIF(Salidas[[CODIGO ]],Inventari_2[[#This Row],[CODIGO]],Salidas[CANTIDAD])</f>
        <v>0</v>
      </c>
      <c r="G204" s="23">
        <f>Inventari_2[[#This Row],[STOCK DE LLEGADA]]+Inventari_2[[#This Row],[ENTRADA ]]-Inventari_2[[#This Row],[SALIDA]]</f>
        <v>1</v>
      </c>
      <c r="H204" s="13">
        <f>VLOOKUP(Inventari_2[[#This Row],[CODIGO]],Inventario[#All],9,FALSE)</f>
        <v>20000</v>
      </c>
      <c r="I204" s="13" t="str">
        <f>"*"&amp;Inventari_2[[#This Row],[CODIGO]]&amp;"*"</f>
        <v>*6971879380453*</v>
      </c>
      <c r="J204" s="34" t="str">
        <f>Inventari_2[[#This Row],[COD]]</f>
        <v>*6971879380453*</v>
      </c>
    </row>
    <row r="205" spans="1:10" ht="36.75" customHeight="1">
      <c r="A205" s="21">
        <v>6918444312310</v>
      </c>
      <c r="B205" s="21" t="s">
        <v>655</v>
      </c>
      <c r="C205" s="15" t="s">
        <v>67</v>
      </c>
      <c r="D205" s="26">
        <v>2</v>
      </c>
      <c r="E205" s="31">
        <f>SUMIF(Entrada[CODIGO],Inventari_2[[#This Row],[CODIGO]],Entrada[CANTIDAD])</f>
        <v>0</v>
      </c>
      <c r="F205" s="32">
        <f>SUMIF(Salidas[[CODIGO ]],Inventari_2[[#This Row],[CODIGO]],Salidas[CANTIDAD])</f>
        <v>0</v>
      </c>
      <c r="G205" s="23">
        <f>Inventari_2[[#This Row],[STOCK DE LLEGADA]]+Inventari_2[[#This Row],[ENTRADA ]]-Inventari_2[[#This Row],[SALIDA]]</f>
        <v>2</v>
      </c>
      <c r="H205" s="13">
        <f>VLOOKUP(Inventari_2[[#This Row],[CODIGO]],Inventario[#All],9,FALSE)</f>
        <v>15000</v>
      </c>
      <c r="I205" s="13" t="str">
        <f>"*"&amp;Inventari_2[[#This Row],[CODIGO]]&amp;"*"</f>
        <v>*6918444312310*</v>
      </c>
      <c r="J205" s="34" t="str">
        <f>Inventari_2[[#This Row],[COD]]</f>
        <v>*6918444312310*</v>
      </c>
    </row>
    <row r="206" spans="1:10" ht="36.75" customHeight="1">
      <c r="A206" s="21">
        <v>6938469311259</v>
      </c>
      <c r="B206" s="21" t="s">
        <v>657</v>
      </c>
      <c r="C206" s="15" t="s">
        <v>67</v>
      </c>
      <c r="D206" s="26">
        <v>4</v>
      </c>
      <c r="E206" s="31">
        <f>SUMIF(Entrada[CODIGO],Inventari_2[[#This Row],[CODIGO]],Entrada[CANTIDAD])</f>
        <v>0</v>
      </c>
      <c r="F206" s="32">
        <f>SUMIF(Salidas[[CODIGO ]],Inventari_2[[#This Row],[CODIGO]],Salidas[CANTIDAD])</f>
        <v>0</v>
      </c>
      <c r="G206" s="23">
        <f>Inventari_2[[#This Row],[STOCK DE LLEGADA]]+Inventari_2[[#This Row],[ENTRADA ]]-Inventari_2[[#This Row],[SALIDA]]</f>
        <v>4</v>
      </c>
      <c r="H206" s="13">
        <f>VLOOKUP(Inventari_2[[#This Row],[CODIGO]],Inventario[#All],9,FALSE)</f>
        <v>15000</v>
      </c>
      <c r="I206" s="13" t="str">
        <f>"*"&amp;Inventari_2[[#This Row],[CODIGO]]&amp;"*"</f>
        <v>*6938469311259*</v>
      </c>
      <c r="J206" s="34" t="str">
        <f>Inventari_2[[#This Row],[COD]]</f>
        <v>*6938469311259*</v>
      </c>
    </row>
    <row r="207" spans="1:10" ht="36.75" customHeight="1">
      <c r="A207" s="21">
        <v>6991200001383</v>
      </c>
      <c r="B207" s="21" t="s">
        <v>606</v>
      </c>
      <c r="C207" s="15" t="s">
        <v>67</v>
      </c>
      <c r="D207" s="26">
        <v>6</v>
      </c>
      <c r="E207" s="31">
        <f>SUMIF(Entrada[CODIGO],Inventari_2[[#This Row],[CODIGO]],Entrada[CANTIDAD])</f>
        <v>0</v>
      </c>
      <c r="F207" s="32">
        <f>SUMIF(Salidas[[CODIGO ]],Inventari_2[[#This Row],[CODIGO]],Salidas[CANTIDAD])</f>
        <v>0</v>
      </c>
      <c r="G207" s="23">
        <f>Inventari_2[[#This Row],[STOCK DE LLEGADA]]+Inventari_2[[#This Row],[ENTRADA ]]-Inventari_2[[#This Row],[SALIDA]]</f>
        <v>6</v>
      </c>
      <c r="H207" s="13">
        <f>VLOOKUP(Inventari_2[[#This Row],[CODIGO]],Inventario[#All],9,FALSE)</f>
        <v>15000</v>
      </c>
      <c r="I207" s="13" t="str">
        <f>"*"&amp;Inventari_2[[#This Row],[CODIGO]]&amp;"*"</f>
        <v>*6991200001383*</v>
      </c>
      <c r="J207" s="34" t="str">
        <f>Inventari_2[[#This Row],[COD]]</f>
        <v>*6991200001383*</v>
      </c>
    </row>
    <row r="208" spans="1:10" ht="36.75" customHeight="1">
      <c r="A208" s="21" t="s">
        <v>660</v>
      </c>
      <c r="B208" s="21" t="s">
        <v>661</v>
      </c>
      <c r="C208" s="15" t="s">
        <v>67</v>
      </c>
      <c r="D208" s="26">
        <v>2</v>
      </c>
      <c r="E208" s="31">
        <f>SUMIF(Entrada[CODIGO],Inventari_2[[#This Row],[CODIGO]],Entrada[CANTIDAD])</f>
        <v>0</v>
      </c>
      <c r="F208" s="32">
        <f>SUMIF(Salidas[[CODIGO ]],Inventari_2[[#This Row],[CODIGO]],Salidas[CANTIDAD])</f>
        <v>0</v>
      </c>
      <c r="G208" s="23">
        <f>Inventari_2[[#This Row],[STOCK DE LLEGADA]]+Inventari_2[[#This Row],[ENTRADA ]]-Inventari_2[[#This Row],[SALIDA]]</f>
        <v>2</v>
      </c>
      <c r="H208" s="13">
        <f>VLOOKUP(Inventari_2[[#This Row],[CODIGO]],Inventario[#All],9,FALSE)</f>
        <v>8000</v>
      </c>
      <c r="I208" s="13" t="str">
        <f>"*"&amp;Inventari_2[[#This Row],[CODIGO]]&amp;"*"</f>
        <v>*JUGUE-4400*</v>
      </c>
      <c r="J208" s="34" t="str">
        <f>Inventari_2[[#This Row],[COD]]</f>
        <v>*JUGUE-4400*</v>
      </c>
    </row>
    <row r="209" spans="1:10" ht="36.75" customHeight="1">
      <c r="A209" s="21">
        <v>4803413660474</v>
      </c>
      <c r="B209" s="21" t="s">
        <v>663</v>
      </c>
      <c r="C209" s="15" t="s">
        <v>67</v>
      </c>
      <c r="D209" s="26">
        <v>3</v>
      </c>
      <c r="E209" s="31">
        <f>SUMIF(Entrada[CODIGO],Inventari_2[[#This Row],[CODIGO]],Entrada[CANTIDAD])</f>
        <v>0</v>
      </c>
      <c r="F209" s="32">
        <f>SUMIF(Salidas[[CODIGO ]],Inventari_2[[#This Row],[CODIGO]],Salidas[CANTIDAD])</f>
        <v>2</v>
      </c>
      <c r="G209" s="23">
        <f>Inventari_2[[#This Row],[STOCK DE LLEGADA]]+Inventari_2[[#This Row],[ENTRADA ]]-Inventari_2[[#This Row],[SALIDA]]</f>
        <v>1</v>
      </c>
      <c r="H209" s="13">
        <f>VLOOKUP(Inventari_2[[#This Row],[CODIGO]],Inventario[#All],9,FALSE)</f>
        <v>5000</v>
      </c>
      <c r="I209" s="13" t="str">
        <f>"*"&amp;Inventari_2[[#This Row],[CODIGO]]&amp;"*"</f>
        <v>*4803413660474*</v>
      </c>
      <c r="J209" s="34" t="str">
        <f>Inventari_2[[#This Row],[COD]]</f>
        <v>*4803413660474*</v>
      </c>
    </row>
    <row r="210" spans="1:10" ht="36.75" customHeight="1">
      <c r="A210" s="21">
        <v>6975320533368</v>
      </c>
      <c r="B210" s="21" t="s">
        <v>665</v>
      </c>
      <c r="C210" s="15" t="s">
        <v>67</v>
      </c>
      <c r="D210" s="26">
        <v>1</v>
      </c>
      <c r="E210" s="31">
        <f>SUMIF(Entrada[CODIGO],Inventari_2[[#This Row],[CODIGO]],Entrada[CANTIDAD])</f>
        <v>0</v>
      </c>
      <c r="F210" s="32">
        <f>SUMIF(Salidas[[CODIGO ]],Inventari_2[[#This Row],[CODIGO]],Salidas[CANTIDAD])</f>
        <v>0</v>
      </c>
      <c r="G210" s="23">
        <f>Inventari_2[[#This Row],[STOCK DE LLEGADA]]+Inventari_2[[#This Row],[ENTRADA ]]-Inventari_2[[#This Row],[SALIDA]]</f>
        <v>1</v>
      </c>
      <c r="H210" s="13">
        <f>VLOOKUP(Inventari_2[[#This Row],[CODIGO]],Inventario[#All],9,FALSE)</f>
        <v>5000</v>
      </c>
      <c r="I210" s="13" t="str">
        <f>"*"&amp;Inventari_2[[#This Row],[CODIGO]]&amp;"*"</f>
        <v>*6975320533368*</v>
      </c>
      <c r="J210" s="34" t="str">
        <f>Inventari_2[[#This Row],[COD]]</f>
        <v>*6975320533368*</v>
      </c>
    </row>
    <row r="211" spans="1:10" ht="36.75" customHeight="1">
      <c r="A211" s="21">
        <v>6975160081579</v>
      </c>
      <c r="B211" s="21" t="s">
        <v>667</v>
      </c>
      <c r="C211" s="15" t="s">
        <v>67</v>
      </c>
      <c r="D211" s="26">
        <v>1</v>
      </c>
      <c r="E211" s="31">
        <f>SUMIF(Entrada[CODIGO],Inventari_2[[#This Row],[CODIGO]],Entrada[CANTIDAD])</f>
        <v>0</v>
      </c>
      <c r="F211" s="32">
        <f>SUMIF(Salidas[[CODIGO ]],Inventari_2[[#This Row],[CODIGO]],Salidas[CANTIDAD])</f>
        <v>0</v>
      </c>
      <c r="G211" s="23">
        <f>Inventari_2[[#This Row],[STOCK DE LLEGADA]]+Inventari_2[[#This Row],[ENTRADA ]]-Inventari_2[[#This Row],[SALIDA]]</f>
        <v>1</v>
      </c>
      <c r="H211" s="13">
        <f>VLOOKUP(Inventari_2[[#This Row],[CODIGO]],Inventario[#All],9,FALSE)</f>
        <v>15000</v>
      </c>
      <c r="I211" s="13" t="str">
        <f>"*"&amp;Inventari_2[[#This Row],[CODIGO]]&amp;"*"</f>
        <v>*6975160081579*</v>
      </c>
      <c r="J211" s="34" t="str">
        <f>Inventari_2[[#This Row],[COD]]</f>
        <v>*6975160081579*</v>
      </c>
    </row>
    <row r="212" spans="1:10" ht="36.75" customHeight="1">
      <c r="A212" s="21">
        <v>6979685367217</v>
      </c>
      <c r="B212" s="21" t="s">
        <v>669</v>
      </c>
      <c r="C212" s="15" t="s">
        <v>67</v>
      </c>
      <c r="D212" s="26">
        <v>2</v>
      </c>
      <c r="E212" s="31">
        <f>SUMIF(Entrada[CODIGO],Inventari_2[[#This Row],[CODIGO]],Entrada[CANTIDAD])</f>
        <v>0</v>
      </c>
      <c r="F212" s="32">
        <f>SUMIF(Salidas[[CODIGO ]],Inventari_2[[#This Row],[CODIGO]],Salidas[CANTIDAD])</f>
        <v>0</v>
      </c>
      <c r="G212" s="23">
        <f>Inventari_2[[#This Row],[STOCK DE LLEGADA]]+Inventari_2[[#This Row],[ENTRADA ]]-Inventari_2[[#This Row],[SALIDA]]</f>
        <v>2</v>
      </c>
      <c r="H212" s="13">
        <f>VLOOKUP(Inventari_2[[#This Row],[CODIGO]],Inventario[#All],9,FALSE)</f>
        <v>5000</v>
      </c>
      <c r="I212" s="13" t="str">
        <f>"*"&amp;Inventari_2[[#This Row],[CODIGO]]&amp;"*"</f>
        <v>*6979685367217*</v>
      </c>
      <c r="J212" s="34" t="str">
        <f>Inventari_2[[#This Row],[COD]]</f>
        <v>*6979685367217*</v>
      </c>
    </row>
    <row r="213" spans="1:10" ht="36.75" customHeight="1">
      <c r="A213" s="21" t="s">
        <v>671</v>
      </c>
      <c r="B213" s="21" t="s">
        <v>672</v>
      </c>
      <c r="C213" s="15" t="s">
        <v>67</v>
      </c>
      <c r="D213" s="26">
        <v>2</v>
      </c>
      <c r="E213" s="31">
        <f>SUMIF(Entrada[CODIGO],Inventari_2[[#This Row],[CODIGO]],Entrada[CANTIDAD])</f>
        <v>0</v>
      </c>
      <c r="F213" s="32">
        <f>SUMIF(Salidas[[CODIGO ]],Inventari_2[[#This Row],[CODIGO]],Salidas[CANTIDAD])</f>
        <v>2</v>
      </c>
      <c r="G213" s="23">
        <f>Inventari_2[[#This Row],[STOCK DE LLEGADA]]+Inventari_2[[#This Row],[ENTRADA ]]-Inventari_2[[#This Row],[SALIDA]]</f>
        <v>0</v>
      </c>
      <c r="H213" s="13">
        <f>VLOOKUP(Inventari_2[[#This Row],[CODIGO]],Inventario[#All],9,FALSE)</f>
        <v>5000</v>
      </c>
      <c r="I213" s="13" t="str">
        <f>"*"&amp;Inventari_2[[#This Row],[CODIGO]]&amp;"*"</f>
        <v>*ESCP-55220*</v>
      </c>
      <c r="J213" s="34" t="str">
        <f>Inventari_2[[#This Row],[COD]]</f>
        <v>*ESCP-55220*</v>
      </c>
    </row>
    <row r="214" spans="1:10" ht="36.75" customHeight="1">
      <c r="A214" s="21">
        <v>6920240510111</v>
      </c>
      <c r="B214" s="21" t="s">
        <v>674</v>
      </c>
      <c r="C214" s="15" t="s">
        <v>67</v>
      </c>
      <c r="D214" s="26">
        <v>10</v>
      </c>
      <c r="E214" s="31">
        <f>SUMIF(Entrada[CODIGO],Inventari_2[[#This Row],[CODIGO]],Entrada[CANTIDAD])</f>
        <v>0</v>
      </c>
      <c r="F214" s="32">
        <f>SUMIF(Salidas[[CODIGO ]],Inventari_2[[#This Row],[CODIGO]],Salidas[CANTIDAD])</f>
        <v>3</v>
      </c>
      <c r="G214" s="23">
        <f>Inventari_2[[#This Row],[STOCK DE LLEGADA]]+Inventari_2[[#This Row],[ENTRADA ]]-Inventari_2[[#This Row],[SALIDA]]</f>
        <v>7</v>
      </c>
      <c r="H214" s="13">
        <f>VLOOKUP(Inventari_2[[#This Row],[CODIGO]],Inventario[#All],9,FALSE)</f>
        <v>1000</v>
      </c>
      <c r="I214" s="13" t="str">
        <f>"*"&amp;Inventari_2[[#This Row],[CODIGO]]&amp;"*"</f>
        <v>*6920240510111*</v>
      </c>
      <c r="J214" s="34" t="str">
        <f>Inventari_2[[#This Row],[COD]]</f>
        <v>*6920240510111*</v>
      </c>
    </row>
    <row r="215" spans="1:10" ht="36.75" customHeight="1">
      <c r="A215" s="142" t="s">
        <v>35</v>
      </c>
      <c r="B215" s="171" t="s">
        <v>36</v>
      </c>
      <c r="C215" s="123" t="s">
        <v>37</v>
      </c>
      <c r="D215" s="59" t="s">
        <v>781</v>
      </c>
      <c r="E215" s="31">
        <f>SUMIF(Entrada[CODIGO],Inventari_2[[#This Row],[CODIGO]],Entrada[CANTIDAD])</f>
        <v>4</v>
      </c>
      <c r="F215" s="32">
        <f>SUMIF(Salidas[[CODIGO ]],Inventari_2[[#This Row],[CODIGO]],Salidas[CANTIDAD])</f>
        <v>1</v>
      </c>
      <c r="G215" s="23">
        <f>Inventari_2[[#This Row],[STOCK DE LLEGADA]]+Inventari_2[[#This Row],[ENTRADA ]]-Inventari_2[[#This Row],[SALIDA]]</f>
        <v>4</v>
      </c>
      <c r="H215" s="13">
        <f>VLOOKUP(Inventari_2[[#This Row],[CODIGO]],Inventario[#All],9,FALSE)</f>
        <v>10000</v>
      </c>
      <c r="I215" s="13" t="str">
        <f>"*"&amp;Inventari_2[[#This Row],[CODIGO]]&amp;"*"</f>
        <v>*VARI-005445656*</v>
      </c>
      <c r="J215" s="34" t="str">
        <f>Inventari_2[[#This Row],[COD]]</f>
        <v>*VARI-005445656*</v>
      </c>
    </row>
    <row r="216" spans="1:10" ht="36.75" customHeight="1">
      <c r="A216" s="226" t="s">
        <v>893</v>
      </c>
      <c r="B216" s="21" t="s">
        <v>675</v>
      </c>
      <c r="C216" s="15" t="s">
        <v>52</v>
      </c>
      <c r="D216" s="26">
        <v>4</v>
      </c>
      <c r="E216" s="31">
        <f>SUMIF(Entrada[CODIGO],Inventari_2[[#This Row],[CODIGO]],Entrada[CANTIDAD])</f>
        <v>0</v>
      </c>
      <c r="F216" s="32">
        <f>SUMIF(Salidas[[CODIGO ]],Inventari_2[[#This Row],[CODIGO]],Salidas[CANTIDAD])</f>
        <v>0</v>
      </c>
      <c r="G216" s="23">
        <f>Inventari_2[[#This Row],[STOCK DE LLEGADA]]+Inventari_2[[#This Row],[ENTRADA ]]-Inventari_2[[#This Row],[SALIDA]]</f>
        <v>4</v>
      </c>
      <c r="H216" s="13">
        <f>VLOOKUP(Inventari_2[[#This Row],[CODIGO]],Inventario[#All],9,FALSE)</f>
        <v>20000</v>
      </c>
      <c r="I216" s="13" t="str">
        <f>"*"&amp;Inventari_2[[#This Row],[CODIGO]]&amp;"*"</f>
        <v>*ESCP'440055*</v>
      </c>
      <c r="J216" s="34" t="str">
        <f>Inventari_2[[#This Row],[COD]]</f>
        <v>*ESCP'440055*</v>
      </c>
    </row>
    <row r="217" spans="1:10" ht="36.75" customHeight="1">
      <c r="A217" s="231" t="s">
        <v>910</v>
      </c>
      <c r="B217" s="21" t="s">
        <v>678</v>
      </c>
      <c r="C217" s="15" t="s">
        <v>52</v>
      </c>
      <c r="D217" s="26">
        <v>1</v>
      </c>
      <c r="E217" s="31">
        <f>SUMIF(Entrada[CODIGO],Inventari_2[[#This Row],[CODIGO]],Entrada[CANTIDAD])</f>
        <v>0</v>
      </c>
      <c r="F217" s="32">
        <f>SUMIF(Salidas[[CODIGO ]],Inventari_2[[#This Row],[CODIGO]],Salidas[CANTIDAD])</f>
        <v>1</v>
      </c>
      <c r="G217" s="23">
        <f>Inventari_2[[#This Row],[STOCK DE LLEGADA]]+Inventari_2[[#This Row],[ENTRADA ]]-Inventari_2[[#This Row],[SALIDA]]</f>
        <v>0</v>
      </c>
      <c r="H217" s="13">
        <f>VLOOKUP(Inventari_2[[#This Row],[CODIGO]],Inventario[#All],9,FALSE)</f>
        <v>20000</v>
      </c>
      <c r="I217" s="13" t="str">
        <f>"*"&amp;Inventari_2[[#This Row],[CODIGO]]&amp;"*"</f>
        <v>*VARI'88471*</v>
      </c>
      <c r="J217" s="34" t="str">
        <f>Inventari_2[[#This Row],[COD]]</f>
        <v>*VARI'88471*</v>
      </c>
    </row>
    <row r="218" spans="1:10" ht="36.75" customHeight="1">
      <c r="A218" s="21" t="s">
        <v>680</v>
      </c>
      <c r="B218" s="21" t="s">
        <v>681</v>
      </c>
      <c r="C218" s="15" t="s">
        <v>52</v>
      </c>
      <c r="D218" s="26">
        <v>4</v>
      </c>
      <c r="E218" s="31">
        <f>SUMIF(Entrada[CODIGO],Inventari_2[[#This Row],[CODIGO]],Entrada[CANTIDAD])</f>
        <v>0</v>
      </c>
      <c r="F218" s="32">
        <f>SUMIF(Salidas[[CODIGO ]],Inventari_2[[#This Row],[CODIGO]],Salidas[CANTIDAD])</f>
        <v>3</v>
      </c>
      <c r="G218" s="23">
        <f>Inventari_2[[#This Row],[STOCK DE LLEGADA]]+Inventari_2[[#This Row],[ENTRADA ]]-Inventari_2[[#This Row],[SALIDA]]</f>
        <v>1</v>
      </c>
      <c r="H218" s="13">
        <f>VLOOKUP(Inventari_2[[#This Row],[CODIGO]],Inventario[#All],9,FALSE)</f>
        <v>35000</v>
      </c>
      <c r="I218" s="13" t="str">
        <f>"*"&amp;Inventari_2[[#This Row],[CODIGO]]&amp;"*"</f>
        <v>*VARI-12255*</v>
      </c>
      <c r="J218" s="34" t="str">
        <f>Inventari_2[[#This Row],[COD]]</f>
        <v>*VARI-12255*</v>
      </c>
    </row>
    <row r="219" spans="1:10" ht="36.75" customHeight="1">
      <c r="A219" s="21" t="s">
        <v>683</v>
      </c>
      <c r="B219" s="21" t="s">
        <v>684</v>
      </c>
      <c r="C219" s="15" t="s">
        <v>52</v>
      </c>
      <c r="D219" s="26">
        <v>2</v>
      </c>
      <c r="E219" s="31">
        <f>SUMIF(Entrada[CODIGO],Inventari_2[[#This Row],[CODIGO]],Entrada[CANTIDAD])</f>
        <v>0</v>
      </c>
      <c r="F219" s="32">
        <f>SUMIF(Salidas[[CODIGO ]],Inventari_2[[#This Row],[CODIGO]],Salidas[CANTIDAD])</f>
        <v>0</v>
      </c>
      <c r="G219" s="23">
        <f>Inventari_2[[#This Row],[STOCK DE LLEGADA]]+Inventari_2[[#This Row],[ENTRADA ]]-Inventari_2[[#This Row],[SALIDA]]</f>
        <v>2</v>
      </c>
      <c r="H219" s="13">
        <f>VLOOKUP(Inventari_2[[#This Row],[CODIGO]],Inventario[#All],9,FALSE)</f>
        <v>30000</v>
      </c>
      <c r="I219" s="13" t="str">
        <f>"*"&amp;Inventari_2[[#This Row],[CODIGO]]&amp;"*"</f>
        <v>*H24'156 BOLS*</v>
      </c>
      <c r="J219" s="34" t="str">
        <f>Inventari_2[[#This Row],[COD]]</f>
        <v>*H24'156 BOLS*</v>
      </c>
    </row>
    <row r="220" spans="1:10" ht="36.75" customHeight="1">
      <c r="A220" s="216" t="s">
        <v>898</v>
      </c>
      <c r="B220" s="21" t="s">
        <v>687</v>
      </c>
      <c r="C220" s="15" t="s">
        <v>52</v>
      </c>
      <c r="D220" s="26">
        <v>1</v>
      </c>
      <c r="E220" s="31">
        <f>SUMIF(Entrada[CODIGO],Inventari_2[[#This Row],[CODIGO]],Entrada[CANTIDAD])</f>
        <v>0</v>
      </c>
      <c r="F220" s="32">
        <f>SUMIF(Salidas[[CODIGO ]],Inventari_2[[#This Row],[CODIGO]],Salidas[CANTIDAD])</f>
        <v>1</v>
      </c>
      <c r="G220" s="23">
        <f>Inventari_2[[#This Row],[STOCK DE LLEGADA]]+Inventari_2[[#This Row],[ENTRADA ]]-Inventari_2[[#This Row],[SALIDA]]</f>
        <v>0</v>
      </c>
      <c r="H220" s="13">
        <f>VLOOKUP(Inventari_2[[#This Row],[CODIGO]],Inventario[#All],9,FALSE)</f>
        <v>25000</v>
      </c>
      <c r="I220" s="13" t="str">
        <f>"*"&amp;Inventari_2[[#This Row],[CODIGO]]&amp;"*"</f>
        <v>*VARI'55005*</v>
      </c>
      <c r="J220" s="34" t="str">
        <f>Inventari_2[[#This Row],[COD]]</f>
        <v>*VARI'55005*</v>
      </c>
    </row>
    <row r="221" spans="1:10" ht="36.75" customHeight="1">
      <c r="A221" s="21" t="s">
        <v>689</v>
      </c>
      <c r="B221" s="21" t="s">
        <v>690</v>
      </c>
      <c r="C221" s="15" t="s">
        <v>52</v>
      </c>
      <c r="D221" s="26">
        <v>1</v>
      </c>
      <c r="E221" s="31">
        <f>SUMIF(Entrada[CODIGO],Inventari_2[[#This Row],[CODIGO]],Entrada[CANTIDAD])</f>
        <v>0</v>
      </c>
      <c r="F221" s="32">
        <f>SUMIF(Salidas[[CODIGO ]],Inventari_2[[#This Row],[CODIGO]],Salidas[CANTIDAD])</f>
        <v>0</v>
      </c>
      <c r="G221" s="23">
        <f>Inventari_2[[#This Row],[STOCK DE LLEGADA]]+Inventari_2[[#This Row],[ENTRADA ]]-Inventari_2[[#This Row],[SALIDA]]</f>
        <v>1</v>
      </c>
      <c r="H221" s="13">
        <f>VLOOKUP(Inventari_2[[#This Row],[CODIGO]],Inventario[#All],9,FALSE)</f>
        <v>70000</v>
      </c>
      <c r="I221" s="13" t="str">
        <f>"*"&amp;Inventari_2[[#This Row],[CODIGO]]&amp;"*"</f>
        <v>*VARI-0001*</v>
      </c>
      <c r="J221" s="34" t="str">
        <f>Inventari_2[[#This Row],[COD]]</f>
        <v>*VARI-0001*</v>
      </c>
    </row>
    <row r="222" spans="1:10" ht="36.75" customHeight="1">
      <c r="A222" s="216" t="s">
        <v>886</v>
      </c>
      <c r="B222" s="21" t="s">
        <v>692</v>
      </c>
      <c r="C222" s="15" t="s">
        <v>52</v>
      </c>
      <c r="D222" s="26">
        <v>1</v>
      </c>
      <c r="E222" s="31">
        <f>SUMIF(Entrada[CODIGO],Inventari_2[[#This Row],[CODIGO]],Entrada[CANTIDAD])</f>
        <v>0</v>
      </c>
      <c r="F222" s="32">
        <f>SUMIF(Salidas[[CODIGO ]],Inventari_2[[#This Row],[CODIGO]],Salidas[CANTIDAD])</f>
        <v>0</v>
      </c>
      <c r="G222" s="23">
        <f>Inventari_2[[#This Row],[STOCK DE LLEGADA]]+Inventari_2[[#This Row],[ENTRADA ]]-Inventari_2[[#This Row],[SALIDA]]</f>
        <v>1</v>
      </c>
      <c r="H222" s="13">
        <f>VLOOKUP(Inventari_2[[#This Row],[CODIGO]],Inventario[#All],9,FALSE)</f>
        <v>100000</v>
      </c>
      <c r="I222" s="13" t="str">
        <f>"*"&amp;Inventari_2[[#This Row],[CODIGO]]&amp;"*"</f>
        <v>*BOL'8800*</v>
      </c>
      <c r="J222" s="34" t="str">
        <f>Inventari_2[[#This Row],[COD]]</f>
        <v>*BOL'8800*</v>
      </c>
    </row>
    <row r="223" spans="1:10" ht="36.75" customHeight="1">
      <c r="A223" s="216" t="s">
        <v>888</v>
      </c>
      <c r="B223" s="21" t="s">
        <v>694</v>
      </c>
      <c r="C223" s="15" t="s">
        <v>52</v>
      </c>
      <c r="D223" s="26">
        <v>1</v>
      </c>
      <c r="E223" s="31">
        <f>SUMIF(Entrada[CODIGO],Inventari_2[[#This Row],[CODIGO]],Entrada[CANTIDAD])</f>
        <v>0</v>
      </c>
      <c r="F223" s="32">
        <f>SUMIF(Salidas[[CODIGO ]],Inventari_2[[#This Row],[CODIGO]],Salidas[CANTIDAD])</f>
        <v>0</v>
      </c>
      <c r="G223" s="23">
        <f>Inventari_2[[#This Row],[STOCK DE LLEGADA]]+Inventari_2[[#This Row],[ENTRADA ]]-Inventari_2[[#This Row],[SALIDA]]</f>
        <v>1</v>
      </c>
      <c r="H223" s="13">
        <f>VLOOKUP(Inventari_2[[#This Row],[CODIGO]],Inventario[#All],9,FALSE)</f>
        <v>60000</v>
      </c>
      <c r="I223" s="13" t="str">
        <f>"*"&amp;Inventari_2[[#This Row],[CODIGO]]&amp;"*"</f>
        <v>*JUGUE'0012*</v>
      </c>
      <c r="J223" s="34" t="str">
        <f>Inventari_2[[#This Row],[COD]]</f>
        <v>*JUGUE'0012*</v>
      </c>
    </row>
    <row r="224" spans="1:10" ht="36.75" customHeight="1">
      <c r="A224" s="21" t="s">
        <v>695</v>
      </c>
      <c r="B224" s="21" t="s">
        <v>696</v>
      </c>
      <c r="C224" s="15" t="s">
        <v>52</v>
      </c>
      <c r="D224" s="26">
        <v>1</v>
      </c>
      <c r="E224" s="31">
        <f>SUMIF(Entrada[CODIGO],Inventari_2[[#This Row],[CODIGO]],Entrada[CANTIDAD])</f>
        <v>0</v>
      </c>
      <c r="F224" s="32">
        <f>SUMIF(Salidas[[CODIGO ]],Inventari_2[[#This Row],[CODIGO]],Salidas[CANTIDAD])</f>
        <v>0</v>
      </c>
      <c r="G224" s="23">
        <f>Inventari_2[[#This Row],[STOCK DE LLEGADA]]+Inventari_2[[#This Row],[ENTRADA ]]-Inventari_2[[#This Row],[SALIDA]]</f>
        <v>1</v>
      </c>
      <c r="H224" s="13">
        <f>VLOOKUP(Inventari_2[[#This Row],[CODIGO]],Inventario[#All],9,FALSE)</f>
        <v>12000</v>
      </c>
      <c r="I224" s="13" t="str">
        <f>"*"&amp;Inventari_2[[#This Row],[CODIGO]]&amp;"*"</f>
        <v>*ANI-00122*</v>
      </c>
      <c r="J224" s="34" t="str">
        <f>Inventari_2[[#This Row],[COD]]</f>
        <v>*ANI-00122*</v>
      </c>
    </row>
    <row r="225" spans="1:10" ht="36.75" customHeight="1">
      <c r="A225" s="142" t="s">
        <v>325</v>
      </c>
      <c r="B225" s="142" t="s">
        <v>326</v>
      </c>
      <c r="C225" s="123" t="s">
        <v>16</v>
      </c>
      <c r="D225" s="142">
        <v>1</v>
      </c>
      <c r="E225" s="31">
        <f>SUMIF(Entrada[CODIGO],Inventari_2[[#This Row],[CODIGO]],Entrada[CANTIDAD])</f>
        <v>1</v>
      </c>
      <c r="F225" s="32">
        <f>SUMIF(Salidas[[CODIGO ]],Inventari_2[[#This Row],[CODIGO]],Salidas[CANTIDAD])</f>
        <v>1</v>
      </c>
      <c r="G225" s="23">
        <f>Inventari_2[[#This Row],[STOCK DE LLEGADA]]+Inventari_2[[#This Row],[ENTRADA ]]-Inventari_2[[#This Row],[SALIDA]]</f>
        <v>1</v>
      </c>
      <c r="H225" s="13">
        <f>VLOOKUP(Inventari_2[[#This Row],[CODIGO]],Inventario[#All],9,FALSE)</f>
        <v>65000</v>
      </c>
      <c r="I225" s="13" t="str">
        <f>"*"&amp;Inventari_2[[#This Row],[CODIGO]]&amp;"*"</f>
        <v>*ANIME-55633584*</v>
      </c>
      <c r="J225" s="34" t="str">
        <f>Inventari_2[[#This Row],[COD]]</f>
        <v>*ANIME-55633584*</v>
      </c>
    </row>
    <row r="226" spans="1:10" ht="36.75" customHeight="1">
      <c r="A226" s="141" t="s">
        <v>698</v>
      </c>
      <c r="B226" s="21" t="s">
        <v>699</v>
      </c>
      <c r="C226" s="15" t="s">
        <v>16</v>
      </c>
      <c r="D226" s="26">
        <v>1</v>
      </c>
      <c r="E226" s="31">
        <f>SUMIF(Entrada[CODIGO],Inventari_2[[#This Row],[CODIGO]],Entrada[CANTIDAD])</f>
        <v>0</v>
      </c>
      <c r="F226" s="32">
        <f>SUMIF(Salidas[[CODIGO ]],Inventari_2[[#This Row],[CODIGO]],Salidas[CANTIDAD])</f>
        <v>0</v>
      </c>
      <c r="G226" s="23">
        <f>Inventari_2[[#This Row],[STOCK DE LLEGADA]]+Inventari_2[[#This Row],[ENTRADA ]]-Inventari_2[[#This Row],[SALIDA]]</f>
        <v>1</v>
      </c>
      <c r="H226" s="13">
        <f>VLOOKUP(Inventari_2[[#This Row],[CODIGO]],Inventario[#All],9,FALSE)</f>
        <v>80000</v>
      </c>
      <c r="I226" s="13" t="str">
        <f>"*"&amp;Inventari_2[[#This Row],[CODIGO]]&amp;"*"</f>
        <v>*VARI-55888*</v>
      </c>
      <c r="J226" s="34" t="str">
        <f>Inventari_2[[#This Row],[COD]]</f>
        <v>*VARI-55888*</v>
      </c>
    </row>
    <row r="227" spans="1:10" ht="36.75" customHeight="1">
      <c r="A227" s="21" t="s">
        <v>701</v>
      </c>
      <c r="B227" s="21" t="s">
        <v>702</v>
      </c>
      <c r="C227" s="15" t="s">
        <v>16</v>
      </c>
      <c r="D227" s="26">
        <v>1</v>
      </c>
      <c r="E227" s="31">
        <f>SUMIF(Entrada[CODIGO],Inventari_2[[#This Row],[CODIGO]],Entrada[CANTIDAD])</f>
        <v>0</v>
      </c>
      <c r="F227" s="32">
        <f>SUMIF(Salidas[[CODIGO ]],Inventari_2[[#This Row],[CODIGO]],Salidas[CANTIDAD])</f>
        <v>0</v>
      </c>
      <c r="G227" s="23">
        <f>Inventari_2[[#This Row],[STOCK DE LLEGADA]]+Inventari_2[[#This Row],[ENTRADA ]]-Inventari_2[[#This Row],[SALIDA]]</f>
        <v>1</v>
      </c>
      <c r="H227" s="13">
        <f>VLOOKUP(Inventari_2[[#This Row],[CODIGO]],Inventario[#All],9,FALSE)</f>
        <v>80000</v>
      </c>
      <c r="I227" s="13" t="str">
        <f>"*"&amp;Inventari_2[[#This Row],[CODIGO]]&amp;"*"</f>
        <v>*VARI-55881*</v>
      </c>
      <c r="J227" s="34" t="str">
        <f>Inventari_2[[#This Row],[COD]]</f>
        <v>*VARI-55881*</v>
      </c>
    </row>
    <row r="228" spans="1:10" ht="36.75" customHeight="1">
      <c r="A228" s="21" t="s">
        <v>704</v>
      </c>
      <c r="B228" s="21" t="s">
        <v>705</v>
      </c>
      <c r="C228" s="15" t="s">
        <v>16</v>
      </c>
      <c r="D228" s="26">
        <v>2</v>
      </c>
      <c r="E228" s="31">
        <f>SUMIF(Entrada[CODIGO],Inventari_2[[#This Row],[CODIGO]],Entrada[CANTIDAD])</f>
        <v>0</v>
      </c>
      <c r="F228" s="32">
        <f>SUMIF(Salidas[[CODIGO ]],Inventari_2[[#This Row],[CODIGO]],Salidas[CANTIDAD])</f>
        <v>0</v>
      </c>
      <c r="G228" s="23">
        <f>Inventari_2[[#This Row],[STOCK DE LLEGADA]]+Inventari_2[[#This Row],[ENTRADA ]]-Inventari_2[[#This Row],[SALIDA]]</f>
        <v>2</v>
      </c>
      <c r="H228" s="13">
        <f>VLOOKUP(Inventari_2[[#This Row],[CODIGO]],Inventario[#All],9,FALSE)</f>
        <v>15000</v>
      </c>
      <c r="I228" s="13" t="str">
        <f>"*"&amp;Inventari_2[[#This Row],[CODIGO]]&amp;"*"</f>
        <v>*VARI-88522*</v>
      </c>
      <c r="J228" s="34" t="str">
        <f>Inventari_2[[#This Row],[COD]]</f>
        <v>*VARI-88522*</v>
      </c>
    </row>
    <row r="229" spans="1:10" ht="36.75" customHeight="1">
      <c r="A229" s="21" t="s">
        <v>707</v>
      </c>
      <c r="B229" s="21" t="s">
        <v>708</v>
      </c>
      <c r="C229" s="15" t="s">
        <v>16</v>
      </c>
      <c r="D229" s="26">
        <v>1</v>
      </c>
      <c r="E229" s="31">
        <f>SUMIF(Entrada[CODIGO],Inventari_2[[#This Row],[CODIGO]],Entrada[CANTIDAD])</f>
        <v>0</v>
      </c>
      <c r="F229" s="32">
        <f>SUMIF(Salidas[[CODIGO ]],Inventari_2[[#This Row],[CODIGO]],Salidas[CANTIDAD])</f>
        <v>0</v>
      </c>
      <c r="G229" s="23">
        <f>Inventari_2[[#This Row],[STOCK DE LLEGADA]]+Inventari_2[[#This Row],[ENTRADA ]]-Inventari_2[[#This Row],[SALIDA]]</f>
        <v>1</v>
      </c>
      <c r="H229" s="13">
        <f>VLOOKUP(Inventari_2[[#This Row],[CODIGO]],Inventario[#All],9,FALSE)</f>
        <v>40000</v>
      </c>
      <c r="I229" s="13" t="str">
        <f>"*"&amp;Inventari_2[[#This Row],[CODIGO]]&amp;"*"</f>
        <v>*LAMP-8877*</v>
      </c>
      <c r="J229" s="34" t="str">
        <f>Inventari_2[[#This Row],[COD]]</f>
        <v>*LAMP-8877*</v>
      </c>
    </row>
    <row r="230" spans="1:10" ht="36.75" customHeight="1">
      <c r="A230" s="21" t="s">
        <v>710</v>
      </c>
      <c r="B230" s="21" t="s">
        <v>711</v>
      </c>
      <c r="C230" s="15" t="s">
        <v>16</v>
      </c>
      <c r="D230" s="26">
        <v>1</v>
      </c>
      <c r="E230" s="31">
        <f>SUMIF(Entrada[CODIGO],Inventari_2[[#This Row],[CODIGO]],Entrada[CANTIDAD])</f>
        <v>0</v>
      </c>
      <c r="F230" s="32">
        <f>SUMIF(Salidas[[CODIGO ]],Inventari_2[[#This Row],[CODIGO]],Salidas[CANTIDAD])</f>
        <v>0</v>
      </c>
      <c r="G230" s="23">
        <f>Inventari_2[[#This Row],[STOCK DE LLEGADA]]+Inventari_2[[#This Row],[ENTRADA ]]-Inventari_2[[#This Row],[SALIDA]]</f>
        <v>1</v>
      </c>
      <c r="H230" s="13">
        <f>VLOOKUP(Inventari_2[[#This Row],[CODIGO]],Inventario[#All],9,FALSE)</f>
        <v>45000</v>
      </c>
      <c r="I230" s="13" t="str">
        <f>"*"&amp;Inventari_2[[#This Row],[CODIGO]]&amp;"*"</f>
        <v>*VARI-88966*</v>
      </c>
      <c r="J230" s="34" t="str">
        <f>Inventari_2[[#This Row],[COD]]</f>
        <v>*VARI-88966*</v>
      </c>
    </row>
    <row r="231" spans="1:10" ht="36.75" customHeight="1">
      <c r="A231" s="142" t="s">
        <v>518</v>
      </c>
      <c r="B231" s="142" t="s">
        <v>519</v>
      </c>
      <c r="C231" s="123" t="s">
        <v>52</v>
      </c>
      <c r="D231" s="59" t="s">
        <v>781</v>
      </c>
      <c r="E231" s="31">
        <f>SUMIF(Entrada[CODIGO],Inventari_2[[#This Row],[CODIGO]],Entrada[CANTIDAD])</f>
        <v>0</v>
      </c>
      <c r="F231" s="32">
        <f>SUMIF(Salidas[[CODIGO ]],Inventari_2[[#This Row],[CODIGO]],Salidas[CANTIDAD])</f>
        <v>0</v>
      </c>
      <c r="G231" s="23">
        <f>Inventari_2[[#This Row],[STOCK DE LLEGADA]]+Inventari_2[[#This Row],[ENTRADA ]]-Inventari_2[[#This Row],[SALIDA]]</f>
        <v>1</v>
      </c>
      <c r="H231" s="13">
        <f>VLOOKUP(Inventari_2[[#This Row],[CODIGO]],Inventario[#All],9,FALSE)</f>
        <v>40000</v>
      </c>
      <c r="I231" s="13" t="str">
        <f>"*"&amp;Inventari_2[[#This Row],[CODIGO]]&amp;"*"</f>
        <v>*REJ-5552201*</v>
      </c>
      <c r="J231" s="34" t="str">
        <f>Inventari_2[[#This Row],[COD]]</f>
        <v>*REJ-5552201*</v>
      </c>
    </row>
    <row r="232" spans="1:10" ht="36.75" customHeight="1">
      <c r="A232" s="216" t="s">
        <v>897</v>
      </c>
      <c r="B232" s="142" t="s">
        <v>122</v>
      </c>
      <c r="C232" s="123" t="s">
        <v>52</v>
      </c>
      <c r="D232" s="59" t="s">
        <v>781</v>
      </c>
      <c r="E232" s="31">
        <f>SUMIF(Entrada[CODIGO],Inventari_2[[#This Row],[CODIGO]],Entrada[CANTIDAD])</f>
        <v>0</v>
      </c>
      <c r="F232" s="32">
        <f>SUMIF(Salidas[[CODIGO ]],Inventari_2[[#This Row],[CODIGO]],Salidas[CANTIDAD])</f>
        <v>0</v>
      </c>
      <c r="G232" s="23">
        <f>Inventari_2[[#This Row],[STOCK DE LLEGADA]]+Inventari_2[[#This Row],[ENTRADA ]]-Inventari_2[[#This Row],[SALIDA]]</f>
        <v>1</v>
      </c>
      <c r="H232" s="13">
        <f>VLOOKUP(Inventari_2[[#This Row],[CODIGO]],Inventario[#All],9,FALSE)</f>
        <v>40000</v>
      </c>
      <c r="I232" s="13" t="str">
        <f>"*"&amp;Inventari_2[[#This Row],[CODIGO]]&amp;"*"</f>
        <v>*VARI'0114488*</v>
      </c>
      <c r="J232" s="34" t="str">
        <f>Inventari_2[[#This Row],[COD]]</f>
        <v>*VARI'0114488*</v>
      </c>
    </row>
    <row r="233" spans="1:10" ht="36.75" customHeight="1">
      <c r="A233" s="174">
        <v>2024070398421</v>
      </c>
      <c r="B233" s="172" t="s">
        <v>804</v>
      </c>
      <c r="C233" s="172" t="s">
        <v>16</v>
      </c>
      <c r="D233" s="26">
        <v>1</v>
      </c>
      <c r="E233" s="31">
        <f>SUMIF(Entrada[CODIGO],Inventari_2[[#This Row],[CODIGO]],Entrada[CANTIDAD])</f>
        <v>0</v>
      </c>
      <c r="F233" s="32">
        <f>SUMIF(Salidas[[CODIGO ]],Inventari_2[[#This Row],[CODIGO]],Salidas[CANTIDAD])</f>
        <v>1</v>
      </c>
      <c r="G233" s="23">
        <f>Inventari_2[[#This Row],[STOCK DE LLEGADA]]+Inventari_2[[#This Row],[ENTRADA ]]-Inventari_2[[#This Row],[SALIDA]]</f>
        <v>0</v>
      </c>
      <c r="H233" s="13">
        <f>VLOOKUP(Inventari_2[[#This Row],[CODIGO]],Inventario[#All],9,FALSE)</f>
        <v>60000</v>
      </c>
      <c r="I233" s="13" t="str">
        <f>"*"&amp;Inventari_2[[#This Row],[CODIGO]]&amp;"*"</f>
        <v>*2024070398421*</v>
      </c>
      <c r="J233" s="34" t="str">
        <f>Inventari_2[[#This Row],[COD]]</f>
        <v>*2024070398421*</v>
      </c>
    </row>
    <row r="234" spans="1:10" ht="36.75" customHeight="1">
      <c r="A234" s="21">
        <v>6392450996229</v>
      </c>
      <c r="B234" s="21" t="s">
        <v>715</v>
      </c>
      <c r="C234" s="15" t="s">
        <v>16</v>
      </c>
      <c r="D234" s="26">
        <v>1</v>
      </c>
      <c r="E234" s="31">
        <f>SUMIF(Entrada[CODIGO],Inventari_2[[#This Row],[CODIGO]],Entrada[CANTIDAD])</f>
        <v>0</v>
      </c>
      <c r="F234" s="32">
        <f>SUMIF(Salidas[[CODIGO ]],Inventari_2[[#This Row],[CODIGO]],Salidas[CANTIDAD])</f>
        <v>0</v>
      </c>
      <c r="G234" s="23">
        <f>Inventari_2[[#This Row],[STOCK DE LLEGADA]]+Inventari_2[[#This Row],[ENTRADA ]]-Inventari_2[[#This Row],[SALIDA]]</f>
        <v>1</v>
      </c>
      <c r="H234" s="13">
        <f>VLOOKUP(Inventari_2[[#This Row],[CODIGO]],Inventario[#All],9,FALSE)</f>
        <v>40000</v>
      </c>
      <c r="I234" s="13" t="str">
        <f>"*"&amp;Inventari_2[[#This Row],[CODIGO]]&amp;"*"</f>
        <v>*6392450996229*</v>
      </c>
      <c r="J234" s="34" t="str">
        <f>Inventari_2[[#This Row],[COD]]</f>
        <v>*6392450996229*</v>
      </c>
    </row>
    <row r="235" spans="1:10" ht="36.75" customHeight="1">
      <c r="A235" s="21" t="s">
        <v>716</v>
      </c>
      <c r="B235" s="21" t="s">
        <v>717</v>
      </c>
      <c r="C235" s="15" t="s">
        <v>16</v>
      </c>
      <c r="D235" s="26">
        <v>1</v>
      </c>
      <c r="E235" s="31">
        <f>SUMIF(Entrada[CODIGO],Inventari_2[[#This Row],[CODIGO]],Entrada[CANTIDAD])</f>
        <v>0</v>
      </c>
      <c r="F235" s="32">
        <f>SUMIF(Salidas[[CODIGO ]],Inventari_2[[#This Row],[CODIGO]],Salidas[CANTIDAD])</f>
        <v>1</v>
      </c>
      <c r="G235" s="23">
        <f>Inventari_2[[#This Row],[STOCK DE LLEGADA]]+Inventari_2[[#This Row],[ENTRADA ]]-Inventari_2[[#This Row],[SALIDA]]</f>
        <v>0</v>
      </c>
      <c r="H235" s="13">
        <f>VLOOKUP(Inventari_2[[#This Row],[CODIGO]],Inventario[#All],9,FALSE)</f>
        <v>60000</v>
      </c>
      <c r="I235" s="13" t="str">
        <f>"*"&amp;Inventari_2[[#This Row],[CODIGO]]&amp;"*"</f>
        <v>*HP-444AF*</v>
      </c>
      <c r="J235" s="34" t="str">
        <f>Inventari_2[[#This Row],[COD]]</f>
        <v>*HP-444AF*</v>
      </c>
    </row>
    <row r="236" spans="1:10" ht="36.75" customHeight="1">
      <c r="A236" s="21" t="s">
        <v>719</v>
      </c>
      <c r="B236" s="21" t="s">
        <v>720</v>
      </c>
      <c r="C236" s="15" t="s">
        <v>16</v>
      </c>
      <c r="D236" s="26">
        <v>2</v>
      </c>
      <c r="E236" s="31">
        <f>SUMIF(Entrada[CODIGO],Inventari_2[[#This Row],[CODIGO]],Entrada[CANTIDAD])</f>
        <v>0</v>
      </c>
      <c r="F236" s="32">
        <f>SUMIF(Salidas[[CODIGO ]],Inventari_2[[#This Row],[CODIGO]],Salidas[CANTIDAD])</f>
        <v>1</v>
      </c>
      <c r="G236" s="23">
        <f>Inventari_2[[#This Row],[STOCK DE LLEGADA]]+Inventari_2[[#This Row],[ENTRADA ]]-Inventari_2[[#This Row],[SALIDA]]</f>
        <v>1</v>
      </c>
      <c r="H236" s="13">
        <f>VLOOKUP(Inventari_2[[#This Row],[CODIGO]],Inventario[#All],9,FALSE)</f>
        <v>25000</v>
      </c>
      <c r="I236" s="13" t="str">
        <f>"*"&amp;Inventari_2[[#This Row],[CODIGO]]&amp;"*"</f>
        <v>*HP-44004*</v>
      </c>
      <c r="J236" s="34" t="str">
        <f>Inventari_2[[#This Row],[COD]]</f>
        <v>*HP-44004*</v>
      </c>
    </row>
    <row r="237" spans="1:10" ht="36.75" customHeight="1">
      <c r="A237" s="21" t="s">
        <v>722</v>
      </c>
      <c r="B237" s="21" t="s">
        <v>723</v>
      </c>
      <c r="C237" s="15" t="s">
        <v>52</v>
      </c>
      <c r="D237" s="26">
        <v>3</v>
      </c>
      <c r="E237" s="31">
        <f>SUMIF(Entrada[CODIGO],Inventari_2[[#This Row],[CODIGO]],Entrada[CANTIDAD])</f>
        <v>0</v>
      </c>
      <c r="F237" s="32">
        <f>SUMIF(Salidas[[CODIGO ]],Inventari_2[[#This Row],[CODIGO]],Salidas[CANTIDAD])</f>
        <v>3</v>
      </c>
      <c r="G237" s="23">
        <f>Inventari_2[[#This Row],[STOCK DE LLEGADA]]+Inventari_2[[#This Row],[ENTRADA ]]-Inventari_2[[#This Row],[SALIDA]]</f>
        <v>0</v>
      </c>
      <c r="H237" s="13">
        <f>VLOOKUP(Inventari_2[[#This Row],[CODIGO]],Inventario[#All],9,FALSE)</f>
        <v>35000</v>
      </c>
      <c r="I237" s="13" t="str">
        <f>"*"&amp;Inventari_2[[#This Row],[CODIGO]]&amp;"*"</f>
        <v>*VARI-002555*</v>
      </c>
      <c r="J237" s="34" t="str">
        <f>Inventari_2[[#This Row],[COD]]</f>
        <v>*VARI-002555*</v>
      </c>
    </row>
    <row r="238" spans="1:10" ht="36.75" customHeight="1">
      <c r="A238" s="21" t="s">
        <v>762</v>
      </c>
      <c r="B238" s="21" t="s">
        <v>763</v>
      </c>
      <c r="C238" s="15" t="s">
        <v>44</v>
      </c>
      <c r="D238" s="59" t="s">
        <v>805</v>
      </c>
      <c r="E238" s="31">
        <f>SUMIF(Entrada[CODIGO],Inventari_2[[#This Row],[CODIGO]],Entrada[CANTIDAD])</f>
        <v>0</v>
      </c>
      <c r="F238" s="32">
        <f>SUMIF(Salidas[[CODIGO ]],Inventari_2[[#This Row],[CODIGO]],Salidas[CANTIDAD])</f>
        <v>3</v>
      </c>
      <c r="G238" s="23">
        <f>Inventari_2[[#This Row],[STOCK DE LLEGADA]]+Inventari_2[[#This Row],[ENTRADA ]]-Inventari_2[[#This Row],[SALIDA]]</f>
        <v>7</v>
      </c>
      <c r="H238" s="13">
        <f>VLOOKUP(Inventari_2[[#This Row],[CODIGO]],Inventario[#All],9,FALSE)</f>
        <v>5000</v>
      </c>
      <c r="I238" s="13" t="str">
        <f>"*"&amp;Inventari_2[[#This Row],[CODIGO]]&amp;"*"</f>
        <v>*BOTON-001*</v>
      </c>
      <c r="J238" s="34" t="str">
        <f>Inventari_2[[#This Row],[COD]]</f>
        <v>*BOTON-001*</v>
      </c>
    </row>
    <row r="239" spans="1:10" ht="36.75" customHeight="1">
      <c r="A239" s="21" t="s">
        <v>765</v>
      </c>
      <c r="B239" s="21" t="s">
        <v>766</v>
      </c>
      <c r="C239" s="15" t="s">
        <v>767</v>
      </c>
      <c r="D239" s="59" t="s">
        <v>806</v>
      </c>
      <c r="E239" s="31">
        <f>SUMIF(Entrada[CODIGO],Inventari_2[[#This Row],[CODIGO]],Entrada[CANTIDAD])</f>
        <v>9</v>
      </c>
      <c r="F239" s="32">
        <f>SUMIF(Salidas[[CODIGO ]],Inventari_2[[#This Row],[CODIGO]],Salidas[CANTIDAD])</f>
        <v>4</v>
      </c>
      <c r="G239" s="23">
        <f>Inventari_2[[#This Row],[STOCK DE LLEGADA]]+Inventari_2[[#This Row],[ENTRADA ]]-Inventari_2[[#This Row],[SALIDA]]</f>
        <v>10</v>
      </c>
      <c r="H239" s="13">
        <f>VLOOKUP(Inventari_2[[#This Row],[CODIGO]],Inventario[#All],9,FALSE)</f>
        <v>10000</v>
      </c>
      <c r="I239" s="13" t="str">
        <f>"*"&amp;Inventari_2[[#This Row],[CODIGO]]&amp;"*"</f>
        <v>*PORT-002*</v>
      </c>
      <c r="J239" s="34" t="str">
        <f>Inventari_2[[#This Row],[COD]]</f>
        <v>*PORT-002*</v>
      </c>
    </row>
    <row r="240" spans="1:10" ht="36.75" customHeight="1">
      <c r="A240" s="182" t="s">
        <v>758</v>
      </c>
      <c r="B240" s="183" t="s">
        <v>759</v>
      </c>
      <c r="C240" s="183" t="s">
        <v>760</v>
      </c>
      <c r="D240" s="59" t="s">
        <v>807</v>
      </c>
      <c r="E240" s="31">
        <f>SUMIF(Entrada[CODIGO],Inventari_2[[#This Row],[CODIGO]],Entrada[CANTIDAD])</f>
        <v>0</v>
      </c>
      <c r="F240" s="32">
        <f>SUMIF(Salidas[[CODIGO ]],Inventari_2[[#This Row],[CODIGO]],Salidas[CANTIDAD])</f>
        <v>15</v>
      </c>
      <c r="G240" s="23">
        <f>Inventari_2[[#This Row],[STOCK DE LLEGADA]]+Inventari_2[[#This Row],[ENTRADA ]]-Inventari_2[[#This Row],[SALIDA]]</f>
        <v>9</v>
      </c>
      <c r="H240" s="13">
        <f>VLOOKUP(Inventari_2[[#This Row],[CODIGO]],Inventario[#All],9,FALSE)</f>
        <v>3000</v>
      </c>
      <c r="I240" s="13" t="str">
        <f>"*"&amp;Inventari_2[[#This Row],[CODIGO]]&amp;"*"</f>
        <v>*JUGUE-88111*</v>
      </c>
      <c r="J240" s="34" t="str">
        <f>Inventari_2[[#This Row],[COD]]</f>
        <v>*JUGUE-88111*</v>
      </c>
    </row>
    <row r="241" spans="1:10" ht="36.75" customHeight="1">
      <c r="A241" s="177">
        <v>6920158590083</v>
      </c>
      <c r="B241" s="178" t="s">
        <v>750</v>
      </c>
      <c r="C241" s="178" t="s">
        <v>727</v>
      </c>
      <c r="D241" s="59" t="s">
        <v>781</v>
      </c>
      <c r="E241" s="31">
        <f>SUMIF(Entrada[CODIGO],Inventari_2[[#This Row],[CODIGO]],Entrada[CANTIDAD])</f>
        <v>0</v>
      </c>
      <c r="F241" s="32">
        <f>SUMIF(Salidas[[CODIGO ]],Inventari_2[[#This Row],[CODIGO]],Salidas[CANTIDAD])</f>
        <v>1</v>
      </c>
      <c r="G241" s="23">
        <f>Inventari_2[[#This Row],[STOCK DE LLEGADA]]+Inventari_2[[#This Row],[ENTRADA ]]-Inventari_2[[#This Row],[SALIDA]]</f>
        <v>0</v>
      </c>
      <c r="H241" s="13">
        <f>VLOOKUP(Inventari_2[[#This Row],[CODIGO]],Inventario[#All],9,FALSE)</f>
        <v>15000</v>
      </c>
      <c r="I241" s="13" t="str">
        <f>"*"&amp;Inventari_2[[#This Row],[CODIGO]]&amp;"*"</f>
        <v>*6920158590083*</v>
      </c>
      <c r="J241" s="34" t="str">
        <f>Inventari_2[[#This Row],[COD]]</f>
        <v>*6920158590083*</v>
      </c>
    </row>
    <row r="242" spans="1:10" ht="36.75" customHeight="1">
      <c r="A242" s="21" t="s">
        <v>725</v>
      </c>
      <c r="B242" s="149" t="s">
        <v>726</v>
      </c>
      <c r="C242" s="123" t="s">
        <v>727</v>
      </c>
      <c r="D242" s="185">
        <v>1</v>
      </c>
      <c r="E242" s="31">
        <f>SUMIF(Entrada[CODIGO],Inventari_2[[#This Row],[CODIGO]],Entrada[CANTIDAD])</f>
        <v>0</v>
      </c>
      <c r="F242" s="32">
        <f>SUMIF(Salidas[[CODIGO ]],Inventari_2[[#This Row],[CODIGO]],Salidas[CANTIDAD])</f>
        <v>0</v>
      </c>
      <c r="G242" s="23">
        <f>Inventari_2[[#This Row],[STOCK DE LLEGADA]]+Inventari_2[[#This Row],[ENTRADA ]]-Inventari_2[[#This Row],[SALIDA]]</f>
        <v>1</v>
      </c>
      <c r="H242" s="13">
        <f>VLOOKUP(Inventari_2[[#This Row],[CODIGO]],Inventario[#All],9,FALSE)</f>
        <v>20000</v>
      </c>
      <c r="I242" s="13" t="str">
        <f>"*"&amp;Inventari_2[[#This Row],[CODIGO]]&amp;"*"</f>
        <v>*LOLO-5544*</v>
      </c>
      <c r="J242" s="34" t="str">
        <f>Inventari_2[[#This Row],[COD]]</f>
        <v>*LOLO-5544*</v>
      </c>
    </row>
    <row r="243" spans="1:10" ht="36.75" customHeight="1">
      <c r="A243" s="175">
        <v>6924851352344</v>
      </c>
      <c r="B243" s="176" t="s">
        <v>729</v>
      </c>
      <c r="C243" s="176" t="s">
        <v>727</v>
      </c>
      <c r="D243" s="175">
        <v>1</v>
      </c>
      <c r="E243" s="31">
        <f>SUMIF(Entrada[CODIGO],Inventari_2[[#This Row],[CODIGO]],Entrada[CANTIDAD])</f>
        <v>0</v>
      </c>
      <c r="F243" s="32">
        <f>SUMIF(Salidas[[CODIGO ]],Inventari_2[[#This Row],[CODIGO]],Salidas[CANTIDAD])</f>
        <v>0</v>
      </c>
      <c r="G243" s="23">
        <f>Inventari_2[[#This Row],[STOCK DE LLEGADA]]+Inventari_2[[#This Row],[ENTRADA ]]-Inventari_2[[#This Row],[SALIDA]]</f>
        <v>1</v>
      </c>
      <c r="H243" s="13">
        <f>VLOOKUP(Inventari_2[[#This Row],[CODIGO]],Inventario[#All],9,FALSE)</f>
        <v>25000</v>
      </c>
      <c r="I243" s="13" t="str">
        <f>"*"&amp;Inventari_2[[#This Row],[CODIGO]]&amp;"*"</f>
        <v>*6924851352344*</v>
      </c>
      <c r="J243" s="34" t="str">
        <f>Inventari_2[[#This Row],[COD]]</f>
        <v>*6924851352344*</v>
      </c>
    </row>
    <row r="244" spans="1:10" ht="36.75" customHeight="1">
      <c r="A244" s="177">
        <v>6931435642753</v>
      </c>
      <c r="B244" s="178" t="s">
        <v>731</v>
      </c>
      <c r="C244" s="178" t="s">
        <v>727</v>
      </c>
      <c r="D244" s="177">
        <v>1</v>
      </c>
      <c r="E244" s="31">
        <f>SUMIF(Entrada[CODIGO],Inventari_2[[#This Row],[CODIGO]],Entrada[CANTIDAD])</f>
        <v>0</v>
      </c>
      <c r="F244" s="32">
        <f>SUMIF(Salidas[[CODIGO ]],Inventari_2[[#This Row],[CODIGO]],Salidas[CANTIDAD])</f>
        <v>0</v>
      </c>
      <c r="G244" s="23">
        <f>Inventari_2[[#This Row],[STOCK DE LLEGADA]]+Inventari_2[[#This Row],[ENTRADA ]]-Inventari_2[[#This Row],[SALIDA]]</f>
        <v>1</v>
      </c>
      <c r="H244" s="13">
        <f>VLOOKUP(Inventari_2[[#This Row],[CODIGO]],Inventario[#All],9,FALSE)</f>
        <v>20000</v>
      </c>
      <c r="I244" s="13" t="str">
        <f>"*"&amp;Inventari_2[[#This Row],[CODIGO]]&amp;"*"</f>
        <v>*6931435642753*</v>
      </c>
      <c r="J244" s="34" t="str">
        <f>Inventari_2[[#This Row],[COD]]</f>
        <v>*6931435642753*</v>
      </c>
    </row>
    <row r="245" spans="1:10" ht="36.75" customHeight="1">
      <c r="A245" s="179">
        <v>6942229817370</v>
      </c>
      <c r="B245" s="180" t="s">
        <v>733</v>
      </c>
      <c r="C245" s="180" t="s">
        <v>727</v>
      </c>
      <c r="D245" s="179">
        <v>1</v>
      </c>
      <c r="E245" s="31">
        <f>SUMIF(Entrada[CODIGO],Inventari_2[[#This Row],[CODIGO]],Entrada[CANTIDAD])</f>
        <v>0</v>
      </c>
      <c r="F245" s="32">
        <f>SUMIF(Salidas[[CODIGO ]],Inventari_2[[#This Row],[CODIGO]],Salidas[CANTIDAD])</f>
        <v>0</v>
      </c>
      <c r="G245" s="23">
        <f>Inventari_2[[#This Row],[STOCK DE LLEGADA]]+Inventari_2[[#This Row],[ENTRADA ]]-Inventari_2[[#This Row],[SALIDA]]</f>
        <v>1</v>
      </c>
      <c r="H245" s="13">
        <f>VLOOKUP(Inventari_2[[#This Row],[CODIGO]],Inventario[#All],9,FALSE)</f>
        <v>50000</v>
      </c>
      <c r="I245" s="13" t="str">
        <f>"*"&amp;Inventari_2[[#This Row],[CODIGO]]&amp;"*"</f>
        <v>*6942229817370*</v>
      </c>
      <c r="J245" s="34" t="str">
        <f>Inventari_2[[#This Row],[COD]]</f>
        <v>*6942229817370*</v>
      </c>
    </row>
    <row r="246" spans="1:10" ht="36.75" customHeight="1">
      <c r="A246" s="177">
        <v>6484512243041</v>
      </c>
      <c r="B246" s="178" t="s">
        <v>735</v>
      </c>
      <c r="C246" s="178" t="s">
        <v>727</v>
      </c>
      <c r="D246" s="177">
        <v>1</v>
      </c>
      <c r="E246" s="31">
        <f>SUMIF(Entrada[CODIGO],Inventari_2[[#This Row],[CODIGO]],Entrada[CANTIDAD])</f>
        <v>0</v>
      </c>
      <c r="F246" s="32">
        <f>SUMIF(Salidas[[CODIGO ]],Inventari_2[[#This Row],[CODIGO]],Salidas[CANTIDAD])</f>
        <v>1</v>
      </c>
      <c r="G246" s="23">
        <f>Inventari_2[[#This Row],[STOCK DE LLEGADA]]+Inventari_2[[#This Row],[ENTRADA ]]-Inventari_2[[#This Row],[SALIDA]]</f>
        <v>0</v>
      </c>
      <c r="H246" s="13">
        <f>VLOOKUP(Inventari_2[[#This Row],[CODIGO]],Inventario[#All],9,FALSE)</f>
        <v>15000</v>
      </c>
      <c r="I246" s="13" t="str">
        <f>"*"&amp;Inventari_2[[#This Row],[CODIGO]]&amp;"*"</f>
        <v>*6484512243041*</v>
      </c>
      <c r="J246" s="34" t="str">
        <f>Inventari_2[[#This Row],[COD]]</f>
        <v>*6484512243041*</v>
      </c>
    </row>
    <row r="247" spans="1:10" ht="36.75" customHeight="1">
      <c r="A247" s="179">
        <v>6979270810111</v>
      </c>
      <c r="B247" s="180" t="s">
        <v>735</v>
      </c>
      <c r="C247" s="180" t="s">
        <v>727</v>
      </c>
      <c r="D247" s="179">
        <v>1</v>
      </c>
      <c r="E247" s="31">
        <f>SUMIF(Entrada[CODIGO],Inventari_2[[#This Row],[CODIGO]],Entrada[CANTIDAD])</f>
        <v>0</v>
      </c>
      <c r="F247" s="32">
        <f>SUMIF(Salidas[[CODIGO ]],Inventari_2[[#This Row],[CODIGO]],Salidas[CANTIDAD])</f>
        <v>0</v>
      </c>
      <c r="G247" s="23">
        <f>Inventari_2[[#This Row],[STOCK DE LLEGADA]]+Inventari_2[[#This Row],[ENTRADA ]]-Inventari_2[[#This Row],[SALIDA]]</f>
        <v>1</v>
      </c>
      <c r="H247" s="13">
        <f>VLOOKUP(Inventari_2[[#This Row],[CODIGO]],Inventario[#All],9,FALSE)</f>
        <v>15000</v>
      </c>
      <c r="I247" s="13" t="str">
        <f>"*"&amp;Inventari_2[[#This Row],[CODIGO]]&amp;"*"</f>
        <v>*6979270810111*</v>
      </c>
      <c r="J247" s="34" t="str">
        <f>Inventari_2[[#This Row],[COD]]</f>
        <v>*6979270810111*</v>
      </c>
    </row>
    <row r="248" spans="1:10" ht="36.75" customHeight="1">
      <c r="A248" s="177">
        <v>6978745486547</v>
      </c>
      <c r="B248" s="178" t="s">
        <v>738</v>
      </c>
      <c r="C248" s="178" t="s">
        <v>727</v>
      </c>
      <c r="D248" s="177">
        <v>2</v>
      </c>
      <c r="E248" s="31">
        <f>SUMIF(Entrada[CODIGO],Inventari_2[[#This Row],[CODIGO]],Entrada[CANTIDAD])</f>
        <v>0</v>
      </c>
      <c r="F248" s="32">
        <f>SUMIF(Salidas[[CODIGO ]],Inventari_2[[#This Row],[CODIGO]],Salidas[CANTIDAD])</f>
        <v>0</v>
      </c>
      <c r="G248" s="23">
        <f>Inventari_2[[#This Row],[STOCK DE LLEGADA]]+Inventari_2[[#This Row],[ENTRADA ]]-Inventari_2[[#This Row],[SALIDA]]</f>
        <v>2</v>
      </c>
      <c r="H248" s="13">
        <f>VLOOKUP(Inventari_2[[#This Row],[CODIGO]],Inventario[#All],9,FALSE)</f>
        <v>20000</v>
      </c>
      <c r="I248" s="13" t="str">
        <f>"*"&amp;Inventari_2[[#This Row],[CODIGO]]&amp;"*"</f>
        <v>*6978745486547*</v>
      </c>
      <c r="J248" s="34" t="str">
        <f>Inventari_2[[#This Row],[COD]]</f>
        <v>*6978745486547*</v>
      </c>
    </row>
    <row r="249" spans="1:10" ht="36.75" customHeight="1">
      <c r="A249" s="179" t="s">
        <v>740</v>
      </c>
      <c r="B249" s="180" t="s">
        <v>741</v>
      </c>
      <c r="C249" s="180" t="s">
        <v>727</v>
      </c>
      <c r="D249" s="179">
        <v>1</v>
      </c>
      <c r="E249" s="31">
        <f>SUMIF(Entrada[CODIGO],Inventari_2[[#This Row],[CODIGO]],Entrada[CANTIDAD])</f>
        <v>0</v>
      </c>
      <c r="F249" s="32">
        <f>SUMIF(Salidas[[CODIGO ]],Inventari_2[[#This Row],[CODIGO]],Salidas[CANTIDAD])</f>
        <v>0</v>
      </c>
      <c r="G249" s="23">
        <f>Inventari_2[[#This Row],[STOCK DE LLEGADA]]+Inventari_2[[#This Row],[ENTRADA ]]-Inventari_2[[#This Row],[SALIDA]]</f>
        <v>1</v>
      </c>
      <c r="H249" s="13">
        <f>VLOOKUP(Inventari_2[[#This Row],[CODIGO]],Inventario[#All],9,FALSE)</f>
        <v>15000</v>
      </c>
      <c r="I249" s="13" t="str">
        <f>"*"&amp;Inventari_2[[#This Row],[CODIGO]]&amp;"*"</f>
        <v>*LOLO-8822528*</v>
      </c>
      <c r="J249" s="34" t="str">
        <f>Inventari_2[[#This Row],[COD]]</f>
        <v>*LOLO-8822528*</v>
      </c>
    </row>
    <row r="250" spans="1:10" ht="36.75" customHeight="1">
      <c r="A250" s="177">
        <v>6982023157050</v>
      </c>
      <c r="B250" s="178" t="s">
        <v>743</v>
      </c>
      <c r="C250" s="178" t="s">
        <v>727</v>
      </c>
      <c r="D250" s="177">
        <v>4</v>
      </c>
      <c r="E250" s="31">
        <f>SUMIF(Entrada[CODIGO],Inventari_2[[#This Row],[CODIGO]],Entrada[CANTIDAD])</f>
        <v>0</v>
      </c>
      <c r="F250" s="32">
        <f>SUMIF(Salidas[[CODIGO ]],Inventari_2[[#This Row],[CODIGO]],Salidas[CANTIDAD])</f>
        <v>2</v>
      </c>
      <c r="G250" s="23">
        <f>Inventari_2[[#This Row],[STOCK DE LLEGADA]]+Inventari_2[[#This Row],[ENTRADA ]]-Inventari_2[[#This Row],[SALIDA]]</f>
        <v>2</v>
      </c>
      <c r="H250" s="13">
        <f>VLOOKUP(Inventari_2[[#This Row],[CODIGO]],Inventario[#All],9,FALSE)</f>
        <v>7000</v>
      </c>
      <c r="I250" s="13" t="str">
        <f>"*"&amp;Inventari_2[[#This Row],[CODIGO]]&amp;"*"</f>
        <v>*6982023157050*</v>
      </c>
      <c r="J250" s="34" t="str">
        <f>Inventari_2[[#This Row],[COD]]</f>
        <v>*6982023157050*</v>
      </c>
    </row>
    <row r="251" spans="1:10" ht="36.75" customHeight="1">
      <c r="A251" s="179">
        <v>6982023157012</v>
      </c>
      <c r="B251" s="180" t="s">
        <v>744</v>
      </c>
      <c r="C251" s="180" t="s">
        <v>727</v>
      </c>
      <c r="D251" s="179">
        <v>2</v>
      </c>
      <c r="E251" s="31">
        <f>SUMIF(Entrada[CODIGO],Inventari_2[[#This Row],[CODIGO]],Entrada[CANTIDAD])</f>
        <v>0</v>
      </c>
      <c r="F251" s="32">
        <f>SUMIF(Salidas[[CODIGO ]],Inventari_2[[#This Row],[CODIGO]],Salidas[CANTIDAD])</f>
        <v>3</v>
      </c>
      <c r="G251" s="23">
        <f>Inventari_2[[#This Row],[STOCK DE LLEGADA]]+Inventari_2[[#This Row],[ENTRADA ]]-Inventari_2[[#This Row],[SALIDA]]</f>
        <v>-1</v>
      </c>
      <c r="H251" s="13">
        <f>VLOOKUP(Inventari_2[[#This Row],[CODIGO]],Inventario[#All],9,FALSE)</f>
        <v>8000</v>
      </c>
      <c r="I251" s="13" t="str">
        <f>"*"&amp;Inventari_2[[#This Row],[CODIGO]]&amp;"*"</f>
        <v>*6982023157012*</v>
      </c>
      <c r="J251" s="34" t="str">
        <f>Inventari_2[[#This Row],[COD]]</f>
        <v>*6982023157012*</v>
      </c>
    </row>
    <row r="252" spans="1:10" ht="36.75" customHeight="1">
      <c r="A252" s="177">
        <v>6936316133689</v>
      </c>
      <c r="B252" s="178" t="s">
        <v>746</v>
      </c>
      <c r="C252" s="178" t="s">
        <v>727</v>
      </c>
      <c r="D252" s="177">
        <v>2</v>
      </c>
      <c r="E252" s="31">
        <f>SUMIF(Entrada[CODIGO],Inventari_2[[#This Row],[CODIGO]],Entrada[CANTIDAD])</f>
        <v>0</v>
      </c>
      <c r="F252" s="32">
        <f>SUMIF(Salidas[[CODIGO ]],Inventari_2[[#This Row],[CODIGO]],Salidas[CANTIDAD])</f>
        <v>2</v>
      </c>
      <c r="G252" s="23">
        <f>Inventari_2[[#This Row],[STOCK DE LLEGADA]]+Inventari_2[[#This Row],[ENTRADA ]]-Inventari_2[[#This Row],[SALIDA]]</f>
        <v>0</v>
      </c>
      <c r="H252" s="13">
        <f>VLOOKUP(Inventari_2[[#This Row],[CODIGO]],Inventario[#All],9,FALSE)</f>
        <v>15000</v>
      </c>
      <c r="I252" s="13" t="str">
        <f>"*"&amp;Inventari_2[[#This Row],[CODIGO]]&amp;"*"</f>
        <v>*6936316133689*</v>
      </c>
      <c r="J252" s="34" t="str">
        <f>Inventari_2[[#This Row],[COD]]</f>
        <v>*6936316133689*</v>
      </c>
    </row>
    <row r="253" spans="1:10" ht="36.75" customHeight="1">
      <c r="A253" s="179">
        <v>6958585972011</v>
      </c>
      <c r="B253" s="180" t="s">
        <v>748</v>
      </c>
      <c r="C253" s="180" t="s">
        <v>727</v>
      </c>
      <c r="D253" s="179">
        <v>2</v>
      </c>
      <c r="E253" s="31">
        <f>SUMIF(Entrada[CODIGO],Inventari_2[[#This Row],[CODIGO]],Entrada[CANTIDAD])</f>
        <v>0</v>
      </c>
      <c r="F253" s="32">
        <f>SUMIF(Salidas[[CODIGO ]],Inventari_2[[#This Row],[CODIGO]],Salidas[CANTIDAD])</f>
        <v>0</v>
      </c>
      <c r="G253" s="23">
        <f>Inventari_2[[#This Row],[STOCK DE LLEGADA]]+Inventari_2[[#This Row],[ENTRADA ]]-Inventari_2[[#This Row],[SALIDA]]</f>
        <v>2</v>
      </c>
      <c r="H253" s="13">
        <f>VLOOKUP(Inventari_2[[#This Row],[CODIGO]],Inventario[#All],9,FALSE)</f>
        <v>5000</v>
      </c>
      <c r="I253" s="13" t="str">
        <f>"*"&amp;Inventari_2[[#This Row],[CODIGO]]&amp;"*"</f>
        <v>*6958585972011*</v>
      </c>
      <c r="J253" s="34" t="str">
        <f>Inventari_2[[#This Row],[COD]]</f>
        <v>*6958585972011*</v>
      </c>
    </row>
    <row r="254" spans="1:10" ht="36.75" customHeight="1">
      <c r="A254" s="177">
        <v>6920158590083</v>
      </c>
      <c r="B254" s="178" t="s">
        <v>750</v>
      </c>
      <c r="C254" s="178" t="s">
        <v>727</v>
      </c>
      <c r="D254" s="177">
        <v>1</v>
      </c>
      <c r="E254" s="31">
        <f>SUMIF(Entrada[CODIGO],Inventari_2[[#This Row],[CODIGO]],Entrada[CANTIDAD])</f>
        <v>0</v>
      </c>
      <c r="F254" s="32">
        <f>SUMIF(Salidas[[CODIGO ]],Inventari_2[[#This Row],[CODIGO]],Salidas[CANTIDAD])</f>
        <v>1</v>
      </c>
      <c r="G254" s="23">
        <f>Inventari_2[[#This Row],[STOCK DE LLEGADA]]+Inventari_2[[#This Row],[ENTRADA ]]-Inventari_2[[#This Row],[SALIDA]]</f>
        <v>0</v>
      </c>
      <c r="H254" s="13">
        <f>VLOOKUP(Inventari_2[[#This Row],[CODIGO]],Inventario[#All],9,FALSE)</f>
        <v>15000</v>
      </c>
      <c r="I254" s="13" t="str">
        <f>"*"&amp;Inventari_2[[#This Row],[CODIGO]]&amp;"*"</f>
        <v>*6920158590083*</v>
      </c>
      <c r="J254" s="34" t="str">
        <f>Inventari_2[[#This Row],[COD]]</f>
        <v>*6920158590083*</v>
      </c>
    </row>
    <row r="255" spans="1:10" ht="36.75" customHeight="1">
      <c r="A255" s="179">
        <v>6921456800010</v>
      </c>
      <c r="B255" s="180" t="s">
        <v>752</v>
      </c>
      <c r="C255" s="180" t="s">
        <v>727</v>
      </c>
      <c r="D255" s="179">
        <v>2</v>
      </c>
      <c r="E255" s="31">
        <f>SUMIF(Entrada[CODIGO],Inventari_2[[#This Row],[CODIGO]],Entrada[CANTIDAD])</f>
        <v>0</v>
      </c>
      <c r="F255" s="32">
        <f>SUMIF(Salidas[[CODIGO ]],Inventari_2[[#This Row],[CODIGO]],Salidas[CANTIDAD])</f>
        <v>0</v>
      </c>
      <c r="G255" s="23">
        <f>Inventari_2[[#This Row],[STOCK DE LLEGADA]]+Inventari_2[[#This Row],[ENTRADA ]]-Inventari_2[[#This Row],[SALIDA]]</f>
        <v>2</v>
      </c>
      <c r="H255" s="13">
        <f>VLOOKUP(Inventari_2[[#This Row],[CODIGO]],Inventario[#All],9,FALSE)</f>
        <v>30000</v>
      </c>
      <c r="I255" s="13" t="str">
        <f>"*"&amp;Inventari_2[[#This Row],[CODIGO]]&amp;"*"</f>
        <v>*6921456800010*</v>
      </c>
      <c r="J255" s="34" t="str">
        <f>Inventari_2[[#This Row],[COD]]</f>
        <v>*6921456800010*</v>
      </c>
    </row>
    <row r="256" spans="1:10" ht="36.75" customHeight="1">
      <c r="A256" s="177">
        <v>5400141902389</v>
      </c>
      <c r="B256" s="178" t="s">
        <v>754</v>
      </c>
      <c r="C256" s="178" t="s">
        <v>727</v>
      </c>
      <c r="D256" s="177">
        <v>5</v>
      </c>
      <c r="E256" s="31">
        <f>SUMIF(Entrada[CODIGO],Inventari_2[[#This Row],[CODIGO]],Entrada[CANTIDAD])</f>
        <v>0</v>
      </c>
      <c r="F256" s="32">
        <f>SUMIF(Salidas[[CODIGO ]],Inventari_2[[#This Row],[CODIGO]],Salidas[CANTIDAD])</f>
        <v>1</v>
      </c>
      <c r="G256" s="23">
        <f>Inventari_2[[#This Row],[STOCK DE LLEGADA]]+Inventari_2[[#This Row],[ENTRADA ]]-Inventari_2[[#This Row],[SALIDA]]</f>
        <v>4</v>
      </c>
      <c r="H256" s="13">
        <f>VLOOKUP(Inventari_2[[#This Row],[CODIGO]],Inventario[#All],9,FALSE)</f>
        <v>1000</v>
      </c>
      <c r="I256" s="13" t="str">
        <f>"*"&amp;Inventari_2[[#This Row],[CODIGO]]&amp;"*"</f>
        <v>*5400141902389*</v>
      </c>
      <c r="J256" s="34" t="str">
        <f>Inventari_2[[#This Row],[COD]]</f>
        <v>*5400141902389*</v>
      </c>
    </row>
    <row r="257" spans="1:10" ht="36.75" customHeight="1">
      <c r="A257" s="179">
        <v>6981688870465</v>
      </c>
      <c r="B257" s="180" t="s">
        <v>756</v>
      </c>
      <c r="C257" s="180" t="s">
        <v>727</v>
      </c>
      <c r="D257" s="179">
        <v>2</v>
      </c>
      <c r="E257" s="31">
        <f>SUMIF(Entrada[CODIGO],Inventari_2[[#This Row],[CODIGO]],Entrada[CANTIDAD])</f>
        <v>0</v>
      </c>
      <c r="F257" s="32">
        <f>SUMIF(Salidas[[CODIGO ]],Inventari_2[[#This Row],[CODIGO]],Salidas[CANTIDAD])</f>
        <v>1</v>
      </c>
      <c r="G257" s="23">
        <f>Inventari_2[[#This Row],[STOCK DE LLEGADA]]+Inventari_2[[#This Row],[ENTRADA ]]-Inventari_2[[#This Row],[SALIDA]]</f>
        <v>1</v>
      </c>
      <c r="H257" s="13">
        <f>VLOOKUP(Inventari_2[[#This Row],[CODIGO]],Inventario[#All],9,FALSE)</f>
        <v>4000</v>
      </c>
      <c r="I257" s="13" t="str">
        <f>"*"&amp;Inventari_2[[#This Row],[CODIGO]]&amp;"*"</f>
        <v>*6981688870465*</v>
      </c>
      <c r="J257" s="34" t="str">
        <f>Inventari_2[[#This Row],[COD]]</f>
        <v>*6981688870465*</v>
      </c>
    </row>
    <row r="258" spans="1:10" ht="36.75" customHeight="1">
      <c r="A258" s="182" t="s">
        <v>758</v>
      </c>
      <c r="B258" s="183" t="s">
        <v>759</v>
      </c>
      <c r="C258" s="183" t="s">
        <v>760</v>
      </c>
      <c r="D258" s="183">
        <v>24</v>
      </c>
      <c r="E258" s="31">
        <f>SUMIF(Entrada[CODIGO],Inventari_2[[#This Row],[CODIGO]],Entrada[CANTIDAD])</f>
        <v>0</v>
      </c>
      <c r="F258" s="32">
        <f>SUMIF(Salidas[[CODIGO ]],Inventari_2[[#This Row],[CODIGO]],Salidas[CANTIDAD])</f>
        <v>15</v>
      </c>
      <c r="G258" s="23">
        <f>Inventari_2[[#This Row],[STOCK DE LLEGADA]]+Inventari_2[[#This Row],[ENTRADA ]]-Inventari_2[[#This Row],[SALIDA]]</f>
        <v>9</v>
      </c>
      <c r="H258" s="13">
        <f>VLOOKUP(Inventari_2[[#This Row],[CODIGO]],Inventario[#All],9,FALSE)</f>
        <v>3000</v>
      </c>
      <c r="I258" s="13" t="str">
        <f>"*"&amp;Inventari_2[[#This Row],[CODIGO]]&amp;"*"</f>
        <v>*JUGUE-88111*</v>
      </c>
      <c r="J258" s="34" t="str">
        <f>Inventari_2[[#This Row],[COD]]</f>
        <v>*JUGUE-88111*</v>
      </c>
    </row>
    <row r="259" spans="1:10" ht="36.75" customHeight="1">
      <c r="A259" s="21" t="s">
        <v>769</v>
      </c>
      <c r="B259" s="21" t="s">
        <v>770</v>
      </c>
      <c r="C259" s="15" t="s">
        <v>44</v>
      </c>
      <c r="D259" s="185">
        <v>1</v>
      </c>
      <c r="E259" s="31">
        <f>SUMIF(Entrada[CODIGO],Inventari_2[[#This Row],[CODIGO]],Entrada[CANTIDAD])</f>
        <v>0</v>
      </c>
      <c r="F259" s="32">
        <f>SUMIF(Salidas[[CODIGO ]],Inventari_2[[#This Row],[CODIGO]],Salidas[CANTIDAD])</f>
        <v>1</v>
      </c>
      <c r="G259" s="23">
        <f>Inventari_2[[#This Row],[STOCK DE LLEGADA]]+Inventari_2[[#This Row],[ENTRADA ]]-Inventari_2[[#This Row],[SALIDA]]</f>
        <v>0</v>
      </c>
      <c r="H259" s="13">
        <f>VLOOKUP(Inventari_2[[#This Row],[CODIGO]],Inventario[#All],9,FALSE)</f>
        <v>40000</v>
      </c>
      <c r="I259" s="13" t="str">
        <f>"*"&amp;Inventari_2[[#This Row],[CODIGO]]&amp;"*"</f>
        <v>*POSI-002*</v>
      </c>
      <c r="J259" s="34" t="str">
        <f>Inventari_2[[#This Row],[COD]]</f>
        <v>*POSI-002*</v>
      </c>
    </row>
    <row r="260" spans="1:10" ht="36.75" customHeight="1">
      <c r="A260" s="209" t="s">
        <v>833</v>
      </c>
      <c r="B260" s="203" t="s">
        <v>834</v>
      </c>
      <c r="C260" s="204" t="s">
        <v>835</v>
      </c>
      <c r="D260" s="26">
        <v>3</v>
      </c>
      <c r="E260" s="31">
        <f>SUMIF(Entrada[CODIGO],Inventari_2[[#This Row],[CODIGO]],Entrada[CANTIDAD])</f>
        <v>0</v>
      </c>
      <c r="F260" s="32">
        <f>SUMIF(Salidas[[CODIGO ]],Inventari_2[[#This Row],[CODIGO]],Salidas[CANTIDAD])</f>
        <v>0</v>
      </c>
      <c r="G260" s="23">
        <f>Inventari_2[[#This Row],[STOCK DE LLEGADA]]+Inventari_2[[#This Row],[ENTRADA ]]-Inventari_2[[#This Row],[SALIDA]]</f>
        <v>3</v>
      </c>
      <c r="H260" s="13">
        <f>VLOOKUP(Inventari_2[[#This Row],[CODIGO]],Inventario[#All],9,FALSE)</f>
        <v>36000</v>
      </c>
      <c r="I260" s="13" t="str">
        <f>"*"&amp;Inventari_2[[#This Row],[CODIGO]]&amp;"*"</f>
        <v>*VARI-002233*</v>
      </c>
      <c r="J260" s="34" t="str">
        <f>Inventari_2[[#This Row],[COD]]</f>
        <v>*VARI-002233*</v>
      </c>
    </row>
    <row r="261" spans="1:10" ht="36.75" customHeight="1">
      <c r="A261" s="203" t="s">
        <v>837</v>
      </c>
      <c r="B261" s="203" t="s">
        <v>838</v>
      </c>
      <c r="C261" s="204" t="s">
        <v>835</v>
      </c>
      <c r="D261" s="26">
        <v>2</v>
      </c>
      <c r="E261" s="31">
        <f>SUMIF(Entrada[CODIGO],Inventari_2[[#This Row],[CODIGO]],Entrada[CANTIDAD])</f>
        <v>0</v>
      </c>
      <c r="F261" s="32">
        <f>SUMIF(Salidas[[CODIGO ]],Inventari_2[[#This Row],[CODIGO]],Salidas[CANTIDAD])</f>
        <v>0</v>
      </c>
      <c r="G261" s="23">
        <f>Inventari_2[[#This Row],[STOCK DE LLEGADA]]+Inventari_2[[#This Row],[ENTRADA ]]-Inventari_2[[#This Row],[SALIDA]]</f>
        <v>2</v>
      </c>
      <c r="H261" s="13">
        <f>VLOOKUP(Inventari_2[[#This Row],[CODIGO]],Inventario[#All],9,FALSE)</f>
        <v>36000</v>
      </c>
      <c r="I261" s="13" t="str">
        <f>"*"&amp;Inventari_2[[#This Row],[CODIGO]]&amp;"*"</f>
        <v>*VARI-002244*</v>
      </c>
      <c r="J261" s="34" t="str">
        <f>Inventari_2[[#This Row],[COD]]</f>
        <v>*VARI-002244*</v>
      </c>
    </row>
    <row r="262" spans="1:10" ht="36.75" customHeight="1">
      <c r="A262" s="203" t="s">
        <v>840</v>
      </c>
      <c r="B262" s="203" t="s">
        <v>723</v>
      </c>
      <c r="C262" s="204" t="s">
        <v>835</v>
      </c>
      <c r="D262" s="26">
        <v>1</v>
      </c>
      <c r="E262" s="31">
        <f>SUMIF(Entrada[CODIGO],Inventari_2[[#This Row],[CODIGO]],Entrada[CANTIDAD])</f>
        <v>0</v>
      </c>
      <c r="F262" s="32">
        <f>SUMIF(Salidas[[CODIGO ]],Inventari_2[[#This Row],[CODIGO]],Salidas[CANTIDAD])</f>
        <v>0</v>
      </c>
      <c r="G262" s="23">
        <f>Inventari_2[[#This Row],[STOCK DE LLEGADA]]+Inventari_2[[#This Row],[ENTRADA ]]-Inventari_2[[#This Row],[SALIDA]]</f>
        <v>1</v>
      </c>
      <c r="H262" s="13">
        <f>VLOOKUP(Inventari_2[[#This Row],[CODIGO]],Inventario[#All],9,FALSE)</f>
        <v>35000</v>
      </c>
      <c r="I262" s="13" t="str">
        <f>"*"&amp;Inventari_2[[#This Row],[CODIGO]]&amp;"*"</f>
        <v>*JUGUE-00888*</v>
      </c>
      <c r="J262" s="34" t="str">
        <f>Inventari_2[[#This Row],[COD]]</f>
        <v>*JUGUE-00888*</v>
      </c>
    </row>
    <row r="263" spans="1:10" ht="36.75" customHeight="1">
      <c r="A263" s="203" t="s">
        <v>842</v>
      </c>
      <c r="B263" s="203" t="s">
        <v>843</v>
      </c>
      <c r="C263" s="204" t="s">
        <v>835</v>
      </c>
      <c r="D263" s="26">
        <v>1</v>
      </c>
      <c r="E263" s="31">
        <f>SUMIF(Entrada[CODIGO],Inventari_2[[#This Row],[CODIGO]],Entrada[CANTIDAD])</f>
        <v>0</v>
      </c>
      <c r="F263" s="32">
        <f>SUMIF(Salidas[[CODIGO ]],Inventari_2[[#This Row],[CODIGO]],Salidas[CANTIDAD])</f>
        <v>0</v>
      </c>
      <c r="G263" s="23">
        <f>Inventari_2[[#This Row],[STOCK DE LLEGADA]]+Inventari_2[[#This Row],[ENTRADA ]]-Inventari_2[[#This Row],[SALIDA]]</f>
        <v>1</v>
      </c>
      <c r="H263" s="13">
        <f>VLOOKUP(Inventari_2[[#This Row],[CODIGO]],Inventario[#All],9,FALSE)</f>
        <v>25000</v>
      </c>
      <c r="I263" s="13" t="str">
        <f>"*"&amp;Inventari_2[[#This Row],[CODIGO]]&amp;"*"</f>
        <v>*VARI-85211*</v>
      </c>
      <c r="J263" s="34" t="str">
        <f>Inventari_2[[#This Row],[COD]]</f>
        <v>*VARI-85211*</v>
      </c>
    </row>
    <row r="264" spans="1:10" ht="36.75" customHeight="1">
      <c r="A264" s="203" t="s">
        <v>845</v>
      </c>
      <c r="B264" s="203" t="s">
        <v>848</v>
      </c>
      <c r="C264" s="204" t="s">
        <v>835</v>
      </c>
      <c r="D264" s="26">
        <v>1</v>
      </c>
      <c r="E264" s="31">
        <f>SUMIF(Entrada[CODIGO],Inventari_2[[#This Row],[CODIGO]],Entrada[CANTIDAD])</f>
        <v>0</v>
      </c>
      <c r="F264" s="32">
        <f>SUMIF(Salidas[[CODIGO ]],Inventari_2[[#This Row],[CODIGO]],Salidas[CANTIDAD])</f>
        <v>0</v>
      </c>
      <c r="G264" s="23">
        <f>Inventari_2[[#This Row],[STOCK DE LLEGADA]]+Inventari_2[[#This Row],[ENTRADA ]]-Inventari_2[[#This Row],[SALIDA]]</f>
        <v>1</v>
      </c>
      <c r="H264" s="13">
        <f>VLOOKUP(Inventari_2[[#This Row],[CODIGO]],Inventario[#All],9,FALSE)</f>
        <v>90000</v>
      </c>
      <c r="I264" s="13" t="str">
        <f>"*"&amp;Inventari_2[[#This Row],[CODIGO]]&amp;"*"</f>
        <v>*JUGUE-888663*</v>
      </c>
      <c r="J264" s="34" t="str">
        <f>Inventari_2[[#This Row],[COD]]</f>
        <v>*JUGUE-888663*</v>
      </c>
    </row>
    <row r="265" spans="1:10" ht="36.75" customHeight="1">
      <c r="A265" s="203" t="s">
        <v>847</v>
      </c>
      <c r="B265" s="203" t="s">
        <v>849</v>
      </c>
      <c r="C265" s="204" t="s">
        <v>52</v>
      </c>
      <c r="D265" s="26">
        <v>2</v>
      </c>
      <c r="E265" s="31">
        <f>SUMIF(Entrada[CODIGO],Inventari_2[[#This Row],[CODIGO]],Entrada[CANTIDAD])</f>
        <v>0</v>
      </c>
      <c r="F265" s="32">
        <f>SUMIF(Salidas[[CODIGO ]],Inventari_2[[#This Row],[CODIGO]],Salidas[CANTIDAD])</f>
        <v>0</v>
      </c>
      <c r="G265" s="23">
        <f>Inventari_2[[#This Row],[STOCK DE LLEGADA]]+Inventari_2[[#This Row],[ENTRADA ]]-Inventari_2[[#This Row],[SALIDA]]</f>
        <v>2</v>
      </c>
      <c r="H265" s="13">
        <f>VLOOKUP(Inventari_2[[#This Row],[CODIGO]],Inventario[#All],9,FALSE)</f>
        <v>30000</v>
      </c>
      <c r="I265" s="13" t="str">
        <f>"*"&amp;Inventari_2[[#This Row],[CODIGO]]&amp;"*"</f>
        <v>*VARI-85522*</v>
      </c>
      <c r="J265" s="34" t="str">
        <f>Inventari_2[[#This Row],[COD]]</f>
        <v>*VARI-85522*</v>
      </c>
    </row>
    <row r="266" spans="1:10" ht="36.75" customHeight="1">
      <c r="A266" s="203" t="s">
        <v>851</v>
      </c>
      <c r="B266" s="203" t="s">
        <v>852</v>
      </c>
      <c r="C266" s="204" t="s">
        <v>52</v>
      </c>
      <c r="D266" s="26">
        <v>1</v>
      </c>
      <c r="E266" s="31">
        <f>SUMIF(Entrada[CODIGO],Inventari_2[[#This Row],[CODIGO]],Entrada[CANTIDAD])</f>
        <v>0</v>
      </c>
      <c r="F266" s="32">
        <f>SUMIF(Salidas[[CODIGO ]],Inventari_2[[#This Row],[CODIGO]],Salidas[CANTIDAD])</f>
        <v>0</v>
      </c>
      <c r="G266" s="23">
        <f>Inventari_2[[#This Row],[STOCK DE LLEGADA]]+Inventari_2[[#This Row],[ENTRADA ]]-Inventari_2[[#This Row],[SALIDA]]</f>
        <v>1</v>
      </c>
      <c r="H266" s="13">
        <f>VLOOKUP(Inventari_2[[#This Row],[CODIGO]],Inventario[#All],9,FALSE)</f>
        <v>60000</v>
      </c>
      <c r="I266" s="13" t="str">
        <f>"*"&amp;Inventari_2[[#This Row],[CODIGO]]&amp;"*"</f>
        <v>*VARI-888000*</v>
      </c>
      <c r="J266" s="34" t="str">
        <f>Inventari_2[[#This Row],[COD]]</f>
        <v>*VARI-888000*</v>
      </c>
    </row>
    <row r="267" spans="1:10" ht="36.75" customHeight="1">
      <c r="A267" s="203">
        <v>6941848255204</v>
      </c>
      <c r="B267" s="203" t="s">
        <v>854</v>
      </c>
      <c r="C267" s="204" t="s">
        <v>52</v>
      </c>
      <c r="D267" s="26">
        <v>3</v>
      </c>
      <c r="E267" s="31">
        <f>SUMIF(Entrada[CODIGO],Inventari_2[[#This Row],[CODIGO]],Entrada[CANTIDAD])</f>
        <v>0</v>
      </c>
      <c r="F267" s="32">
        <f>SUMIF(Salidas[[CODIGO ]],Inventari_2[[#This Row],[CODIGO]],Salidas[CANTIDAD])</f>
        <v>0</v>
      </c>
      <c r="G267" s="23">
        <f>Inventari_2[[#This Row],[STOCK DE LLEGADA]]+Inventari_2[[#This Row],[ENTRADA ]]-Inventari_2[[#This Row],[SALIDA]]</f>
        <v>3</v>
      </c>
      <c r="H267" s="13">
        <f>VLOOKUP(Inventari_2[[#This Row],[CODIGO]],Inventario[#All],9,FALSE)</f>
        <v>50000</v>
      </c>
      <c r="I267" s="13" t="str">
        <f>"*"&amp;Inventari_2[[#This Row],[CODIGO]]&amp;"*"</f>
        <v>*6941848255204*</v>
      </c>
      <c r="J267" s="34" t="str">
        <f>Inventari_2[[#This Row],[COD]]</f>
        <v>*6941848255204*</v>
      </c>
    </row>
    <row r="268" spans="1:10" ht="36.75" customHeight="1">
      <c r="A268" s="21">
        <v>6956578562348</v>
      </c>
      <c r="B268" s="203" t="s">
        <v>855</v>
      </c>
      <c r="C268" s="204" t="s">
        <v>52</v>
      </c>
      <c r="D268" s="26">
        <v>12</v>
      </c>
      <c r="E268" s="31">
        <f>SUMIF(Entrada[CODIGO],Inventari_2[[#This Row],[CODIGO]],Entrada[CANTIDAD])</f>
        <v>0</v>
      </c>
      <c r="F268" s="32">
        <f>SUMIF(Salidas[[CODIGO ]],Inventari_2[[#This Row],[CODIGO]],Salidas[CANTIDAD])</f>
        <v>0</v>
      </c>
      <c r="G268" s="23">
        <f>Inventari_2[[#This Row],[STOCK DE LLEGADA]]+Inventari_2[[#This Row],[ENTRADA ]]-Inventari_2[[#This Row],[SALIDA]]</f>
        <v>12</v>
      </c>
      <c r="H268" s="13">
        <f>VLOOKUP(Inventari_2[[#This Row],[CODIGO]],Inventario[#All],9,FALSE)</f>
        <v>3000</v>
      </c>
      <c r="I268" s="13" t="str">
        <f>"*"&amp;Inventari_2[[#This Row],[CODIGO]]&amp;"*"</f>
        <v>*6956578562348*</v>
      </c>
      <c r="J268" s="34" t="str">
        <f>Inventari_2[[#This Row],[COD]]</f>
        <v>*6956578562348*</v>
      </c>
    </row>
    <row r="269" spans="1:10" ht="36.75" customHeight="1">
      <c r="A269" s="203" t="s">
        <v>857</v>
      </c>
      <c r="B269" s="203" t="s">
        <v>858</v>
      </c>
      <c r="C269" s="204" t="s">
        <v>52</v>
      </c>
      <c r="D269" s="26">
        <v>3</v>
      </c>
      <c r="E269" s="31">
        <f>SUMIF(Entrada[CODIGO],Inventari_2[[#This Row],[CODIGO]],Entrada[CANTIDAD])</f>
        <v>0</v>
      </c>
      <c r="F269" s="32">
        <f>SUMIF(Salidas[[CODIGO ]],Inventari_2[[#This Row],[CODIGO]],Salidas[CANTIDAD])</f>
        <v>0</v>
      </c>
      <c r="G269" s="23">
        <f>Inventari_2[[#This Row],[STOCK DE LLEGADA]]+Inventari_2[[#This Row],[ENTRADA ]]-Inventari_2[[#This Row],[SALIDA]]</f>
        <v>3</v>
      </c>
      <c r="H269" s="13">
        <f>VLOOKUP(Inventari_2[[#This Row],[CODIGO]],Inventario[#All],9,FALSE)</f>
        <v>8000</v>
      </c>
      <c r="I269" s="13" t="str">
        <f>"*"&amp;Inventari_2[[#This Row],[CODIGO]]&amp;"*"</f>
        <v>*VARI-882000*</v>
      </c>
      <c r="J269" s="34" t="str">
        <f>Inventari_2[[#This Row],[COD]]</f>
        <v>*VARI-882000*</v>
      </c>
    </row>
    <row r="270" spans="1:10" ht="36.75" customHeight="1">
      <c r="A270" s="21">
        <v>2024032910203</v>
      </c>
      <c r="B270" s="203" t="s">
        <v>713</v>
      </c>
      <c r="C270" s="204" t="s">
        <v>52</v>
      </c>
      <c r="D270" s="26">
        <v>1</v>
      </c>
      <c r="E270" s="31">
        <f>SUMIF(Entrada[CODIGO],Inventari_2[[#This Row],[CODIGO]],Entrada[CANTIDAD])</f>
        <v>0</v>
      </c>
      <c r="F270" s="32">
        <f>SUMIF(Salidas[[CODIGO ]],Inventari_2[[#This Row],[CODIGO]],Salidas[CANTIDAD])</f>
        <v>0</v>
      </c>
      <c r="G270" s="23">
        <f>Inventari_2[[#This Row],[STOCK DE LLEGADA]]+Inventari_2[[#This Row],[ENTRADA ]]-Inventari_2[[#This Row],[SALIDA]]</f>
        <v>1</v>
      </c>
      <c r="H270" s="13">
        <f>VLOOKUP(Inventari_2[[#This Row],[CODIGO]],Inventario[#All],9,FALSE)</f>
        <v>60000</v>
      </c>
      <c r="I270" s="13" t="str">
        <f>"*"&amp;Inventari_2[[#This Row],[CODIGO]]&amp;"*"</f>
        <v>*2024032910203*</v>
      </c>
      <c r="J270" s="34" t="str">
        <f>Inventari_2[[#This Row],[COD]]</f>
        <v>*2024032910203*</v>
      </c>
    </row>
    <row r="271" spans="1:10" ht="36.75" customHeight="1">
      <c r="A271" s="21">
        <v>8657954690096</v>
      </c>
      <c r="B271" s="203" t="s">
        <v>860</v>
      </c>
      <c r="C271" s="204" t="s">
        <v>25</v>
      </c>
      <c r="D271" s="26">
        <v>1</v>
      </c>
      <c r="E271" s="31">
        <f>SUMIF(Entrada[CODIGO],Inventari_2[[#This Row],[CODIGO]],Entrada[CANTIDAD])</f>
        <v>0</v>
      </c>
      <c r="F271" s="32">
        <f>SUMIF(Salidas[[CODIGO ]],Inventari_2[[#This Row],[CODIGO]],Salidas[CANTIDAD])</f>
        <v>0</v>
      </c>
      <c r="G271" s="23">
        <f>Inventari_2[[#This Row],[STOCK DE LLEGADA]]+Inventari_2[[#This Row],[ENTRADA ]]-Inventari_2[[#This Row],[SALIDA]]</f>
        <v>1</v>
      </c>
      <c r="H271" s="13">
        <f>VLOOKUP(Inventari_2[[#This Row],[CODIGO]],Inventario[#All],9,FALSE)</f>
        <v>25000</v>
      </c>
      <c r="I271" s="13" t="str">
        <f>"*"&amp;Inventari_2[[#This Row],[CODIGO]]&amp;"*"</f>
        <v>*8657954690096*</v>
      </c>
      <c r="J271" s="34" t="str">
        <f>Inventari_2[[#This Row],[COD]]</f>
        <v>*8657954690096*</v>
      </c>
    </row>
    <row r="272" spans="1:10" ht="36.75" customHeight="1">
      <c r="A272" s="21">
        <v>8220130002541</v>
      </c>
      <c r="B272" s="203" t="s">
        <v>862</v>
      </c>
      <c r="C272" s="204" t="s">
        <v>25</v>
      </c>
      <c r="D272" s="26">
        <v>1</v>
      </c>
      <c r="E272" s="31">
        <f>SUMIF(Entrada[CODIGO],Inventari_2[[#This Row],[CODIGO]],Entrada[CANTIDAD])</f>
        <v>0</v>
      </c>
      <c r="F272" s="32">
        <f>SUMIF(Salidas[[CODIGO ]],Inventari_2[[#This Row],[CODIGO]],Salidas[CANTIDAD])</f>
        <v>0</v>
      </c>
      <c r="G272" s="23">
        <f>Inventari_2[[#This Row],[STOCK DE LLEGADA]]+Inventari_2[[#This Row],[ENTRADA ]]-Inventari_2[[#This Row],[SALIDA]]</f>
        <v>1</v>
      </c>
      <c r="H272" s="13">
        <f>VLOOKUP(Inventari_2[[#This Row],[CODIGO]],Inventario[#All],9,FALSE)</f>
        <v>20000</v>
      </c>
      <c r="I272" s="13" t="str">
        <f>"*"&amp;Inventari_2[[#This Row],[CODIGO]]&amp;"*"</f>
        <v>*8220130002541*</v>
      </c>
      <c r="J272" s="34" t="str">
        <f>Inventari_2[[#This Row],[COD]]</f>
        <v>*8220130002541*</v>
      </c>
    </row>
    <row r="273" spans="1:10" ht="36.75" customHeight="1">
      <c r="A273" s="21">
        <v>6978054580097</v>
      </c>
      <c r="B273" s="203" t="s">
        <v>864</v>
      </c>
      <c r="C273" s="204" t="s">
        <v>25</v>
      </c>
      <c r="D273" s="26">
        <v>2</v>
      </c>
      <c r="E273" s="31">
        <f>SUMIF(Entrada[CODIGO],Inventari_2[[#This Row],[CODIGO]],Entrada[CANTIDAD])</f>
        <v>0</v>
      </c>
      <c r="F273" s="32">
        <f>SUMIF(Salidas[[CODIGO ]],Inventari_2[[#This Row],[CODIGO]],Salidas[CANTIDAD])</f>
        <v>0</v>
      </c>
      <c r="G273" s="23">
        <f>Inventari_2[[#This Row],[STOCK DE LLEGADA]]+Inventari_2[[#This Row],[ENTRADA ]]-Inventari_2[[#This Row],[SALIDA]]</f>
        <v>2</v>
      </c>
      <c r="H273" s="13">
        <f>VLOOKUP(Inventari_2[[#This Row],[CODIGO]],Inventario[#All],9,FALSE)</f>
        <v>16000</v>
      </c>
      <c r="I273" s="13" t="str">
        <f>"*"&amp;Inventari_2[[#This Row],[CODIGO]]&amp;"*"</f>
        <v>*6978054580097*</v>
      </c>
      <c r="J273" s="34" t="str">
        <f>Inventari_2[[#This Row],[COD]]</f>
        <v>*6978054580097*</v>
      </c>
    </row>
    <row r="274" spans="1:10" ht="36.75" customHeight="1">
      <c r="A274" s="203" t="s">
        <v>866</v>
      </c>
      <c r="B274" s="203" t="s">
        <v>867</v>
      </c>
      <c r="C274" s="204" t="s">
        <v>25</v>
      </c>
      <c r="D274" s="26">
        <v>3</v>
      </c>
      <c r="E274" s="31">
        <f>SUMIF(Entrada[CODIGO],Inventari_2[[#This Row],[CODIGO]],Entrada[CANTIDAD])</f>
        <v>0</v>
      </c>
      <c r="F274" s="32">
        <f>SUMIF(Salidas[[CODIGO ]],Inventari_2[[#This Row],[CODIGO]],Salidas[CANTIDAD])</f>
        <v>0</v>
      </c>
      <c r="G274" s="23">
        <f>Inventari_2[[#This Row],[STOCK DE LLEGADA]]+Inventari_2[[#This Row],[ENTRADA ]]-Inventari_2[[#This Row],[SALIDA]]</f>
        <v>3</v>
      </c>
      <c r="H274" s="13">
        <f>VLOOKUP(Inventari_2[[#This Row],[CODIGO]],Inventario[#All],9,FALSE)</f>
        <v>15000</v>
      </c>
      <c r="I274" s="13" t="str">
        <f>"*"&amp;Inventari_2[[#This Row],[CODIGO]]&amp;"*"</f>
        <v>*VARI-044*</v>
      </c>
      <c r="J274" s="34" t="str">
        <f>Inventari_2[[#This Row],[COD]]</f>
        <v>*VARI-044*</v>
      </c>
    </row>
    <row r="275" spans="1:10" ht="36.75" customHeight="1">
      <c r="A275" s="203" t="s">
        <v>869</v>
      </c>
      <c r="B275" s="203" t="s">
        <v>870</v>
      </c>
      <c r="C275" s="204" t="s">
        <v>25</v>
      </c>
      <c r="D275" s="26">
        <v>1</v>
      </c>
      <c r="E275" s="31">
        <f>SUMIF(Entrada[CODIGO],Inventari_2[[#This Row],[CODIGO]],Entrada[CANTIDAD])</f>
        <v>0</v>
      </c>
      <c r="F275" s="32">
        <f>SUMIF(Salidas[[CODIGO ]],Inventari_2[[#This Row],[CODIGO]],Salidas[CANTIDAD])</f>
        <v>0</v>
      </c>
      <c r="G275" s="23">
        <f>Inventari_2[[#This Row],[STOCK DE LLEGADA]]+Inventari_2[[#This Row],[ENTRADA ]]-Inventari_2[[#This Row],[SALIDA]]</f>
        <v>1</v>
      </c>
      <c r="H275" s="13">
        <f>VLOOKUP(Inventari_2[[#This Row],[CODIGO]],Inventario[#All],9,FALSE)</f>
        <v>15000</v>
      </c>
      <c r="I275" s="13" t="str">
        <f>"*"&amp;Inventari_2[[#This Row],[CODIGO]]&amp;"*"</f>
        <v>*ESCP-85822*</v>
      </c>
      <c r="J275" s="34" t="str">
        <f>Inventari_2[[#This Row],[COD]]</f>
        <v>*ESCP-85822*</v>
      </c>
    </row>
    <row r="276" spans="1:10" ht="36.75" customHeight="1">
      <c r="A276" s="203">
        <v>6957615168288</v>
      </c>
      <c r="B276" s="203" t="s">
        <v>872</v>
      </c>
      <c r="C276" s="204" t="s">
        <v>25</v>
      </c>
      <c r="D276" s="26">
        <v>3</v>
      </c>
      <c r="E276" s="31">
        <f>SUMIF(Entrada[CODIGO],Inventari_2[[#This Row],[CODIGO]],Entrada[CANTIDAD])</f>
        <v>0</v>
      </c>
      <c r="F276" s="32">
        <f>SUMIF(Salidas[[CODIGO ]],Inventari_2[[#This Row],[CODIGO]],Salidas[CANTIDAD])</f>
        <v>0</v>
      </c>
      <c r="G276" s="23">
        <f>Inventari_2[[#This Row],[STOCK DE LLEGADA]]+Inventari_2[[#This Row],[ENTRADA ]]-Inventari_2[[#This Row],[SALIDA]]</f>
        <v>3</v>
      </c>
      <c r="H276" s="13">
        <f>VLOOKUP(Inventari_2[[#This Row],[CODIGO]],Inventario[#All],9,FALSE)</f>
        <v>6000</v>
      </c>
      <c r="I276" s="13" t="str">
        <f>"*"&amp;Inventari_2[[#This Row],[CODIGO]]&amp;"*"</f>
        <v>*6957615168288*</v>
      </c>
      <c r="J276" s="34" t="str">
        <f>Inventari_2[[#This Row],[COD]]</f>
        <v>*6957615168288*</v>
      </c>
    </row>
    <row r="277" spans="1:10" ht="36.75" customHeight="1">
      <c r="A277" s="21">
        <v>6965482363910</v>
      </c>
      <c r="B277" s="203" t="s">
        <v>874</v>
      </c>
      <c r="C277" s="204" t="s">
        <v>25</v>
      </c>
      <c r="D277" s="26">
        <v>3</v>
      </c>
      <c r="E277" s="31">
        <f>SUMIF(Entrada[CODIGO],Inventari_2[[#This Row],[CODIGO]],Entrada[CANTIDAD])</f>
        <v>0</v>
      </c>
      <c r="F277" s="32">
        <f>SUMIF(Salidas[[CODIGO ]],Inventari_2[[#This Row],[CODIGO]],Salidas[CANTIDAD])</f>
        <v>0</v>
      </c>
      <c r="G277" s="23">
        <f>Inventari_2[[#This Row],[STOCK DE LLEGADA]]+Inventari_2[[#This Row],[ENTRADA ]]-Inventari_2[[#This Row],[SALIDA]]</f>
        <v>3</v>
      </c>
      <c r="H277" s="13">
        <f>VLOOKUP(Inventari_2[[#This Row],[CODIGO]],Inventario[#All],9,FALSE)</f>
        <v>15000</v>
      </c>
      <c r="I277" s="13" t="str">
        <f>"*"&amp;Inventari_2[[#This Row],[CODIGO]]&amp;"*"</f>
        <v>*6965482363910*</v>
      </c>
      <c r="J277" s="34" t="str">
        <f>Inventari_2[[#This Row],[COD]]</f>
        <v>*6965482363910*</v>
      </c>
    </row>
    <row r="278" spans="1:10" ht="36.75" customHeight="1">
      <c r="A278" s="21">
        <v>6911223455666</v>
      </c>
      <c r="B278" s="203" t="s">
        <v>876</v>
      </c>
      <c r="C278" s="204" t="s">
        <v>25</v>
      </c>
      <c r="D278" s="26">
        <v>4</v>
      </c>
      <c r="E278" s="31">
        <f>SUMIF(Entrada[CODIGO],Inventari_2[[#This Row],[CODIGO]],Entrada[CANTIDAD])</f>
        <v>0</v>
      </c>
      <c r="F278" s="32">
        <f>SUMIF(Salidas[[CODIGO ]],Inventari_2[[#This Row],[CODIGO]],Salidas[CANTIDAD])</f>
        <v>0</v>
      </c>
      <c r="G278" s="23">
        <f>Inventari_2[[#This Row],[STOCK DE LLEGADA]]+Inventari_2[[#This Row],[ENTRADA ]]-Inventari_2[[#This Row],[SALIDA]]</f>
        <v>4</v>
      </c>
      <c r="H278" s="13">
        <f>VLOOKUP(Inventari_2[[#This Row],[CODIGO]],Inventario[#All],9,FALSE)</f>
        <v>9000</v>
      </c>
      <c r="I278" s="13" t="str">
        <f>"*"&amp;Inventari_2[[#This Row],[CODIGO]]&amp;"*"</f>
        <v>*6911223455666*</v>
      </c>
      <c r="J278" s="34" t="str">
        <f>Inventari_2[[#This Row],[COD]]</f>
        <v>*6911223455666*</v>
      </c>
    </row>
    <row r="279" spans="1:10" ht="36.75" customHeight="1">
      <c r="A279" s="35">
        <v>6988562966160</v>
      </c>
      <c r="B279" s="214" t="s">
        <v>878</v>
      </c>
      <c r="C279" s="215" t="s">
        <v>25</v>
      </c>
      <c r="D279" s="37">
        <v>2</v>
      </c>
      <c r="E279" s="31">
        <f>SUMIF(Entrada[CODIGO],Inventari_2[[#This Row],[CODIGO]],Entrada[CANTIDAD])</f>
        <v>0</v>
      </c>
      <c r="F279" s="32">
        <f>SUMIF(Salidas[[CODIGO ]],Inventari_2[[#This Row],[CODIGO]],Salidas[CANTIDAD])</f>
        <v>0</v>
      </c>
      <c r="G279" s="23">
        <f>Inventari_2[[#This Row],[STOCK DE LLEGADA]]+Inventari_2[[#This Row],[ENTRADA ]]-Inventari_2[[#This Row],[SALIDA]]</f>
        <v>2</v>
      </c>
      <c r="H279" s="13">
        <f>VLOOKUP(Inventari_2[[#This Row],[CODIGO]],Inventario[#All],9,FALSE)</f>
        <v>7000</v>
      </c>
      <c r="I279" s="13" t="str">
        <f>"*"&amp;Inventari_2[[#This Row],[CODIGO]]&amp;"*"</f>
        <v>*6988562966160*</v>
      </c>
      <c r="J279" s="34" t="str">
        <f>Inventari_2[[#This Row],[COD]]</f>
        <v>*6988562966160*</v>
      </c>
    </row>
    <row r="280" spans="1:10" ht="36.75" customHeight="1">
      <c r="A280" s="203">
        <v>6962365301007</v>
      </c>
      <c r="B280" s="203" t="s">
        <v>879</v>
      </c>
      <c r="C280" s="204" t="s">
        <v>25</v>
      </c>
      <c r="D280" s="26">
        <v>11</v>
      </c>
      <c r="E280" s="31">
        <f>SUMIF(Entrada[CODIGO],Inventari_2[[#This Row],[CODIGO]],Entrada[CANTIDAD])</f>
        <v>0</v>
      </c>
      <c r="F280" s="32">
        <f>SUMIF(Salidas[[CODIGO ]],Inventari_2[[#This Row],[CODIGO]],Salidas[CANTIDAD])</f>
        <v>0</v>
      </c>
      <c r="G280" s="23">
        <f>Inventari_2[[#This Row],[STOCK DE LLEGADA]]+Inventari_2[[#This Row],[ENTRADA ]]-Inventari_2[[#This Row],[SALIDA]]</f>
        <v>11</v>
      </c>
      <c r="H280" s="13">
        <f>VLOOKUP(Inventari_2[[#This Row],[CODIGO]],Inventario[#All],9,FALSE)</f>
        <v>3000</v>
      </c>
      <c r="I280" s="13" t="str">
        <f>"*"&amp;Inventari_2[[#This Row],[CODIGO]]&amp;"*"</f>
        <v>*6962365301007*</v>
      </c>
      <c r="J280" s="34" t="str">
        <f>Inventari_2[[#This Row],[COD]]</f>
        <v>*6962365301007*</v>
      </c>
    </row>
    <row r="281" spans="1:10" ht="36.75" customHeight="1">
      <c r="A281" s="216" t="s">
        <v>884</v>
      </c>
      <c r="B281" s="142" t="s">
        <v>96</v>
      </c>
      <c r="C281" s="123" t="s">
        <v>52</v>
      </c>
      <c r="D281" s="220" t="s">
        <v>781</v>
      </c>
      <c r="E281" s="31">
        <f>SUMIF(Entrada[CODIGO],Inventari_2[[#This Row],[CODIGO]],Entrada[CANTIDAD])</f>
        <v>0</v>
      </c>
      <c r="F281" s="32">
        <f>SUMIF(Salidas[[CODIGO ]],Inventari_2[[#This Row],[CODIGO]],Salidas[CANTIDAD])</f>
        <v>0</v>
      </c>
      <c r="G281" s="23">
        <f>Inventari_2[[#This Row],[STOCK DE LLEGADA]]+Inventari_2[[#This Row],[ENTRADA ]]-Inventari_2[[#This Row],[SALIDA]]</f>
        <v>1</v>
      </c>
      <c r="H281" s="13">
        <f>VLOOKUP(Inventari_2[[#This Row],[CODIGO]],Inventario[#All],9,FALSE)</f>
        <v>90000</v>
      </c>
      <c r="I281" s="13" t="str">
        <f>"*"&amp;Inventari_2[[#This Row],[CODIGO]]&amp;"*"</f>
        <v>*ESCP'44882*</v>
      </c>
      <c r="J281" s="34" t="str">
        <f>Inventari_2[[#This Row],[COD]]</f>
        <v>*ESCP'44882*</v>
      </c>
    </row>
    <row r="282" spans="1:10" ht="36.75" customHeight="1">
      <c r="A282" s="227" t="s">
        <v>902</v>
      </c>
      <c r="B282" s="144" t="s">
        <v>217</v>
      </c>
      <c r="C282" s="124" t="s">
        <v>12</v>
      </c>
      <c r="D282" s="220" t="s">
        <v>787</v>
      </c>
      <c r="E282" s="31">
        <f>SUMIF(Entrada[CODIGO],Inventari_2[[#This Row],[CODIGO]],Entrada[CANTIDAD])</f>
        <v>0</v>
      </c>
      <c r="F282" s="32">
        <f>SUMIF(Salidas[[CODIGO ]],Inventari_2[[#This Row],[CODIGO]],Salidas[CANTIDAD])</f>
        <v>0</v>
      </c>
      <c r="G282" s="23">
        <f>Inventari_2[[#This Row],[STOCK DE LLEGADA]]+Inventari_2[[#This Row],[ENTRADA ]]-Inventari_2[[#This Row],[SALIDA]]</f>
        <v>2</v>
      </c>
      <c r="H282" s="13">
        <f>VLOOKUP(Inventari_2[[#This Row],[CODIGO]],Inventario[#All],9,FALSE)</f>
        <v>30000</v>
      </c>
      <c r="I282" s="13" t="str">
        <f>"*"&amp;Inventari_2[[#This Row],[CODIGO]]&amp;"*"</f>
        <v>*MAQU'0022544*</v>
      </c>
      <c r="J282" s="34" t="str">
        <f>Inventari_2[[#This Row],[COD]]</f>
        <v>*MAQU'0022544*</v>
      </c>
    </row>
    <row r="283" spans="1:10" ht="36.75" customHeight="1">
      <c r="A283" s="21">
        <v>6971354490882</v>
      </c>
      <c r="B283" s="240" t="s">
        <v>912</v>
      </c>
      <c r="C283" s="241" t="s">
        <v>25</v>
      </c>
      <c r="D283" s="242" t="s">
        <v>780</v>
      </c>
      <c r="E283" s="31">
        <f>SUMIF(Entrada[CODIGO],Inventari_2[[#This Row],[CODIGO]],Entrada[CANTIDAD])</f>
        <v>0</v>
      </c>
      <c r="F283" s="32">
        <f>SUMIF(Salidas[[CODIGO ]],Inventari_2[[#This Row],[CODIGO]],Salidas[CANTIDAD])</f>
        <v>0</v>
      </c>
      <c r="G283" s="23">
        <f>Inventari_2[[#This Row],[STOCK DE LLEGADA]]+Inventari_2[[#This Row],[ENTRADA ]]-Inventari_2[[#This Row],[SALIDA]]</f>
        <v>3</v>
      </c>
      <c r="H283" s="13">
        <f>VLOOKUP(Inventari_2[[#This Row],[CODIGO]],Inventario[#All],9,FALSE)</f>
        <v>8000</v>
      </c>
      <c r="I283" s="13" t="str">
        <f>"*"&amp;Inventari_2[[#This Row],[CODIGO]]&amp;"*"</f>
        <v>*6971354490882*</v>
      </c>
      <c r="J283" s="34" t="str">
        <f>Inventari_2[[#This Row],[COD]]</f>
        <v>*6971354490882*</v>
      </c>
    </row>
    <row r="284" spans="1:10" ht="36.75" customHeight="1">
      <c r="A284" s="245" t="s">
        <v>914</v>
      </c>
      <c r="B284" s="243" t="s">
        <v>916</v>
      </c>
      <c r="C284" s="244" t="s">
        <v>915</v>
      </c>
      <c r="D284" s="26">
        <v>1</v>
      </c>
      <c r="E284" s="31">
        <f>SUMIF(Entrada[CODIGO],Inventari_2[[#This Row],[CODIGO]],Entrada[CANTIDAD])</f>
        <v>0</v>
      </c>
      <c r="F284" s="32">
        <f>SUMIF(Salidas[[CODIGO ]],Inventari_2[[#This Row],[CODIGO]],Salidas[CANTIDAD])</f>
        <v>0</v>
      </c>
      <c r="G284" s="23">
        <f>Inventari_2[[#This Row],[STOCK DE LLEGADA]]+Inventari_2[[#This Row],[ENTRADA ]]-Inventari_2[[#This Row],[SALIDA]]</f>
        <v>1</v>
      </c>
      <c r="H284" s="13">
        <f>VLOOKUP(Inventari_2[[#This Row],[CODIGO]],Inventario[#All],9,FALSE)</f>
        <v>20000</v>
      </c>
      <c r="I284" s="13" t="str">
        <f>"*"&amp;Inventari_2[[#This Row],[CODIGO]]&amp;"*"</f>
        <v>*VARI-2588*</v>
      </c>
      <c r="J284" s="34" t="str">
        <f>Inventari_2[[#This Row],[COD]]</f>
        <v>*VARI-2588*</v>
      </c>
    </row>
    <row r="285" spans="1:10" ht="36.75" customHeight="1">
      <c r="A285" s="21">
        <v>6970104071197</v>
      </c>
      <c r="B285" s="243" t="s">
        <v>918</v>
      </c>
      <c r="C285" s="244" t="s">
        <v>915</v>
      </c>
      <c r="D285" s="26">
        <v>1</v>
      </c>
      <c r="E285" s="31">
        <f>SUMIF(Entrada[CODIGO],Inventari_2[[#This Row],[CODIGO]],Entrada[CANTIDAD])</f>
        <v>0</v>
      </c>
      <c r="F285" s="32">
        <f>SUMIF(Salidas[[CODIGO ]],Inventari_2[[#This Row],[CODIGO]],Salidas[CANTIDAD])</f>
        <v>0</v>
      </c>
      <c r="G285" s="23">
        <f>Inventari_2[[#This Row],[STOCK DE LLEGADA]]+Inventari_2[[#This Row],[ENTRADA ]]-Inventari_2[[#This Row],[SALIDA]]</f>
        <v>1</v>
      </c>
      <c r="H285" s="13">
        <f>VLOOKUP(Inventari_2[[#This Row],[CODIGO]],Inventario[#All],9,FALSE)</f>
        <v>15000</v>
      </c>
      <c r="I285" s="13" t="str">
        <f>"*"&amp;Inventari_2[[#This Row],[CODIGO]]&amp;"*"</f>
        <v>*6970104071197*</v>
      </c>
      <c r="J285" s="34" t="str">
        <f>Inventari_2[[#This Row],[COD]]</f>
        <v>*6970104071197*</v>
      </c>
    </row>
    <row r="286" spans="1:10" ht="36.75" customHeight="1">
      <c r="A286" s="21">
        <v>6970323261867</v>
      </c>
      <c r="B286" s="243" t="s">
        <v>920</v>
      </c>
      <c r="C286" s="244" t="s">
        <v>915</v>
      </c>
      <c r="D286" s="26">
        <v>2</v>
      </c>
      <c r="E286" s="31">
        <f>SUMIF(Entrada[CODIGO],Inventari_2[[#This Row],[CODIGO]],Entrada[CANTIDAD])</f>
        <v>0</v>
      </c>
      <c r="F286" s="32">
        <f>SUMIF(Salidas[[CODIGO ]],Inventari_2[[#This Row],[CODIGO]],Salidas[CANTIDAD])</f>
        <v>0</v>
      </c>
      <c r="G286" s="23">
        <f>Inventari_2[[#This Row],[STOCK DE LLEGADA]]+Inventari_2[[#This Row],[ENTRADA ]]-Inventari_2[[#This Row],[SALIDA]]</f>
        <v>2</v>
      </c>
      <c r="H286" s="13">
        <f>VLOOKUP(Inventari_2[[#This Row],[CODIGO]],Inventario[#All],9,FALSE)</f>
        <v>20000</v>
      </c>
      <c r="I286" s="13" t="str">
        <f>"*"&amp;Inventari_2[[#This Row],[CODIGO]]&amp;"*"</f>
        <v>*6970323261867*</v>
      </c>
      <c r="J286" s="34" t="str">
        <f>Inventari_2[[#This Row],[COD]]</f>
        <v>*6970323261867*</v>
      </c>
    </row>
    <row r="287" spans="1:10" ht="36.75" customHeight="1">
      <c r="A287" s="243" t="s">
        <v>943</v>
      </c>
      <c r="B287" s="243" t="s">
        <v>922</v>
      </c>
      <c r="C287" s="244" t="s">
        <v>915</v>
      </c>
      <c r="D287" s="26">
        <v>1</v>
      </c>
      <c r="E287" s="31">
        <f>SUMIF(Entrada[CODIGO],Inventari_2[[#This Row],[CODIGO]],Entrada[CANTIDAD])</f>
        <v>0</v>
      </c>
      <c r="F287" s="32">
        <f>SUMIF(Salidas[[CODIGO ]],Inventari_2[[#This Row],[CODIGO]],Salidas[CANTIDAD])</f>
        <v>0</v>
      </c>
      <c r="G287" s="23">
        <f>Inventari_2[[#This Row],[STOCK DE LLEGADA]]+Inventari_2[[#This Row],[ENTRADA ]]-Inventari_2[[#This Row],[SALIDA]]</f>
        <v>1</v>
      </c>
      <c r="H287" s="13">
        <f>VLOOKUP(Inventari_2[[#This Row],[CODIGO]],Inventario[#All],9,FALSE)</f>
        <v>25000</v>
      </c>
      <c r="I287" s="22" t="str">
        <f>"*"&amp;Inventari_2[[#This Row],[CODIGO]]&amp;"*"</f>
        <v>*VARI'82027*</v>
      </c>
      <c r="J287" s="38" t="str">
        <f>Inventari_2[[#This Row],[COD]]</f>
        <v>*VARI'82027*</v>
      </c>
    </row>
    <row r="288" spans="1:10" ht="36.75" customHeight="1">
      <c r="A288" s="21">
        <v>6973511066619</v>
      </c>
      <c r="B288" s="243" t="s">
        <v>924</v>
      </c>
      <c r="C288" s="244" t="s">
        <v>915</v>
      </c>
      <c r="D288" s="26">
        <v>1</v>
      </c>
      <c r="E288" s="31">
        <f>SUMIF(Entrada[CODIGO],Inventari_2[[#This Row],[CODIGO]],Entrada[CANTIDAD])</f>
        <v>0</v>
      </c>
      <c r="F288" s="32">
        <f>SUMIF(Salidas[[CODIGO ]],Inventari_2[[#This Row],[CODIGO]],Salidas[CANTIDAD])</f>
        <v>0</v>
      </c>
      <c r="G288" s="24">
        <f>Inventari_2[[#This Row],[STOCK DE LLEGADA]]+Inventari_2[[#This Row],[ENTRADA ]]-Inventari_2[[#This Row],[SALIDA]]</f>
        <v>1</v>
      </c>
      <c r="H288" s="13">
        <f>VLOOKUP(Inventari_2[[#This Row],[CODIGO]],Inventario[#All],9,FALSE)</f>
        <v>10000</v>
      </c>
      <c r="I288" s="13" t="str">
        <f>"*"&amp;Inventari_2[[#This Row],[CODIGO]]&amp;"*"</f>
        <v>*6973511066619*</v>
      </c>
      <c r="J288" s="34" t="str">
        <f>Inventari_2[[#This Row],[COD]]</f>
        <v>*6973511066619*</v>
      </c>
    </row>
    <row r="289" spans="1:10" ht="36.75" customHeight="1">
      <c r="A289" s="243" t="s">
        <v>929</v>
      </c>
      <c r="B289" s="243" t="s">
        <v>926</v>
      </c>
      <c r="C289" s="244" t="s">
        <v>915</v>
      </c>
      <c r="D289" s="26">
        <v>1</v>
      </c>
      <c r="E289" s="31">
        <f>SUMIF(Entrada[CODIGO],Inventari_2[[#This Row],[CODIGO]],Entrada[CANTIDAD])</f>
        <v>0</v>
      </c>
      <c r="F289" s="32">
        <f>SUMIF(Salidas[[CODIGO ]],Inventari_2[[#This Row],[CODIGO]],Salidas[CANTIDAD])</f>
        <v>0</v>
      </c>
      <c r="G289" s="23">
        <f>Inventari_2[[#This Row],[STOCK DE LLEGADA]]+Inventari_2[[#This Row],[ENTRADA ]]-Inventari_2[[#This Row],[SALIDA]]</f>
        <v>1</v>
      </c>
      <c r="H289" s="13">
        <f>VLOOKUP(Inventari_2[[#This Row],[CODIGO]],Inventario[#All],9,FALSE)</f>
        <v>30000</v>
      </c>
      <c r="I289" s="13" t="str">
        <f>"*"&amp;Inventari_2[[#This Row],[CODIGO]]&amp;"*"</f>
        <v>*VARI'05511*</v>
      </c>
      <c r="J289" s="34" t="str">
        <f>Inventari_2[[#This Row],[COD]]</f>
        <v>*VARI'05511*</v>
      </c>
    </row>
    <row r="290" spans="1:10" ht="36.75" customHeight="1">
      <c r="A290" s="243" t="s">
        <v>928</v>
      </c>
      <c r="B290" s="243" t="s">
        <v>930</v>
      </c>
      <c r="C290" s="244" t="s">
        <v>915</v>
      </c>
      <c r="D290" s="26">
        <v>2</v>
      </c>
      <c r="E290" s="31">
        <f>SUMIF(Entrada[CODIGO],Inventari_2[[#This Row],[CODIGO]],Entrada[CANTIDAD])</f>
        <v>0</v>
      </c>
      <c r="F290" s="32">
        <f>SUMIF(Salidas[[CODIGO ]],Inventari_2[[#This Row],[CODIGO]],Salidas[CANTIDAD])</f>
        <v>0</v>
      </c>
      <c r="G290" s="23">
        <f>Inventari_2[[#This Row],[STOCK DE LLEGADA]]+Inventari_2[[#This Row],[ENTRADA ]]-Inventari_2[[#This Row],[SALIDA]]</f>
        <v>2</v>
      </c>
      <c r="H290" s="13">
        <f>VLOOKUP(Inventari_2[[#This Row],[CODIGO]],Inventario[#All],9,FALSE)</f>
        <v>15000</v>
      </c>
      <c r="I290" s="13" t="str">
        <f>"*"&amp;Inventari_2[[#This Row],[CODIGO]]&amp;"*"</f>
        <v>*VAR'0011*</v>
      </c>
      <c r="J290" s="34" t="str">
        <f>Inventari_2[[#This Row],[COD]]</f>
        <v>*VAR'0011*</v>
      </c>
    </row>
    <row r="291" spans="1:10" ht="36.75" customHeight="1">
      <c r="A291" s="21">
        <v>6972927852977</v>
      </c>
      <c r="B291" s="243" t="s">
        <v>932</v>
      </c>
      <c r="C291" s="244" t="s">
        <v>915</v>
      </c>
      <c r="D291" s="26">
        <v>12</v>
      </c>
      <c r="E291" s="31">
        <f>SUMIF(Entrada[CODIGO],Inventari_2[[#This Row],[CODIGO]],Entrada[CANTIDAD])</f>
        <v>0</v>
      </c>
      <c r="F291" s="32">
        <f>SUMIF(Salidas[[CODIGO ]],Inventari_2[[#This Row],[CODIGO]],Salidas[CANTIDAD])</f>
        <v>0</v>
      </c>
      <c r="G291" s="23">
        <f>Inventari_2[[#This Row],[STOCK DE LLEGADA]]+Inventari_2[[#This Row],[ENTRADA ]]-Inventari_2[[#This Row],[SALIDA]]</f>
        <v>12</v>
      </c>
      <c r="H291" s="13">
        <f>VLOOKUP(Inventari_2[[#This Row],[CODIGO]],Inventario[#All],9,FALSE)</f>
        <v>2000</v>
      </c>
      <c r="I291" s="13" t="str">
        <f>"*"&amp;Inventari_2[[#This Row],[CODIGO]]&amp;"*"</f>
        <v>*6972927852977*</v>
      </c>
      <c r="J291" s="34" t="str">
        <f>Inventari_2[[#This Row],[COD]]</f>
        <v>*6972927852977*</v>
      </c>
    </row>
    <row r="292" spans="1:10" ht="36.75" customHeight="1">
      <c r="A292" s="243" t="s">
        <v>934</v>
      </c>
      <c r="B292" s="243" t="s">
        <v>935</v>
      </c>
      <c r="C292" s="244" t="s">
        <v>915</v>
      </c>
      <c r="D292" s="26">
        <v>4</v>
      </c>
      <c r="E292" s="31">
        <f>SUMIF(Entrada[CODIGO],Inventari_2[[#This Row],[CODIGO]],Entrada[CANTIDAD])</f>
        <v>0</v>
      </c>
      <c r="F292" s="32">
        <f>SUMIF(Salidas[[CODIGO ]],Inventari_2[[#This Row],[CODIGO]],Salidas[CANTIDAD])</f>
        <v>0</v>
      </c>
      <c r="G292" s="23">
        <f>Inventari_2[[#This Row],[STOCK DE LLEGADA]]+Inventari_2[[#This Row],[ENTRADA ]]-Inventari_2[[#This Row],[SALIDA]]</f>
        <v>4</v>
      </c>
      <c r="H292" s="13">
        <f>VLOOKUP(Inventari_2[[#This Row],[CODIGO]],Inventario[#All],9,FALSE)</f>
        <v>20000</v>
      </c>
      <c r="I292" s="13" t="str">
        <f>"*"&amp;Inventari_2[[#This Row],[CODIGO]]&amp;"*"</f>
        <v>*TEC-506*</v>
      </c>
      <c r="J292" s="34" t="str">
        <f>Inventari_2[[#This Row],[COD]]</f>
        <v>*TEC-506*</v>
      </c>
    </row>
    <row r="293" spans="1:10" ht="41.25" customHeight="1">
      <c r="A293" s="243" t="s">
        <v>941</v>
      </c>
      <c r="B293" s="243" t="s">
        <v>937</v>
      </c>
      <c r="C293" s="244" t="s">
        <v>915</v>
      </c>
      <c r="D293" s="26">
        <v>1</v>
      </c>
      <c r="E293" s="31">
        <f>SUMIF(Entrada[CODIGO],Inventari_2[[#This Row],[CODIGO]],Entrada[CANTIDAD])</f>
        <v>0</v>
      </c>
      <c r="F293" s="32">
        <f>SUMIF(Salidas[[CODIGO ]],Inventari_2[[#This Row],[CODIGO]],Salidas[CANTIDAD])</f>
        <v>0</v>
      </c>
      <c r="G293" s="24">
        <f>Inventari_2[[#This Row],[STOCK DE LLEGADA]]+Inventari_2[[#This Row],[ENTRADA ]]-Inventari_2[[#This Row],[SALIDA]]</f>
        <v>1</v>
      </c>
      <c r="H293" s="13">
        <f>VLOOKUP(Inventari_2[[#This Row],[CODIGO]],Inventario[#All],9,FALSE)</f>
        <v>50000</v>
      </c>
      <c r="I293" s="22" t="str">
        <f>"*"&amp;Inventari_2[[#This Row],[CODIGO]]&amp;"*"</f>
        <v>*BOLS'2255*</v>
      </c>
      <c r="J293" s="38" t="str">
        <f>Inventari_2[[#This Row],[COD]]</f>
        <v>*BOLS'2255*</v>
      </c>
    </row>
    <row r="294" spans="1:10" ht="36.75" customHeight="1">
      <c r="A294" s="243" t="s">
        <v>942</v>
      </c>
      <c r="B294" s="243" t="s">
        <v>939</v>
      </c>
      <c r="C294" s="244" t="s">
        <v>915</v>
      </c>
      <c r="D294" s="26">
        <v>1</v>
      </c>
      <c r="E294" s="31">
        <f>SUMIF(Entrada[CODIGO],Inventari_2[[#This Row],[CODIGO]],Entrada[CANTIDAD])</f>
        <v>0</v>
      </c>
      <c r="F294" s="32">
        <f>SUMIF(Salidas[[CODIGO ]],Inventari_2[[#This Row],[CODIGO]],Salidas[CANTIDAD])</f>
        <v>0</v>
      </c>
      <c r="G294" s="23">
        <f>Inventari_2[[#This Row],[STOCK DE LLEGADA]]+Inventari_2[[#This Row],[ENTRADA ]]-Inventari_2[[#This Row],[SALIDA]]</f>
        <v>1</v>
      </c>
      <c r="H294" s="13">
        <f>VLOOKUP(Inventari_2[[#This Row],[CODIGO]],Inventario[#All],9,FALSE)</f>
        <v>48000</v>
      </c>
      <c r="I294" s="13" t="str">
        <f>"*"&amp;Inventari_2[[#This Row],[CODIGO]]&amp;"*"</f>
        <v>*BOLS'4478*</v>
      </c>
      <c r="J294" s="34" t="str">
        <f>Inventari_2[[#This Row],[COD]]</f>
        <v>*BOLS'4478*</v>
      </c>
    </row>
    <row r="295" spans="1:10" ht="36.75" customHeight="1">
      <c r="A295" s="243" t="s">
        <v>944</v>
      </c>
      <c r="B295" s="243" t="s">
        <v>945</v>
      </c>
      <c r="C295" s="244" t="s">
        <v>915</v>
      </c>
      <c r="D295" s="26">
        <v>10</v>
      </c>
      <c r="E295" s="31">
        <f>SUMIF(Entrada[CODIGO],Inventari_2[[#This Row],[CODIGO]],Entrada[CANTIDAD])</f>
        <v>0</v>
      </c>
      <c r="F295" s="32">
        <f>SUMIF(Salidas[[CODIGO ]],Inventari_2[[#This Row],[CODIGO]],Salidas[CANTIDAD])</f>
        <v>0</v>
      </c>
      <c r="G295" s="23">
        <f>Inventari_2[[#This Row],[STOCK DE LLEGADA]]+Inventari_2[[#This Row],[ENTRADA ]]-Inventari_2[[#This Row],[SALIDA]]</f>
        <v>10</v>
      </c>
      <c r="H295" s="13">
        <f>VLOOKUP(Inventari_2[[#This Row],[CODIGO]],Inventario[#All],9,FALSE)</f>
        <v>10000</v>
      </c>
      <c r="I295" s="13" t="str">
        <f>"*"&amp;Inventari_2[[#This Row],[CODIGO]]&amp;"*"</f>
        <v>*VARI'8864*</v>
      </c>
      <c r="J295" s="34" t="str">
        <f>Inventari_2[[#This Row],[COD]]</f>
        <v>*VARI'8864*</v>
      </c>
    </row>
    <row r="296" spans="1:10" ht="36.75" customHeight="1">
      <c r="A296" s="21">
        <v>2303829</v>
      </c>
      <c r="B296" s="243" t="s">
        <v>947</v>
      </c>
      <c r="C296" s="244" t="s">
        <v>835</v>
      </c>
      <c r="D296" s="26">
        <v>2</v>
      </c>
      <c r="E296" s="31">
        <f>SUMIF(Entrada[CODIGO],Inventari_2[[#This Row],[CODIGO]],Entrada[CANTIDAD])</f>
        <v>0</v>
      </c>
      <c r="F296" s="32">
        <f>SUMIF(Salidas[[CODIGO ]],Inventari_2[[#This Row],[CODIGO]],Salidas[CANTIDAD])</f>
        <v>0</v>
      </c>
      <c r="G296" s="23">
        <f>Inventari_2[[#This Row],[STOCK DE LLEGADA]]+Inventari_2[[#This Row],[ENTRADA ]]-Inventari_2[[#This Row],[SALIDA]]</f>
        <v>2</v>
      </c>
      <c r="H296" s="13">
        <f>VLOOKUP(Inventari_2[[#This Row],[CODIGO]],Inventario[#All],9,FALSE)</f>
        <v>25000</v>
      </c>
      <c r="I296" s="13" t="str">
        <f>"*"&amp;Inventari_2[[#This Row],[CODIGO]]&amp;"*"</f>
        <v>*2303829*</v>
      </c>
      <c r="J296" s="34" t="str">
        <f>Inventari_2[[#This Row],[COD]]</f>
        <v>*2303829*</v>
      </c>
    </row>
    <row r="297" spans="1:10" ht="36.75" customHeight="1">
      <c r="A297" s="243" t="s">
        <v>949</v>
      </c>
      <c r="B297" s="243" t="s">
        <v>950</v>
      </c>
      <c r="C297" s="244" t="s">
        <v>835</v>
      </c>
      <c r="D297" s="26">
        <v>1</v>
      </c>
      <c r="E297" s="31">
        <f>SUMIF(Entrada[CODIGO],Inventari_2[[#This Row],[CODIGO]],Entrada[CANTIDAD])</f>
        <v>0</v>
      </c>
      <c r="F297" s="32">
        <f>SUMIF(Salidas[[CODIGO ]],Inventari_2[[#This Row],[CODIGO]],Salidas[CANTIDAD])</f>
        <v>0</v>
      </c>
      <c r="G297" s="23">
        <f>Inventari_2[[#This Row],[STOCK DE LLEGADA]]+Inventari_2[[#This Row],[ENTRADA ]]-Inventari_2[[#This Row],[SALIDA]]</f>
        <v>1</v>
      </c>
      <c r="H297" s="13">
        <f>VLOOKUP(Inventari_2[[#This Row],[CODIGO]],Inventario[#All],9,FALSE)</f>
        <v>40000</v>
      </c>
      <c r="I297" s="13" t="str">
        <f>"*"&amp;Inventari_2[[#This Row],[CODIGO]]&amp;"*"</f>
        <v>*BOLS'6622*</v>
      </c>
      <c r="J297" s="34" t="str">
        <f>Inventari_2[[#This Row],[COD]]</f>
        <v>*BOLS'6622*</v>
      </c>
    </row>
    <row r="298" spans="1:10" ht="36.75" customHeight="1">
      <c r="A298" s="243" t="s">
        <v>952</v>
      </c>
      <c r="B298" s="243" t="s">
        <v>953</v>
      </c>
      <c r="C298" s="244" t="s">
        <v>835</v>
      </c>
      <c r="D298" s="26">
        <v>1</v>
      </c>
      <c r="E298" s="31">
        <f>SUMIF(Entrada[CODIGO],Inventari_2[[#This Row],[CODIGO]],Entrada[CANTIDAD])</f>
        <v>0</v>
      </c>
      <c r="F298" s="32">
        <f>SUMIF(Salidas[[CODIGO ]],Inventari_2[[#This Row],[CODIGO]],Salidas[CANTIDAD])</f>
        <v>0</v>
      </c>
      <c r="G298" s="23">
        <f>Inventari_2[[#This Row],[STOCK DE LLEGADA]]+Inventari_2[[#This Row],[ENTRADA ]]-Inventari_2[[#This Row],[SALIDA]]</f>
        <v>1</v>
      </c>
      <c r="H298" s="13">
        <f>VLOOKUP(Inventari_2[[#This Row],[CODIGO]],Inventario[#All],9,FALSE)</f>
        <v>40000</v>
      </c>
      <c r="I298" s="13" t="str">
        <f>"*"&amp;Inventari_2[[#This Row],[CODIGO]]&amp;"*"</f>
        <v>*BOLS'5888*</v>
      </c>
      <c r="J298" s="34" t="str">
        <f>Inventari_2[[#This Row],[COD]]</f>
        <v>*BOLS'5888*</v>
      </c>
    </row>
    <row r="299" spans="1:10" ht="36.75" customHeight="1">
      <c r="A299" s="21">
        <v>8435419464884</v>
      </c>
      <c r="B299" s="243" t="s">
        <v>955</v>
      </c>
      <c r="C299" s="244" t="s">
        <v>185</v>
      </c>
      <c r="D299" s="26">
        <v>1</v>
      </c>
      <c r="E299" s="31">
        <f>SUMIF(Entrada[CODIGO],Inventari_2[[#This Row],[CODIGO]],Entrada[CANTIDAD])</f>
        <v>0</v>
      </c>
      <c r="F299" s="32">
        <f>SUMIF(Salidas[[CODIGO ]],Inventari_2[[#This Row],[CODIGO]],Salidas[CANTIDAD])</f>
        <v>0</v>
      </c>
      <c r="G299" s="23">
        <f>Inventari_2[[#This Row],[STOCK DE LLEGADA]]+Inventari_2[[#This Row],[ENTRADA ]]-Inventari_2[[#This Row],[SALIDA]]</f>
        <v>1</v>
      </c>
      <c r="H299" s="13">
        <f>VLOOKUP(Inventari_2[[#This Row],[CODIGO]],Inventario[#All],9,FALSE)</f>
        <v>35000</v>
      </c>
      <c r="I299" s="13" t="str">
        <f>"*"&amp;Inventari_2[[#This Row],[CODIGO]]&amp;"*"</f>
        <v>*8435419464884*</v>
      </c>
      <c r="J299" s="34" t="str">
        <f>Inventari_2[[#This Row],[COD]]</f>
        <v>*8435419464884*</v>
      </c>
    </row>
    <row r="300" spans="1:10" ht="36.75" customHeight="1">
      <c r="A300" s="21">
        <v>6972716546162</v>
      </c>
      <c r="B300" s="243" t="s">
        <v>957</v>
      </c>
      <c r="C300" s="244" t="s">
        <v>185</v>
      </c>
      <c r="D300" s="26">
        <v>1</v>
      </c>
      <c r="E300" s="31">
        <f>SUMIF(Entrada[CODIGO],Inventari_2[[#This Row],[CODIGO]],Entrada[CANTIDAD])</f>
        <v>0</v>
      </c>
      <c r="F300" s="32">
        <f>SUMIF(Salidas[[CODIGO ]],Inventari_2[[#This Row],[CODIGO]],Salidas[CANTIDAD])</f>
        <v>0</v>
      </c>
      <c r="G300" s="23">
        <f>Inventari_2[[#This Row],[STOCK DE LLEGADA]]+Inventari_2[[#This Row],[ENTRADA ]]-Inventari_2[[#This Row],[SALIDA]]</f>
        <v>1</v>
      </c>
      <c r="H300" s="13">
        <f>VLOOKUP(Inventari_2[[#This Row],[CODIGO]],Inventario[#All],9,FALSE)</f>
        <v>15000</v>
      </c>
      <c r="I300" s="13" t="str">
        <f>"*"&amp;Inventari_2[[#This Row],[CODIGO]]&amp;"*"</f>
        <v>*6972716546162*</v>
      </c>
      <c r="J300" s="34" t="str">
        <f>Inventari_2[[#This Row],[COD]]</f>
        <v>*6972716546162*</v>
      </c>
    </row>
    <row r="301" spans="1:10" ht="36.75" customHeight="1">
      <c r="A301" s="21">
        <v>6942349742323</v>
      </c>
      <c r="B301" s="243" t="s">
        <v>959</v>
      </c>
      <c r="C301" s="244" t="s">
        <v>185</v>
      </c>
      <c r="D301" s="26">
        <v>1</v>
      </c>
      <c r="E301" s="31">
        <f>SUMIF(Entrada[CODIGO],Inventari_2[[#This Row],[CODIGO]],Entrada[CANTIDAD])</f>
        <v>0</v>
      </c>
      <c r="F301" s="32">
        <f>SUMIF(Salidas[[CODIGO ]],Inventari_2[[#This Row],[CODIGO]],Salidas[CANTIDAD])</f>
        <v>0</v>
      </c>
      <c r="G301" s="23">
        <f>Inventari_2[[#This Row],[STOCK DE LLEGADA]]+Inventari_2[[#This Row],[ENTRADA ]]-Inventari_2[[#This Row],[SALIDA]]</f>
        <v>1</v>
      </c>
      <c r="H301" s="13">
        <f>VLOOKUP(Inventari_2[[#This Row],[CODIGO]],Inventario[#All],9,FALSE)</f>
        <v>3000</v>
      </c>
      <c r="I301" s="13" t="str">
        <f>"*"&amp;Inventari_2[[#This Row],[CODIGO]]&amp;"*"</f>
        <v>*6942349742323*</v>
      </c>
      <c r="J301" s="34" t="str">
        <f>Inventari_2[[#This Row],[COD]]</f>
        <v>*6942349742323*</v>
      </c>
    </row>
    <row r="302" spans="1:10" ht="36.75" customHeight="1">
      <c r="A302" s="21">
        <v>7894902060131</v>
      </c>
      <c r="B302" s="243" t="s">
        <v>961</v>
      </c>
      <c r="C302" s="244" t="s">
        <v>185</v>
      </c>
      <c r="D302" s="26">
        <v>1</v>
      </c>
      <c r="E302" s="31">
        <f>SUMIF(Entrada[CODIGO],Inventari_2[[#This Row],[CODIGO]],Entrada[CANTIDAD])</f>
        <v>0</v>
      </c>
      <c r="F302" s="32">
        <f>SUMIF(Salidas[[CODIGO ]],Inventari_2[[#This Row],[CODIGO]],Salidas[CANTIDAD])</f>
        <v>0</v>
      </c>
      <c r="G302" s="23">
        <f>Inventari_2[[#This Row],[STOCK DE LLEGADA]]+Inventari_2[[#This Row],[ENTRADA ]]-Inventari_2[[#This Row],[SALIDA]]</f>
        <v>1</v>
      </c>
      <c r="H302" s="13">
        <f>VLOOKUP(Inventari_2[[#This Row],[CODIGO]],Inventario[#All],9,FALSE)</f>
        <v>15000</v>
      </c>
      <c r="I302" s="13" t="str">
        <f>"*"&amp;Inventari_2[[#This Row],[CODIGO]]&amp;"*"</f>
        <v>*7894902060131*</v>
      </c>
      <c r="J302" s="34" t="str">
        <f>Inventari_2[[#This Row],[COD]]</f>
        <v>*7894902060131*</v>
      </c>
    </row>
    <row r="303" spans="1:10" ht="36.75" customHeight="1">
      <c r="A303" s="21">
        <v>6975308870874</v>
      </c>
      <c r="B303" s="243" t="s">
        <v>961</v>
      </c>
      <c r="C303" s="244" t="s">
        <v>185</v>
      </c>
      <c r="D303" s="26">
        <v>1</v>
      </c>
      <c r="E303" s="31">
        <f>SUMIF(Entrada[CODIGO],Inventari_2[[#This Row],[CODIGO]],Entrada[CANTIDAD])</f>
        <v>0</v>
      </c>
      <c r="F303" s="32">
        <f>SUMIF(Salidas[[CODIGO ]],Inventari_2[[#This Row],[CODIGO]],Salidas[CANTIDAD])</f>
        <v>0</v>
      </c>
      <c r="G303" s="23">
        <f>Inventari_2[[#This Row],[STOCK DE LLEGADA]]+Inventari_2[[#This Row],[ENTRADA ]]-Inventari_2[[#This Row],[SALIDA]]</f>
        <v>1</v>
      </c>
      <c r="H303" s="13">
        <f>VLOOKUP(Inventari_2[[#This Row],[CODIGO]],Inventario[#All],9,FALSE)</f>
        <v>15000</v>
      </c>
      <c r="I303" s="13" t="str">
        <f>"*"&amp;Inventari_2[[#This Row],[CODIGO]]&amp;"*"</f>
        <v>*6975308870874*</v>
      </c>
      <c r="J303" s="34" t="str">
        <f>Inventari_2[[#This Row],[COD]]</f>
        <v>*6975308870874*</v>
      </c>
    </row>
    <row r="304" spans="1:10" ht="36.75" customHeight="1">
      <c r="A304" s="243" t="s">
        <v>964</v>
      </c>
      <c r="B304" s="243" t="s">
        <v>965</v>
      </c>
      <c r="C304" s="244" t="s">
        <v>185</v>
      </c>
      <c r="D304" s="26">
        <v>3</v>
      </c>
      <c r="E304" s="31">
        <f>SUMIF(Entrada[CODIGO],Inventari_2[[#This Row],[CODIGO]],Entrada[CANTIDAD])</f>
        <v>0</v>
      </c>
      <c r="F304" s="32">
        <f>SUMIF(Salidas[[CODIGO ]],Inventari_2[[#This Row],[CODIGO]],Salidas[CANTIDAD])</f>
        <v>0</v>
      </c>
      <c r="G304" s="23">
        <f>Inventari_2[[#This Row],[STOCK DE LLEGADA]]+Inventari_2[[#This Row],[ENTRADA ]]-Inventari_2[[#This Row],[SALIDA]]</f>
        <v>3</v>
      </c>
      <c r="H304" s="13">
        <f>VLOOKUP(Inventari_2[[#This Row],[CODIGO]],Inventario[#All],9,FALSE)</f>
        <v>10000</v>
      </c>
      <c r="I304" s="13" t="str">
        <f>"*"&amp;Inventari_2[[#This Row],[CODIGO]]&amp;"*"</f>
        <v>*VARI'5522*</v>
      </c>
      <c r="J304" s="34" t="str">
        <f>Inventari_2[[#This Row],[COD]]</f>
        <v>*VARI'5522*</v>
      </c>
    </row>
    <row r="305" spans="1:10" ht="36.75" customHeight="1">
      <c r="A305" s="21">
        <v>6937118816343</v>
      </c>
      <c r="B305" s="243" t="s">
        <v>967</v>
      </c>
      <c r="C305" s="244" t="s">
        <v>185</v>
      </c>
      <c r="D305" s="26">
        <v>1</v>
      </c>
      <c r="E305" s="31">
        <f>SUMIF(Entrada[CODIGO],Inventari_2[[#This Row],[CODIGO]],Entrada[CANTIDAD])</f>
        <v>0</v>
      </c>
      <c r="F305" s="32">
        <f>SUMIF(Salidas[[CODIGO ]],Inventari_2[[#This Row],[CODIGO]],Salidas[CANTIDAD])</f>
        <v>0</v>
      </c>
      <c r="G305" s="23">
        <f>Inventari_2[[#This Row],[STOCK DE LLEGADA]]+Inventari_2[[#This Row],[ENTRADA ]]-Inventari_2[[#This Row],[SALIDA]]</f>
        <v>1</v>
      </c>
      <c r="H305" s="13">
        <f>VLOOKUP(Inventari_2[[#This Row],[CODIGO]],Inventario[#All],9,FALSE)</f>
        <v>18000</v>
      </c>
      <c r="I305" s="13" t="str">
        <f>"*"&amp;Inventari_2[[#This Row],[CODIGO]]&amp;"*"</f>
        <v>*6937118816343*</v>
      </c>
      <c r="J305" s="34" t="str">
        <f>Inventari_2[[#This Row],[COD]]</f>
        <v>*6937118816343*</v>
      </c>
    </row>
  </sheetData>
  <mergeCells count="1">
    <mergeCell ref="A1:I1"/>
  </mergeCells>
  <phoneticPr fontId="13" type="noConversion"/>
  <conditionalFormatting sqref="G1:G1048576">
    <cfRule type="colorScale" priority="1">
      <colorScale>
        <cfvo type="num" val="0"/>
        <cfvo type="percentile" val="50"/>
        <cfvo type="max"/>
        <color rgb="FFFF0000"/>
        <color theme="9" tint="0.39997558519241921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" priority="3" operator="lessThan">
      <formula>1</formula>
    </cfRule>
    <cfRule type="cellIs" dxfId="30" priority="4" operator="greaterThan">
      <formula>5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extBox1">
          <controlPr defaultSize="0" autoLine="0" r:id="rId5">
            <anchor moveWithCells="1">
              <from>
                <xdr:col>1</xdr:col>
                <xdr:colOff>285750</xdr:colOff>
                <xdr:row>0</xdr:row>
                <xdr:rowOff>9525</xdr:rowOff>
              </from>
              <to>
                <xdr:col>1</xdr:col>
                <xdr:colOff>2200275</xdr:colOff>
                <xdr:row>0</xdr:row>
                <xdr:rowOff>457200</xdr:rowOff>
              </to>
            </anchor>
          </controlPr>
        </control>
      </mc:Choice>
      <mc:Fallback>
        <control shapeId="1029" r:id="rId4" name="TextBox1"/>
      </mc:Fallback>
    </mc:AlternateContent>
  </controls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7934-8747-4E17-B0E7-99F52332BF2F}">
  <sheetPr codeName="Hoja2"/>
  <dimension ref="A2:J783"/>
  <sheetViews>
    <sheetView topLeftCell="A25" zoomScale="85" zoomScaleNormal="85" workbookViewId="0">
      <selection activeCell="C30" sqref="C30"/>
    </sheetView>
  </sheetViews>
  <sheetFormatPr baseColWidth="10" defaultColWidth="0" defaultRowHeight="40.5" customHeight="1"/>
  <cols>
    <col min="1" max="1" width="23.5" customWidth="1"/>
    <col min="2" max="2" width="17.75" customWidth="1"/>
    <col min="3" max="3" width="25.375" style="85" customWidth="1"/>
    <col min="4" max="4" width="25.875" customWidth="1"/>
    <col min="5" max="5" width="11" customWidth="1"/>
    <col min="6" max="6" width="15.75" customWidth="1"/>
    <col min="7" max="7" width="17.625" customWidth="1"/>
    <col min="8" max="9" width="11" customWidth="1"/>
    <col min="10" max="10" width="0" hidden="1" customWidth="1"/>
    <col min="11" max="16384" width="11" hidden="1"/>
  </cols>
  <sheetData>
    <row r="2" spans="1:8" ht="40.5" customHeight="1">
      <c r="A2" s="18" t="s">
        <v>808</v>
      </c>
      <c r="B2" t="s">
        <v>809</v>
      </c>
      <c r="C2" s="85" t="s">
        <v>810</v>
      </c>
      <c r="D2" t="s">
        <v>3</v>
      </c>
      <c r="E2" t="s">
        <v>5</v>
      </c>
      <c r="F2" t="s">
        <v>811</v>
      </c>
      <c r="G2" t="s">
        <v>812</v>
      </c>
      <c r="H2" t="s">
        <v>813</v>
      </c>
    </row>
    <row r="3" spans="1:8" ht="40.5" customHeight="1">
      <c r="A3" s="18" t="s">
        <v>814</v>
      </c>
      <c r="B3" s="20">
        <v>45724</v>
      </c>
      <c r="C3" s="152" t="s">
        <v>150</v>
      </c>
      <c r="D3" s="83" t="s">
        <v>815</v>
      </c>
      <c r="E3">
        <v>1</v>
      </c>
      <c r="F3" s="43">
        <f>VLOOKUP(Salidas[[#This Row],[CODIGO ]],Inventari_2[],8,FALSE)</f>
        <v>8000</v>
      </c>
      <c r="G3" s="44">
        <f>Salidas[[#This Row],[PRECIO]]*Salidas[[#This Row],[CANTIDAD]]</f>
        <v>8000</v>
      </c>
      <c r="H3" s="84">
        <f>VLOOKUP(Salidas[[#This Row],[CODIGO ]],Inventario[],10,FALSE)</f>
        <v>4500</v>
      </c>
    </row>
    <row r="4" spans="1:8" ht="40.5" customHeight="1">
      <c r="A4" s="18"/>
      <c r="B4" s="20"/>
      <c r="C4" s="146" t="s">
        <v>62</v>
      </c>
      <c r="D4" s="83" t="str">
        <f>IFERROR(INDEX(Inventari_2[#All],MATCH(Salidas[[#This Row],[CODIGO ]],Inventari_2[[#Headers],[#Data],[CODIGO]],0),2),"")</f>
        <v>BOLIGRAFO GEL</v>
      </c>
      <c r="E4">
        <v>1</v>
      </c>
      <c r="F4" s="43">
        <f>VLOOKUP(Salidas[[#This Row],[CODIGO ]],Inventari_2[],8,FALSE)</f>
        <v>2000</v>
      </c>
      <c r="G4" s="44">
        <f>Salidas[[#This Row],[PRECIO]]*Salidas[[#This Row],[CANTIDAD]]</f>
        <v>2000</v>
      </c>
      <c r="H4" s="84">
        <f>VLOOKUP(Salidas[[#This Row],[CODIGO ]],Inventario[],10,FALSE)</f>
        <v>1100</v>
      </c>
    </row>
    <row r="5" spans="1:8" ht="15.75">
      <c r="A5" s="18"/>
      <c r="B5" s="20"/>
      <c r="C5" s="146" t="s">
        <v>62</v>
      </c>
      <c r="D5" s="83" t="str">
        <f>IFERROR(INDEX(Inventari_2[#All],MATCH(Salidas[[#This Row],[CODIGO ]],Inventari_2[[#Headers],[#Data],[CODIGO]],0),2),"")</f>
        <v>BOLIGRAFO GEL</v>
      </c>
      <c r="E5">
        <v>1</v>
      </c>
      <c r="F5" s="43">
        <f>VLOOKUP(Salidas[[#This Row],[CODIGO ]],Inventari_2[],8,FALSE)</f>
        <v>2000</v>
      </c>
      <c r="G5" s="44">
        <f>Salidas[[#This Row],[PRECIO]]*Salidas[[#This Row],[CANTIDAD]]</f>
        <v>2000</v>
      </c>
      <c r="H5" s="84">
        <f>VLOOKUP(Salidas[[#This Row],[CODIGO ]],Inventario[],10,FALSE)</f>
        <v>1100</v>
      </c>
    </row>
    <row r="6" spans="1:8" ht="40.5" customHeight="1">
      <c r="A6" s="18"/>
      <c r="B6" s="20"/>
      <c r="C6" s="87">
        <v>6991200021428</v>
      </c>
      <c r="D6" s="83" t="str">
        <f>IFERROR(INDEX(Inventari_2[#All],MATCH(Salidas[[#This Row],[CODIGO ]],Inventari_2[[#Headers],[#Data],[CODIGO]],0),2),"")</f>
        <v>TAMAGUCHI</v>
      </c>
      <c r="E6">
        <v>1</v>
      </c>
      <c r="F6" s="43">
        <f>VLOOKUP(Salidas[[#This Row],[CODIGO ]],Inventari_2[],8,FALSE)</f>
        <v>15000</v>
      </c>
      <c r="G6" s="44">
        <f>Salidas[[#This Row],[PRECIO]]*Salidas[[#This Row],[CANTIDAD]]</f>
        <v>15000</v>
      </c>
      <c r="H6" s="84">
        <f>VLOOKUP(Salidas[[#This Row],[CODIGO ]],Inventario[],10,FALSE)</f>
        <v>8500</v>
      </c>
    </row>
    <row r="7" spans="1:8" ht="15.75">
      <c r="A7" s="18"/>
      <c r="B7" s="20"/>
      <c r="C7" s="78">
        <v>6972613449801</v>
      </c>
      <c r="D7" s="83" t="str">
        <f>IFERROR(INDEX(Inventari_2[#All],MATCH(Salidas[[#This Row],[CODIGO ]],Inventari_2[[#Headers],[#Data],[CODIGO]],0),2),"")</f>
        <v>SLIME GRANDE</v>
      </c>
      <c r="E7">
        <v>1</v>
      </c>
      <c r="F7" s="43">
        <f>VLOOKUP(Salidas[[#This Row],[CODIGO ]],Inventari_2[],8,FALSE)</f>
        <v>8000</v>
      </c>
      <c r="G7" s="44">
        <f>Salidas[[#This Row],[PRECIO]]*Salidas[[#This Row],[CANTIDAD]]</f>
        <v>8000</v>
      </c>
      <c r="H7" s="84">
        <f>VLOOKUP(Salidas[[#This Row],[CODIGO ]],Inventario[],10,FALSE)</f>
        <v>5500</v>
      </c>
    </row>
    <row r="8" spans="1:8" ht="40.5" customHeight="1">
      <c r="A8" s="18"/>
      <c r="B8" s="20"/>
      <c r="C8" s="77">
        <v>6800220022011</v>
      </c>
      <c r="D8" s="83" t="str">
        <f>IFERROR(INDEX(Inventari_2[#All],MATCH(Salidas[[#This Row],[CODIGO ]],Inventari_2[[#Headers],[#Data],[CODIGO]],0),2),"")</f>
        <v>COLECCIÓN ONE PICE*3</v>
      </c>
      <c r="E8">
        <v>1</v>
      </c>
      <c r="F8" s="43">
        <f>VLOOKUP(Salidas[[#This Row],[CODIGO ]],Inventari_2[],8,FALSE)</f>
        <v>70000</v>
      </c>
      <c r="G8" s="44">
        <f>Salidas[[#This Row],[PRECIO]]*Salidas[[#This Row],[CANTIDAD]]</f>
        <v>70000</v>
      </c>
      <c r="H8" s="84">
        <f>VLOOKUP(Salidas[[#This Row],[CODIGO ]],Inventario[],10,FALSE)</f>
        <v>42000</v>
      </c>
    </row>
    <row r="9" spans="1:8" ht="40.5" customHeight="1">
      <c r="A9" s="18"/>
      <c r="B9" s="20"/>
      <c r="C9" s="142" t="s">
        <v>39</v>
      </c>
      <c r="D9" s="83" t="str">
        <f>IFERROR(INDEX(Inventari_2[#All],MATCH(Salidas[[#This Row],[CODIGO ]],Inventari_2[[#Headers],[#Data],[CODIGO]],0),2),"")</f>
        <v>ARETE GRANDE</v>
      </c>
      <c r="E9">
        <v>1</v>
      </c>
      <c r="F9" s="43">
        <f>VLOOKUP(Salidas[[#This Row],[CODIGO ]],Inventari_2[],8,FALSE)</f>
        <v>15000</v>
      </c>
      <c r="G9" s="44">
        <f>Salidas[[#This Row],[PRECIO]]*Salidas[[#This Row],[CANTIDAD]]</f>
        <v>15000</v>
      </c>
      <c r="H9" s="84">
        <f>VLOOKUP(Salidas[[#This Row],[CODIGO ]],Inventario[],10,FALSE)</f>
        <v>10000</v>
      </c>
    </row>
    <row r="10" spans="1:8" ht="40.5" customHeight="1">
      <c r="A10" s="18"/>
      <c r="B10" s="20"/>
      <c r="C10" s="146" t="s">
        <v>124</v>
      </c>
      <c r="D10" s="83" t="str">
        <f>IFERROR(INDEX(Inventari_2[#All],MATCH(Salidas[[#This Row],[CODIGO ]],Inventari_2[[#Headers],[#Data],[CODIGO]],0),2),"")</f>
        <v>BURBUJERO KUROMI</v>
      </c>
      <c r="E10">
        <v>1</v>
      </c>
      <c r="F10" s="43">
        <f>VLOOKUP(Salidas[[#This Row],[CODIGO ]],Inventari_2[],8,FALSE)</f>
        <v>15000</v>
      </c>
      <c r="G10" s="44">
        <f>Salidas[[#This Row],[PRECIO]]*Salidas[[#This Row],[CANTIDAD]]</f>
        <v>15000</v>
      </c>
      <c r="H10" s="84">
        <f>VLOOKUP(Salidas[[#This Row],[CODIGO ]],Inventario[],10,FALSE)</f>
        <v>9000</v>
      </c>
    </row>
    <row r="11" spans="1:8" ht="40.5" customHeight="1">
      <c r="A11" s="18"/>
      <c r="B11" s="20"/>
      <c r="C11" s="146" t="s">
        <v>62</v>
      </c>
      <c r="D11" s="83" t="str">
        <f>IFERROR(INDEX(Inventari_2[#All],MATCH(Salidas[[#This Row],[CODIGO ]],Inventari_2[[#Headers],[#Data],[CODIGO]],0),2),"")</f>
        <v>BOLIGRAFO GEL</v>
      </c>
      <c r="E11">
        <v>1</v>
      </c>
      <c r="F11" s="43">
        <f>VLOOKUP(Salidas[[#This Row],[CODIGO ]],Inventari_2[],8,FALSE)</f>
        <v>2000</v>
      </c>
      <c r="G11" s="44">
        <f>Salidas[[#This Row],[PRECIO]]*Salidas[[#This Row],[CANTIDAD]]</f>
        <v>2000</v>
      </c>
      <c r="H11" s="84">
        <f>VLOOKUP(Salidas[[#This Row],[CODIGO ]],Inventario[],10,FALSE)</f>
        <v>1100</v>
      </c>
    </row>
    <row r="12" spans="1:8" ht="40.5" customHeight="1">
      <c r="A12" s="18"/>
      <c r="B12" s="20"/>
      <c r="C12" s="151" t="s">
        <v>461</v>
      </c>
      <c r="D12" s="83" t="str">
        <f>IFERROR(INDEX(Inventari_2[#All],MATCH(Salidas[[#This Row],[CODIGO ]],Inventari_2[[#Headers],[#Data],[CODIGO]],0),2),"")</f>
        <v>PISTOLA 1 PILA</v>
      </c>
      <c r="E12">
        <v>1</v>
      </c>
      <c r="F12" s="43">
        <f>VLOOKUP(Salidas[[#This Row],[CODIGO ]],Inventari_2[],8,FALSE)</f>
        <v>60000</v>
      </c>
      <c r="G12" s="44">
        <f>Salidas[[#This Row],[PRECIO]]*Salidas[[#This Row],[CANTIDAD]]</f>
        <v>60000</v>
      </c>
      <c r="H12" s="84">
        <v>32000</v>
      </c>
    </row>
    <row r="13" spans="1:8" ht="15.75">
      <c r="A13" s="18"/>
      <c r="B13" s="20"/>
      <c r="C13" s="146" t="s">
        <v>65</v>
      </c>
      <c r="D13" s="83" t="str">
        <f>IFERROR(INDEX(Inventari_2[#All],MATCH(Salidas[[#This Row],[CODIGO ]],Inventari_2[[#Headers],[#Data],[CODIGO]],0),2),"")</f>
        <v>BOLSA DE HIDRO GEL</v>
      </c>
      <c r="E13">
        <v>1</v>
      </c>
      <c r="F13" s="43">
        <f>VLOOKUP(Salidas[[#This Row],[CODIGO ]],Inventari_2[],8,FALSE)</f>
        <v>7000</v>
      </c>
      <c r="G13" s="44">
        <f>Salidas[[#This Row],[PRECIO]]*Salidas[[#This Row],[CANTIDAD]]</f>
        <v>7000</v>
      </c>
      <c r="H13" s="84">
        <f>VLOOKUP(Salidas[[#This Row],[CODIGO ]],Inventario[],10,FALSE)</f>
        <v>5500</v>
      </c>
    </row>
    <row r="14" spans="1:8" ht="40.5" customHeight="1">
      <c r="A14" s="18"/>
      <c r="B14" s="20"/>
      <c r="C14" s="157" t="s">
        <v>126</v>
      </c>
      <c r="D14" s="83" t="str">
        <f>IFERROR(INDEX(Inventari_2[#All],MATCH(Salidas[[#This Row],[CODIGO ]],Inventari_2[[#Headers],[#Data],[CODIGO]],0),2),"")</f>
        <v>CAJA DE CARTAS *10</v>
      </c>
      <c r="E14">
        <v>1</v>
      </c>
      <c r="F14" s="43">
        <f>VLOOKUP(Salidas[[#This Row],[CODIGO ]],Inventari_2[],8,FALSE)</f>
        <v>5000</v>
      </c>
      <c r="G14" s="44">
        <f>Salidas[[#This Row],[PRECIO]]*Salidas[[#This Row],[CANTIDAD]]</f>
        <v>5000</v>
      </c>
      <c r="H14" s="84">
        <f>VLOOKUP(Salidas[[#This Row],[CODIGO ]],Inventario[],10,FALSE)</f>
        <v>3917</v>
      </c>
    </row>
    <row r="15" spans="1:8" ht="40.5" customHeight="1">
      <c r="A15" s="18"/>
      <c r="B15" s="20"/>
      <c r="C15" s="89">
        <v>7709532142396</v>
      </c>
      <c r="D15" s="83" t="str">
        <f>IFERROR(INDEX(Inventari_2[#All],MATCH(Salidas[[#This Row],[CODIGO ]],Inventari_2[[#Headers],[#Data],[CODIGO]],0),2),"")</f>
        <v>CUADERNO CONTRA MARCADO</v>
      </c>
      <c r="E15">
        <v>1</v>
      </c>
      <c r="F15" s="43">
        <f>VLOOKUP(Salidas[[#This Row],[CODIGO ]],Inventari_2[],8,FALSE)</f>
        <v>30000</v>
      </c>
      <c r="G15" s="44">
        <f>Salidas[[#This Row],[PRECIO]]*Salidas[[#This Row],[CANTIDAD]]</f>
        <v>30000</v>
      </c>
      <c r="H15" s="84">
        <f>VLOOKUP(Salidas[[#This Row],[CODIGO ]],Inventario[],10,FALSE)</f>
        <v>15000</v>
      </c>
    </row>
    <row r="16" spans="1:8" ht="40.5" customHeight="1">
      <c r="A16" s="18"/>
      <c r="B16" s="20"/>
      <c r="C16" s="146" t="s">
        <v>589</v>
      </c>
      <c r="D16" s="83" t="str">
        <f>IFERROR(INDEX(Inventari_2[#All],MATCH(Salidas[[#This Row],[CODIGO ]],Inventari_2[[#Headers],[#Data],[CODIGO]],0),2),"")</f>
        <v>STIKERS</v>
      </c>
      <c r="E16">
        <v>1</v>
      </c>
      <c r="F16" s="43">
        <f>VLOOKUP(Salidas[[#This Row],[CODIGO ]],Inventari_2[],8,FALSE)</f>
        <v>1000</v>
      </c>
      <c r="G16" s="44">
        <f>Salidas[[#This Row],[PRECIO]]*Salidas[[#This Row],[CANTIDAD]]</f>
        <v>1000</v>
      </c>
      <c r="H16" s="84">
        <f>VLOOKUP(Salidas[[#This Row],[CODIGO ]],Inventario[],10,FALSE)</f>
        <v>500</v>
      </c>
    </row>
    <row r="17" spans="1:8" ht="40.5" customHeight="1">
      <c r="A17" s="18"/>
      <c r="B17" s="20"/>
      <c r="C17" s="146" t="s">
        <v>589</v>
      </c>
      <c r="D17" s="83" t="str">
        <f>IFERROR(INDEX(Inventari_2[#All],MATCH(Salidas[[#This Row],[CODIGO ]],Inventari_2[[#Headers],[#Data],[CODIGO]],0),2),"")</f>
        <v>STIKERS</v>
      </c>
      <c r="E17">
        <v>1</v>
      </c>
      <c r="F17" s="43">
        <f>VLOOKUP(Salidas[[#This Row],[CODIGO ]],Inventari_2[],8,FALSE)</f>
        <v>1000</v>
      </c>
      <c r="G17" s="44">
        <f>Salidas[[#This Row],[PRECIO]]*Salidas[[#This Row],[CANTIDAD]]</f>
        <v>1000</v>
      </c>
      <c r="H17" s="84">
        <f>VLOOKUP(Salidas[[#This Row],[CODIGO ]],Inventario[],10,FALSE)</f>
        <v>500</v>
      </c>
    </row>
    <row r="18" spans="1:8" ht="40.5" customHeight="1">
      <c r="A18" s="18"/>
      <c r="B18" s="20"/>
      <c r="C18" s="156">
        <v>6964345340143</v>
      </c>
      <c r="D18" s="83" t="str">
        <f>IFERROR(INDEX(Inventari_2[#All],MATCH(Salidas[[#This Row],[CODIGO ]],Inventari_2[[#Headers],[#Data],[CODIGO]],0),2),"")</f>
        <v xml:space="preserve">BOLSO KUROMI </v>
      </c>
      <c r="E18">
        <v>1</v>
      </c>
      <c r="F18" s="43">
        <f>VLOOKUP(Salidas[[#This Row],[CODIGO ]],Inventari_2[],8,FALSE)</f>
        <v>35000</v>
      </c>
      <c r="G18" s="44">
        <f>Salidas[[#This Row],[PRECIO]]*Salidas[[#This Row],[CANTIDAD]]</f>
        <v>35000</v>
      </c>
      <c r="H18" s="84">
        <f>VLOOKUP(Salidas[[#This Row],[CODIGO ]],Inventario[],10,FALSE)</f>
        <v>17000</v>
      </c>
    </row>
    <row r="19" spans="1:8" ht="40.5" customHeight="1">
      <c r="A19" s="18"/>
      <c r="B19" s="20"/>
      <c r="C19" s="146" t="s">
        <v>589</v>
      </c>
      <c r="D19" s="83" t="str">
        <f>IFERROR(INDEX(Inventari_2[#All],MATCH(Salidas[[#This Row],[CODIGO ]],Inventari_2[[#Headers],[#Data],[CODIGO]],0),2),"")</f>
        <v>STIKERS</v>
      </c>
      <c r="E19">
        <v>1</v>
      </c>
      <c r="F19" s="43">
        <f>VLOOKUP(Salidas[[#This Row],[CODIGO ]],Inventari_2[],8,FALSE)</f>
        <v>1000</v>
      </c>
      <c r="G19" s="44">
        <f>Salidas[[#This Row],[PRECIO]]*Salidas[[#This Row],[CANTIDAD]]</f>
        <v>1000</v>
      </c>
      <c r="H19" s="84">
        <f>VLOOKUP(Salidas[[#This Row],[CODIGO ]],Inventario[],10,FALSE)</f>
        <v>500</v>
      </c>
    </row>
    <row r="20" spans="1:8" ht="40.5" customHeight="1">
      <c r="A20" s="18"/>
      <c r="B20" s="20"/>
      <c r="C20" s="160">
        <v>6970323226378</v>
      </c>
      <c r="D20" s="83" t="str">
        <f>IFERROR(INDEX(Inventari_2[#All],MATCH(Salidas[[#This Row],[CODIGO ]],Inventari_2[[#Headers],[#Data],[CODIGO]],0),2),"")</f>
        <v>LEGO COLECCIÓN *12</v>
      </c>
      <c r="E20">
        <v>1</v>
      </c>
      <c r="F20" s="43">
        <f>VLOOKUP(Salidas[[#This Row],[CODIGO ]],Inventari_2[],8,FALSE)</f>
        <v>40000</v>
      </c>
      <c r="G20" s="44">
        <f>Salidas[[#This Row],[PRECIO]]*Salidas[[#This Row],[CANTIDAD]]</f>
        <v>40000</v>
      </c>
      <c r="H20" s="84">
        <f>VLOOKUP(Salidas[[#This Row],[CODIGO ]],Inventario[],10,FALSE)</f>
        <v>21000</v>
      </c>
    </row>
    <row r="21" spans="1:8" ht="40.5" customHeight="1">
      <c r="A21" s="18"/>
      <c r="B21" s="20"/>
      <c r="C21" s="92">
        <v>6971010800499</v>
      </c>
      <c r="D21" s="83" t="str">
        <f>IFERROR(INDEX(Inventari_2[#All],MATCH(Salidas[[#This Row],[CODIGO ]],Inventari_2[[#Headers],[#Data],[CODIGO]],0),2),"")</f>
        <v>LAPIZ INFINITO NUEVO</v>
      </c>
      <c r="E21">
        <v>1</v>
      </c>
      <c r="F21" s="43">
        <f>VLOOKUP(Salidas[[#This Row],[CODIGO ]],Inventari_2[],8,FALSE)</f>
        <v>7000</v>
      </c>
      <c r="G21" s="44">
        <f>Salidas[[#This Row],[PRECIO]]*Salidas[[#This Row],[CANTIDAD]]</f>
        <v>7000</v>
      </c>
      <c r="H21" s="84">
        <f>VLOOKUP(Salidas[[#This Row],[CODIGO ]],Inventario[],10,FALSE)</f>
        <v>3500</v>
      </c>
    </row>
    <row r="22" spans="1:8" ht="40.5" customHeight="1">
      <c r="A22" s="18"/>
      <c r="B22" s="20"/>
      <c r="C22" s="87">
        <v>6690002500642</v>
      </c>
      <c r="D22" s="83" t="str">
        <f>IFERROR(INDEX(Inventari_2[#All],MATCH(Salidas[[#This Row],[CODIGO ]],Inventari_2[[#Headers],[#Data],[CODIGO]],0),2),"")</f>
        <v>RELOJ DESPERTADOR KUROMI</v>
      </c>
      <c r="E22">
        <v>1</v>
      </c>
      <c r="F22" s="43">
        <f>VLOOKUP(Salidas[[#This Row],[CODIGO ]],Inventari_2[],8,FALSE)</f>
        <v>20000</v>
      </c>
      <c r="G22" s="44">
        <f>Salidas[[#This Row],[PRECIO]]*Salidas[[#This Row],[CANTIDAD]]</f>
        <v>20000</v>
      </c>
      <c r="H22" s="84">
        <f>VLOOKUP(Salidas[[#This Row],[CODIGO ]],Inventario[],10,FALSE)</f>
        <v>11000</v>
      </c>
    </row>
    <row r="23" spans="1:8" ht="40.5" customHeight="1">
      <c r="A23" s="18"/>
      <c r="B23" s="20"/>
      <c r="C23" s="235" t="s">
        <v>909</v>
      </c>
      <c r="D23" s="83" t="str">
        <f>IFERROR(INDEX(Inventari_2[#All],MATCH(Salidas[[#This Row],[CODIGO ]],Inventari_2[[#Headers],[#Data],[CODIGO]],0),2),"")</f>
        <v>TERMO 3 EN 1</v>
      </c>
      <c r="E23">
        <v>1</v>
      </c>
      <c r="F23" s="43">
        <f>VLOOKUP(Salidas[[#This Row],[CODIGO ]],Inventari_2[],8,FALSE)</f>
        <v>40000</v>
      </c>
      <c r="G23" s="44">
        <v>45000</v>
      </c>
      <c r="H23" s="84">
        <v>15000</v>
      </c>
    </row>
    <row r="24" spans="1:8" ht="40.5" customHeight="1">
      <c r="A24" s="18"/>
      <c r="B24" s="20"/>
      <c r="C24" s="142" t="s">
        <v>580</v>
      </c>
      <c r="D24" s="83" t="str">
        <f>IFERROR(INDEX(Inventari_2[#All],MATCH(Salidas[[#This Row],[CODIGO ]],Inventari_2[[#Headers],[#Data],[CODIGO]],0),2),"")</f>
        <v>SOBRE DE CARTAS *50</v>
      </c>
      <c r="E24">
        <v>1</v>
      </c>
      <c r="F24" s="43">
        <f>VLOOKUP(Salidas[[#This Row],[CODIGO ]],Inventari_2[],8,FALSE)</f>
        <v>10000</v>
      </c>
      <c r="G24" s="44">
        <f>Salidas[[#This Row],[PRECIO]]*Salidas[[#This Row],[CANTIDAD]]</f>
        <v>10000</v>
      </c>
      <c r="H24" s="84">
        <f>VLOOKUP(Salidas[[#This Row],[CODIGO ]],Inventario[],10,FALSE)</f>
        <v>4000</v>
      </c>
    </row>
    <row r="25" spans="1:8" ht="40.5" customHeight="1">
      <c r="A25" s="18"/>
      <c r="B25" s="20"/>
      <c r="C25" s="142">
        <v>6982023157050</v>
      </c>
      <c r="D25" s="83" t="str">
        <f>IFERROR(INDEX(Inventari_2[#All],MATCH(Salidas[[#This Row],[CODIGO ]],Inventari_2[[#Headers],[#Data],[CODIGO]],0),2),"")</f>
        <v>MINI LIBRETA SAN RIO</v>
      </c>
      <c r="E25">
        <v>1</v>
      </c>
      <c r="F25" s="43">
        <f>VLOOKUP(Salidas[[#This Row],[CODIGO ]],Inventari_2[],8,FALSE)</f>
        <v>7000</v>
      </c>
      <c r="G25" s="44">
        <f>Salidas[[#This Row],[PRECIO]]*Salidas[[#This Row],[CANTIDAD]]</f>
        <v>7000</v>
      </c>
      <c r="H25" s="84">
        <f>VLOOKUP(Salidas[[#This Row],[CODIGO ]],Inventario[],10,FALSE)</f>
        <v>3000</v>
      </c>
    </row>
    <row r="26" spans="1:8" ht="40.5" customHeight="1">
      <c r="A26" s="18"/>
      <c r="B26" s="20"/>
      <c r="C26" s="86">
        <v>1232022120117</v>
      </c>
      <c r="D26" s="83" t="str">
        <f>IFERROR(INDEX(Inventari_2[#All],MATCH(Salidas[[#This Row],[CODIGO ]],Inventari_2[[#Headers],[#Data],[CODIGO]],0),2),"")</f>
        <v>AGENDA 5 MATERIA KUROMI</v>
      </c>
      <c r="E26">
        <v>1</v>
      </c>
      <c r="F26" s="43">
        <f>VLOOKUP(Salidas[[#This Row],[CODIGO ]],Inventari_2[],8,FALSE)</f>
        <v>25000</v>
      </c>
      <c r="G26" s="44">
        <f>Salidas[[#This Row],[PRECIO]]*Salidas[[#This Row],[CANTIDAD]]</f>
        <v>25000</v>
      </c>
      <c r="H26" s="84">
        <f>VLOOKUP(Salidas[[#This Row],[CODIGO ]],Inventario[],10,FALSE)</f>
        <v>15000</v>
      </c>
    </row>
    <row r="27" spans="1:8" ht="40.5" customHeight="1">
      <c r="A27" s="18"/>
      <c r="B27" s="20"/>
      <c r="C27" s="105">
        <v>6971010802493</v>
      </c>
      <c r="D27" s="83" t="str">
        <f>IFERROR(INDEX(Inventari_2[#All],MATCH(Salidas[[#This Row],[CODIGO ]],Inventari_2[[#Headers],[#Data],[CODIGO]],0),2),"")</f>
        <v>ESFERO MULTIMINAS *10</v>
      </c>
      <c r="E27">
        <v>1</v>
      </c>
      <c r="F27" s="43">
        <f>VLOOKUP(Salidas[[#This Row],[CODIGO ]],Inventari_2[],8,FALSE)</f>
        <v>7000</v>
      </c>
      <c r="G27" s="44">
        <f>Salidas[[#This Row],[PRECIO]]*Salidas[[#This Row],[CANTIDAD]]</f>
        <v>7000</v>
      </c>
      <c r="H27" s="84">
        <f>VLOOKUP(Salidas[[#This Row],[CODIGO ]],Inventario[],10,FALSE)</f>
        <v>3500</v>
      </c>
    </row>
    <row r="28" spans="1:8" ht="40.5" customHeight="1">
      <c r="A28" s="18"/>
      <c r="B28" s="20"/>
      <c r="C28" s="86">
        <v>6909620885865</v>
      </c>
      <c r="D28" s="83" t="str">
        <f>IFERROR(INDEX(Inventari_2[#All],MATCH(Salidas[[#This Row],[CODIGO ]],Inventari_2[[#Headers],[#Data],[CODIGO]],0),2),"")</f>
        <v>NOTAS ADHESIVOS</v>
      </c>
      <c r="E28">
        <v>1</v>
      </c>
      <c r="F28" s="43">
        <f>VLOOKUP(Salidas[[#This Row],[CODIGO ]],Inventari_2[],8,FALSE)</f>
        <v>5000</v>
      </c>
      <c r="G28" s="44">
        <f>Salidas[[#This Row],[PRECIO]]*Salidas[[#This Row],[CANTIDAD]]</f>
        <v>5000</v>
      </c>
      <c r="H28" s="84">
        <f>VLOOKUP(Salidas[[#This Row],[CODIGO ]],Inventario[],10,FALSE)</f>
        <v>3000</v>
      </c>
    </row>
    <row r="29" spans="1:8" ht="40.5" customHeight="1">
      <c r="A29" s="18"/>
      <c r="B29" s="20"/>
      <c r="C29" s="142" t="s">
        <v>39</v>
      </c>
      <c r="D29" s="83" t="str">
        <f>IFERROR(INDEX(Inventari_2[#All],MATCH(Salidas[[#This Row],[CODIGO ]],Inventari_2[[#Headers],[#Data],[CODIGO]],0),2),"")</f>
        <v>ARETE GRANDE</v>
      </c>
      <c r="E29">
        <v>1</v>
      </c>
      <c r="F29" s="43">
        <f>VLOOKUP(Salidas[[#This Row],[CODIGO ]],Inventari_2[],8,FALSE)</f>
        <v>15000</v>
      </c>
      <c r="G29" s="44">
        <f>Salidas[[#This Row],[PRECIO]]*Salidas[[#This Row],[CANTIDAD]]</f>
        <v>15000</v>
      </c>
      <c r="H29" s="84">
        <f>VLOOKUP(Salidas[[#This Row],[CODIGO ]],Inventario[],10,FALSE)</f>
        <v>10000</v>
      </c>
    </row>
    <row r="30" spans="1:8" ht="40.5" customHeight="1">
      <c r="A30" s="18"/>
      <c r="B30" s="20"/>
      <c r="C30" s="151" t="s">
        <v>816</v>
      </c>
      <c r="D30" s="83" t="str">
        <f>IFERROR(INDEX(Inventari_2[#All],MATCH(Salidas[[#This Row],[CODIGO ]],Inventari_2[[#Headers],[#Data],[CODIGO]],0),2),"")</f>
        <v/>
      </c>
      <c r="E30">
        <v>1</v>
      </c>
      <c r="F30" s="43" t="e">
        <f>VLOOKUP(Salidas[[#This Row],[CODIGO ]],Inventari_2[],8,FALSE)</f>
        <v>#N/A</v>
      </c>
      <c r="G30" s="44" t="e">
        <f>Salidas[[#This Row],[PRECIO]]*Salidas[[#This Row],[CANTIDAD]]</f>
        <v>#N/A</v>
      </c>
      <c r="H30" s="84" t="e">
        <f>VLOOKUP(Salidas[[#This Row],[CODIGO ]],Inventario[],10,FALSE)</f>
        <v>#N/A</v>
      </c>
    </row>
    <row r="31" spans="1:8" s="110" customFormat="1" ht="40.5" customHeight="1">
      <c r="A31" s="107"/>
      <c r="B31" s="108"/>
      <c r="C31" s="109"/>
      <c r="D31" s="110" t="str">
        <f>IFERROR(INDEX(Inventari_2[#All],MATCH(Salidas[[#This Row],[CODIGO ]],Inventari_2[[#Headers],[#Data],[CODIGO]],0),2),"")</f>
        <v/>
      </c>
      <c r="E31" s="110">
        <v>1</v>
      </c>
      <c r="F31" s="111" t="e">
        <f>VLOOKUP(Salidas[[#This Row],[CODIGO ]],Inventari_2[],8,FALSE)</f>
        <v>#N/A</v>
      </c>
      <c r="G31" s="111" t="e">
        <f>Salidas[[#This Row],[PRECIO]]*Salidas[[#This Row],[CANTIDAD]]</f>
        <v>#N/A</v>
      </c>
      <c r="H31" s="112" t="e">
        <f>VLOOKUP(Salidas[[#This Row],[CODIGO ]],Inventario[],10,FALSE)</f>
        <v>#N/A</v>
      </c>
    </row>
    <row r="32" spans="1:8" ht="40.5" customHeight="1">
      <c r="A32" s="18" t="s">
        <v>817</v>
      </c>
      <c r="B32" s="20">
        <v>45725</v>
      </c>
      <c r="C32" s="92" t="s">
        <v>497</v>
      </c>
      <c r="D32" s="83" t="str">
        <f>IFERROR(INDEX(Inventari_2[#All],MATCH(Salidas[[#This Row],[CODIGO ]],Inventari_2[[#Headers],[#Data],[CODIGO]],0),2),"")</f>
        <v>POSTERS ANIME</v>
      </c>
      <c r="E32">
        <v>1</v>
      </c>
      <c r="F32" s="43">
        <f>VLOOKUP(Salidas[[#This Row],[CODIGO ]],Inventari_2[],8,FALSE)</f>
        <v>5000</v>
      </c>
      <c r="G32" s="44">
        <f>Salidas[[#This Row],[PRECIO]]*Salidas[[#This Row],[CANTIDAD]]</f>
        <v>5000</v>
      </c>
      <c r="H32" s="84">
        <f>VLOOKUP(Salidas[[#This Row],[CODIGO ]],Inventario[],10,FALSE)</f>
        <v>3500</v>
      </c>
    </row>
    <row r="33" spans="1:8" ht="40.5" customHeight="1">
      <c r="A33" s="18"/>
      <c r="B33" s="20"/>
      <c r="C33" s="146" t="s">
        <v>589</v>
      </c>
      <c r="D33" s="83" t="str">
        <f>IFERROR(INDEX(Inventari_2[#All],MATCH(Salidas[[#This Row],[CODIGO ]],Inventari_2[[#Headers],[#Data],[CODIGO]],0),2),"")</f>
        <v>STIKERS</v>
      </c>
      <c r="E33">
        <v>1</v>
      </c>
      <c r="F33" s="43">
        <f>VLOOKUP(Salidas[[#This Row],[CODIGO ]],Inventari_2[],8,FALSE)</f>
        <v>1000</v>
      </c>
      <c r="G33" s="44">
        <f>Salidas[[#This Row],[PRECIO]]*Salidas[[#This Row],[CANTIDAD]]</f>
        <v>1000</v>
      </c>
      <c r="H33" s="84">
        <f>VLOOKUP(Salidas[[#This Row],[CODIGO ]],Inventario[],10,FALSE)</f>
        <v>500</v>
      </c>
    </row>
    <row r="34" spans="1:8" ht="40.5" customHeight="1">
      <c r="A34" s="18"/>
      <c r="B34" s="20"/>
      <c r="C34" s="146" t="s">
        <v>589</v>
      </c>
      <c r="D34" s="83" t="str">
        <f>IFERROR(INDEX(Inventari_2[#All],MATCH(Salidas[[#This Row],[CODIGO ]],Inventari_2[[#Headers],[#Data],[CODIGO]],0),2),"")</f>
        <v>STIKERS</v>
      </c>
      <c r="E34">
        <v>1</v>
      </c>
      <c r="F34" s="43">
        <f>VLOOKUP(Salidas[[#This Row],[CODIGO ]],Inventari_2[],8,FALSE)</f>
        <v>1000</v>
      </c>
      <c r="G34" s="44">
        <f>Salidas[[#This Row],[PRECIO]]*Salidas[[#This Row],[CANTIDAD]]</f>
        <v>1000</v>
      </c>
      <c r="H34" s="84">
        <f>VLOOKUP(Salidas[[#This Row],[CODIGO ]],Inventario[],10,FALSE)</f>
        <v>500</v>
      </c>
    </row>
    <row r="35" spans="1:8" ht="40.5" customHeight="1">
      <c r="A35" s="18"/>
      <c r="B35" s="20"/>
      <c r="C35" s="236" t="s">
        <v>906</v>
      </c>
      <c r="D35" s="83" t="str">
        <f>IFERROR(INDEX(Inventari_2[#All],MATCH(Salidas[[#This Row],[CODIGO ]],Inventari_2[[#Headers],[#Data],[CODIGO]],0),2),"")</f>
        <v>CAJA MUSICAL SERIES</v>
      </c>
      <c r="E35">
        <v>1</v>
      </c>
      <c r="F35" s="43">
        <f>VLOOKUP(Salidas[[#This Row],[CODIGO ]],Inventari_2[],8,FALSE)</f>
        <v>30000</v>
      </c>
      <c r="G35" s="44">
        <f>Salidas[[#This Row],[PRECIO]]*Salidas[[#This Row],[CANTIDAD]]</f>
        <v>30000</v>
      </c>
      <c r="H35" s="84">
        <f>VLOOKUP(Salidas[[#This Row],[CODIGO ]],Inventario[],10,FALSE)</f>
        <v>13000</v>
      </c>
    </row>
    <row r="36" spans="1:8" ht="40.5" customHeight="1">
      <c r="A36" s="18"/>
      <c r="B36" s="20"/>
      <c r="C36" s="235" t="s">
        <v>887</v>
      </c>
      <c r="D36" s="83" t="str">
        <f>IFERROR(INDEX(Inventari_2[#All],MATCH(Salidas[[#This Row],[CODIGO ]],Inventari_2[[#Headers],[#Data],[CODIGO]],0),2),"")</f>
        <v>RELOJ BOLSILLO</v>
      </c>
      <c r="E36">
        <v>1</v>
      </c>
      <c r="F36" s="43">
        <f>VLOOKUP(Salidas[[#This Row],[CODIGO ]],Inventari_2[],8,FALSE)</f>
        <v>30000</v>
      </c>
      <c r="G36" s="44">
        <f>Salidas[[#This Row],[PRECIO]]*Salidas[[#This Row],[CANTIDAD]]</f>
        <v>30000</v>
      </c>
      <c r="H36" s="84">
        <f>VLOOKUP(Salidas[[#This Row],[CODIGO ]],Inventario[],10,FALSE)</f>
        <v>15000</v>
      </c>
    </row>
    <row r="37" spans="1:8" ht="40.5" customHeight="1">
      <c r="A37" s="18"/>
      <c r="B37" s="20"/>
      <c r="C37" s="92">
        <v>6971010800499</v>
      </c>
      <c r="D37" s="83" t="str">
        <f>IFERROR(INDEX(Inventari_2[#All],MATCH(Salidas[[#This Row],[CODIGO ]],Inventari_2[[#Headers],[#Data],[CODIGO]],0),2),"")</f>
        <v>LAPIZ INFINITO NUEVO</v>
      </c>
      <c r="E37">
        <v>1</v>
      </c>
      <c r="F37" s="43">
        <f>VLOOKUP(Salidas[[#This Row],[CODIGO ]],Inventari_2[],8,FALSE)</f>
        <v>7000</v>
      </c>
      <c r="G37" s="44">
        <f>Salidas[[#This Row],[PRECIO]]*Salidas[[#This Row],[CANTIDAD]]</f>
        <v>7000</v>
      </c>
      <c r="H37" s="84">
        <f>VLOOKUP(Salidas[[#This Row],[CODIGO ]],Inventario[],10,FALSE)</f>
        <v>3500</v>
      </c>
    </row>
    <row r="38" spans="1:8" ht="40.5" customHeight="1">
      <c r="A38" s="18"/>
      <c r="B38" s="20"/>
      <c r="C38" s="151" t="s">
        <v>436</v>
      </c>
      <c r="D38" s="83" t="str">
        <f>IFERROR(INDEX(Inventari_2[#All],MATCH(Salidas[[#This Row],[CODIGO ]],Inventari_2[[#Headers],[#Data],[CODIGO]],0),2),"")</f>
        <v/>
      </c>
      <c r="E38">
        <v>1</v>
      </c>
      <c r="F38" s="43" t="e">
        <f>VLOOKUP(Salidas[[#This Row],[CODIGO ]],Inventari_2[],8,FALSE)</f>
        <v>#N/A</v>
      </c>
      <c r="G38" s="44" t="e">
        <f>Salidas[[#This Row],[PRECIO]]*Salidas[[#This Row],[CANTIDAD]]</f>
        <v>#N/A</v>
      </c>
      <c r="H38" s="84" t="e">
        <f>VLOOKUP(Salidas[[#This Row],[CODIGO ]],Inventario[],10,FALSE)</f>
        <v>#N/A</v>
      </c>
    </row>
    <row r="39" spans="1:8" ht="40.5" customHeight="1">
      <c r="A39" s="18"/>
      <c r="B39" s="20"/>
      <c r="C39" s="92">
        <v>6971010800499</v>
      </c>
      <c r="D39" s="83" t="str">
        <f>IFERROR(INDEX(Inventari_2[#All],MATCH(Salidas[[#This Row],[CODIGO ]],Inventari_2[[#Headers],[#Data],[CODIGO]],0),2),"")</f>
        <v>LAPIZ INFINITO NUEVO</v>
      </c>
      <c r="E39">
        <v>3</v>
      </c>
      <c r="F39" s="43">
        <f>VLOOKUP(Salidas[[#This Row],[CODIGO ]],Inventari_2[],8,FALSE)</f>
        <v>7000</v>
      </c>
      <c r="G39" s="44">
        <f>Salidas[[#This Row],[PRECIO]]*Salidas[[#This Row],[CANTIDAD]]</f>
        <v>21000</v>
      </c>
      <c r="H39" s="84">
        <f>VLOOKUP(Salidas[[#This Row],[CODIGO ]],Inventario[],10,FALSE)*Salidas[[#This Row],[CANTIDAD]]</f>
        <v>10500</v>
      </c>
    </row>
    <row r="40" spans="1:8" ht="40.5" customHeight="1">
      <c r="A40" s="18"/>
      <c r="B40" s="20"/>
      <c r="C40" s="145" t="s">
        <v>396</v>
      </c>
      <c r="D40" s="83" t="str">
        <f>IFERROR(INDEX(Inventari_2[#All],MATCH(Salidas[[#This Row],[CODIGO ]],Inventari_2[[#Headers],[#Data],[CODIGO]],0),2),"")</f>
        <v>MINAS RESPUESTO LAPIZ INFNITO</v>
      </c>
      <c r="E40">
        <v>1</v>
      </c>
      <c r="F40" s="43">
        <f>VLOOKUP(Salidas[[#This Row],[CODIGO ]],Inventari_2[],8,FALSE)</f>
        <v>2500</v>
      </c>
      <c r="G40" s="44">
        <f>Salidas[[#This Row],[PRECIO]]*Salidas[[#This Row],[CANTIDAD]]</f>
        <v>2500</v>
      </c>
      <c r="H40" s="84">
        <f>VLOOKUP(Salidas[[#This Row],[CODIGO ]],Inventario[],10,FALSE)</f>
        <v>1200</v>
      </c>
    </row>
    <row r="41" spans="1:8" ht="40.5" customHeight="1">
      <c r="A41" s="18"/>
      <c r="B41" s="20"/>
      <c r="C41" s="145" t="s">
        <v>396</v>
      </c>
      <c r="D41" s="83" t="str">
        <f>IFERROR(INDEX(Inventari_2[#All],MATCH(Salidas[[#This Row],[CODIGO ]],Inventari_2[[#Headers],[#Data],[CODIGO]],0),2),"")</f>
        <v>MINAS RESPUESTO LAPIZ INFNITO</v>
      </c>
      <c r="E41">
        <v>1</v>
      </c>
      <c r="F41" s="43">
        <f>VLOOKUP(Salidas[[#This Row],[CODIGO ]],Inventari_2[],8,FALSE)</f>
        <v>2500</v>
      </c>
      <c r="G41" s="44">
        <f>Salidas[[#This Row],[PRECIO]]*Salidas[[#This Row],[CANTIDAD]]</f>
        <v>2500</v>
      </c>
      <c r="H41" s="84">
        <f>VLOOKUP(Salidas[[#This Row],[CODIGO ]],Inventario[],10,FALSE)</f>
        <v>1200</v>
      </c>
    </row>
    <row r="42" spans="1:8" ht="40.5" customHeight="1">
      <c r="A42" s="18"/>
      <c r="B42" s="113"/>
      <c r="C42" s="76">
        <v>6959023913566</v>
      </c>
      <c r="D42" s="83" t="str">
        <f>IFERROR(INDEX(Inventari_2[#All],MATCH(Salidas[[#This Row],[CODIGO ]],Inventari_2[[#Headers],[#Data],[CODIGO]],0),2),"")</f>
        <v>BORRADOR BARRA HUELLA</v>
      </c>
      <c r="E42">
        <v>1</v>
      </c>
      <c r="F42" s="43">
        <v>5000</v>
      </c>
      <c r="G42" s="44">
        <f>Salidas[[#This Row],[PRECIO]]*Salidas[[#This Row],[CANTIDAD]]</f>
        <v>5000</v>
      </c>
      <c r="H42" s="84">
        <f>VLOOKUP(Salidas[[#This Row],[CODIGO ]],Inventario[],10,FALSE)</f>
        <v>3700</v>
      </c>
    </row>
    <row r="43" spans="1:8" ht="40.5" customHeight="1">
      <c r="A43" s="18"/>
      <c r="B43" s="20"/>
      <c r="C43" s="157" t="s">
        <v>126</v>
      </c>
      <c r="D43" s="83" t="str">
        <f>IFERROR(INDEX(Inventari_2[#All],MATCH(Salidas[[#This Row],[CODIGO ]],Inventari_2[[#Headers],[#Data],[CODIGO]],0),2),"")</f>
        <v>CAJA DE CARTAS *10</v>
      </c>
      <c r="E43">
        <v>1</v>
      </c>
      <c r="F43" s="43">
        <f>VLOOKUP(Salidas[[#This Row],[CODIGO ]],Inventari_2[],8,FALSE)</f>
        <v>5000</v>
      </c>
      <c r="G43" s="44">
        <f>Salidas[[#This Row],[PRECIO]]*Salidas[[#This Row],[CANTIDAD]]</f>
        <v>5000</v>
      </c>
      <c r="H43" s="84">
        <f>VLOOKUP(Salidas[[#This Row],[CODIGO ]],Inventario[],10,FALSE)</f>
        <v>3917</v>
      </c>
    </row>
    <row r="44" spans="1:8" ht="40.5" customHeight="1">
      <c r="A44" s="18"/>
      <c r="B44" s="113"/>
      <c r="C44" s="235" t="s">
        <v>905</v>
      </c>
      <c r="D44" s="83" t="str">
        <f>IFERROR(INDEX(Inventari_2[#All],MATCH(Salidas[[#This Row],[CODIGO ]],Inventari_2[[#Headers],[#Data],[CODIGO]],0),2),"")</f>
        <v xml:space="preserve">BILLETERA ANIME RELIEVE </v>
      </c>
      <c r="E44">
        <v>1</v>
      </c>
      <c r="F44" s="43">
        <f>VLOOKUP(Salidas[[#This Row],[CODIGO ]],Inventari_2[],8,FALSE)</f>
        <v>30000</v>
      </c>
      <c r="G44" s="44">
        <f>Salidas[[#This Row],[PRECIO]]*Salidas[[#This Row],[CANTIDAD]]</f>
        <v>30000</v>
      </c>
      <c r="H44" s="84">
        <f>VLOOKUP(Salidas[[#This Row],[CODIGO ]],Inventario[],10,FALSE)</f>
        <v>13000</v>
      </c>
    </row>
    <row r="45" spans="1:8" ht="40.5" customHeight="1">
      <c r="A45" s="18"/>
      <c r="B45" s="20"/>
      <c r="C45" s="146" t="s">
        <v>589</v>
      </c>
      <c r="D45" s="83" t="str">
        <f>IFERROR(INDEX(Inventari_2[#All],MATCH(Salidas[[#This Row],[CODIGO ]],Inventari_2[[#Headers],[#Data],[CODIGO]],0),2),"")</f>
        <v>STIKERS</v>
      </c>
      <c r="E45">
        <v>1</v>
      </c>
      <c r="F45" s="43">
        <f>VLOOKUP(Salidas[[#This Row],[CODIGO ]],Inventari_2[],8,FALSE)</f>
        <v>1000</v>
      </c>
      <c r="G45" s="44">
        <f>Salidas[[#This Row],[PRECIO]]*Salidas[[#This Row],[CANTIDAD]]</f>
        <v>1000</v>
      </c>
      <c r="H45" s="84">
        <f>VLOOKUP(Salidas[[#This Row],[CODIGO ]],Inventario[],10,FALSE)</f>
        <v>500</v>
      </c>
    </row>
    <row r="46" spans="1:8" ht="40.5" customHeight="1">
      <c r="A46" s="18"/>
      <c r="B46" s="20"/>
      <c r="C46" s="146" t="s">
        <v>589</v>
      </c>
      <c r="D46" s="83" t="str">
        <f>IFERROR(INDEX(Inventari_2[#All],MATCH(Salidas[[#This Row],[CODIGO ]],Inventari_2[[#Headers],[#Data],[CODIGO]],0),2),"")</f>
        <v>STIKERS</v>
      </c>
      <c r="E46">
        <v>2</v>
      </c>
      <c r="F46" s="43">
        <f>VLOOKUP(Salidas[[#This Row],[CODIGO ]],Inventari_2[],8,FALSE)</f>
        <v>1000</v>
      </c>
      <c r="G46" s="44">
        <f>Salidas[[#This Row],[PRECIO]]*Salidas[[#This Row],[CANTIDAD]]</f>
        <v>2000</v>
      </c>
      <c r="H46" s="84">
        <f>VLOOKUP(Salidas[[#This Row],[CODIGO ]],Inventario[],10,FALSE)</f>
        <v>500</v>
      </c>
    </row>
    <row r="47" spans="1:8" ht="40.5" customHeight="1">
      <c r="A47" s="18"/>
      <c r="B47" s="20"/>
      <c r="C47" s="146" t="s">
        <v>62</v>
      </c>
      <c r="D47" s="83" t="str">
        <f>IFERROR(INDEX(Inventari_2[#All],MATCH(Salidas[[#This Row],[CODIGO ]],Inventari_2[[#Headers],[#Data],[CODIGO]],0),2),"")</f>
        <v>BOLIGRAFO GEL</v>
      </c>
      <c r="E47">
        <v>6</v>
      </c>
      <c r="F47" s="43">
        <f>VLOOKUP(Salidas[[#This Row],[CODIGO ]],Inventari_2[],8,FALSE)</f>
        <v>2000</v>
      </c>
      <c r="G47" s="44">
        <f>Salidas[[#This Row],[PRECIO]]*Salidas[[#This Row],[CANTIDAD]]</f>
        <v>12000</v>
      </c>
      <c r="H47" s="84">
        <f>VLOOKUP(Salidas[[#This Row],[CODIGO ]],Inventario[],10,FALSE)*Salidas[[#This Row],[CANTIDAD]]</f>
        <v>6600</v>
      </c>
    </row>
    <row r="48" spans="1:8" s="67" customFormat="1" ht="40.5" customHeight="1" thickBot="1">
      <c r="A48" s="65"/>
      <c r="B48" s="66"/>
      <c r="C48" s="114"/>
      <c r="D48" s="67" t="str">
        <f>IFERROR(INDEX(Inventari_2[#All],MATCH(Salidas[[#This Row],[CODIGO ]],Inventari_2[[#Headers],[#Data],[CODIGO]],0),2),"")</f>
        <v/>
      </c>
      <c r="E48" s="67">
        <v>1</v>
      </c>
      <c r="F48" s="68" t="e">
        <f>VLOOKUP(Salidas[[#This Row],[CODIGO ]],Inventari_2[],8,FALSE)</f>
        <v>#N/A</v>
      </c>
      <c r="G48" s="115" t="e">
        <f>Salidas[[#This Row],[PRECIO]]*Salidas[[#This Row],[CANTIDAD]]</f>
        <v>#N/A</v>
      </c>
      <c r="H48" s="116" t="e">
        <f>VLOOKUP(Salidas[[#This Row],[CODIGO ]],Inventario[],10,FALSE)</f>
        <v>#N/A</v>
      </c>
    </row>
    <row r="49" spans="1:8" ht="40.5" customHeight="1" thickBot="1">
      <c r="A49" s="18" t="s">
        <v>818</v>
      </c>
      <c r="B49" s="20">
        <v>45746</v>
      </c>
      <c r="C49" s="117" t="s">
        <v>589</v>
      </c>
      <c r="D49" s="83" t="str">
        <f>IFERROR(INDEX(Inventari_2[#All],MATCH(Salidas[[#This Row],[CODIGO ]],Inventari_2[[#Headers],[#Data],[CODIGO]],0),2),"")</f>
        <v>STIKERS</v>
      </c>
      <c r="E49">
        <v>1</v>
      </c>
      <c r="F49" s="43">
        <f>VLOOKUP(Salidas[[#This Row],[CODIGO ]],Inventari_2[],8,FALSE)</f>
        <v>1000</v>
      </c>
      <c r="G49" s="44">
        <f>Salidas[[#This Row],[PRECIO]]*Salidas[[#This Row],[CANTIDAD]]</f>
        <v>1000</v>
      </c>
      <c r="H49" s="84">
        <f>VLOOKUP(Salidas[[#This Row],[CODIGO ]],Inventario[],10,FALSE)</f>
        <v>500</v>
      </c>
    </row>
    <row r="50" spans="1:8" ht="40.5" customHeight="1" thickBot="1">
      <c r="A50" s="18"/>
      <c r="B50" s="20"/>
      <c r="C50" s="127" t="s">
        <v>900</v>
      </c>
      <c r="D50" s="83" t="str">
        <f>IFERROR(INDEX(Inventari_2[#All],MATCH(Salidas[[#This Row],[CODIGO ]],Inventari_2[[#Headers],[#Data],[CODIGO]],0),2),"")</f>
        <v>MONEDEROS PEQUEÑOS ANIME</v>
      </c>
      <c r="E50">
        <v>1</v>
      </c>
      <c r="F50" s="43">
        <f>VLOOKUP(Salidas[[#This Row],[CODIGO ]],Inventari_2[],8,FALSE)</f>
        <v>8000</v>
      </c>
      <c r="G50" s="44">
        <f>Salidas[[#This Row],[PRECIO]]*Salidas[[#This Row],[CANTIDAD]]</f>
        <v>8000</v>
      </c>
      <c r="H50" s="84">
        <f>VLOOKUP(Salidas[[#This Row],[CODIGO ]],Inventario[],10,FALSE)</f>
        <v>4500</v>
      </c>
    </row>
    <row r="51" spans="1:8" ht="40.5" customHeight="1" thickBot="1">
      <c r="A51" s="18"/>
      <c r="B51" s="20"/>
      <c r="C51" s="128">
        <v>6982023157050</v>
      </c>
      <c r="D51" s="83" t="str">
        <f>IFERROR(INDEX(Inventari_2[#All],MATCH(Salidas[[#This Row],[CODIGO ]],Inventari_2[[#Headers],[#Data],[CODIGO]],0),2),"")</f>
        <v>MINI LIBRETA SAN RIO</v>
      </c>
      <c r="E51">
        <v>1</v>
      </c>
      <c r="F51" s="43">
        <f>VLOOKUP(Salidas[[#This Row],[CODIGO ]],Inventari_2[],8,FALSE)</f>
        <v>7000</v>
      </c>
      <c r="G51" s="44">
        <f>Salidas[[#This Row],[PRECIO]]*Salidas[[#This Row],[CANTIDAD]]</f>
        <v>7000</v>
      </c>
      <c r="H51" s="84">
        <f>VLOOKUP(Salidas[[#This Row],[CODIGO ]],Inventario[],10,FALSE)</f>
        <v>3000</v>
      </c>
    </row>
    <row r="52" spans="1:8" ht="40.5" customHeight="1" thickBot="1">
      <c r="A52" s="18"/>
      <c r="B52" s="20"/>
      <c r="C52" s="119" t="s">
        <v>636</v>
      </c>
      <c r="D52" s="83" t="str">
        <f>IFERROR(INDEX(Inventari_2[#All],MATCH(Salidas[[#This Row],[CODIGO ]],Inventari_2[[#Headers],[#Data],[CODIGO]],0),2),"")</f>
        <v>COLLARES DRAGON</v>
      </c>
      <c r="E52">
        <v>1</v>
      </c>
      <c r="F52" s="43">
        <f>VLOOKUP(Salidas[[#This Row],[CODIGO ]],Inventari_2[],8,FALSE)</f>
        <v>18833.333333333336</v>
      </c>
      <c r="G52" s="44">
        <f>Salidas[[#This Row],[PRECIO]]*Salidas[[#This Row],[CANTIDAD]]</f>
        <v>18833.333333333336</v>
      </c>
      <c r="H52" s="84">
        <f>VLOOKUP(Salidas[[#This Row],[CODIGO ]],Inventario[],10,FALSE)</f>
        <v>7533.3333333333358</v>
      </c>
    </row>
    <row r="53" spans="1:8" ht="40.5" customHeight="1" thickBot="1">
      <c r="A53" s="18"/>
      <c r="B53" s="20"/>
      <c r="C53" s="129" t="s">
        <v>634</v>
      </c>
      <c r="D53" s="83" t="str">
        <f>IFERROR(INDEX(Inventari_2[#All],MATCH(Salidas[[#This Row],[CODIGO ]],Inventari_2[[#Headers],[#Data],[CODIGO]],0),2),"")</f>
        <v>PROTECTORDE CARGADOR</v>
      </c>
      <c r="E53">
        <v>1</v>
      </c>
      <c r="F53" s="43">
        <f>VLOOKUP(Salidas[[#This Row],[CODIGO ]],Inventari_2[],8,FALSE)</f>
        <v>31666.666666666668</v>
      </c>
      <c r="G53" s="44">
        <f>Salidas[[#This Row],[PRECIO]]*Salidas[[#This Row],[CANTIDAD]]</f>
        <v>31666.666666666668</v>
      </c>
      <c r="H53" s="84">
        <f>VLOOKUP(Salidas[[#This Row],[CODIGO ]],Inventario[],10,FALSE)</f>
        <v>12666.666666666668</v>
      </c>
    </row>
    <row r="54" spans="1:8" ht="40.5" customHeight="1" thickBot="1">
      <c r="A54" s="18"/>
      <c r="B54" s="20"/>
      <c r="C54" s="131" t="s">
        <v>230</v>
      </c>
      <c r="D54" s="83" t="str">
        <f>IFERROR(INDEX(Inventari_2[#All],MATCH(Salidas[[#This Row],[CODIGO ]],Inventari_2[[#Headers],[#Data],[CODIGO]],0),2),"")</f>
        <v>DOCENA DE TOPOS</v>
      </c>
      <c r="E54">
        <v>1</v>
      </c>
      <c r="F54" s="43">
        <f>VLOOKUP(Salidas[[#This Row],[CODIGO ]],Inventari_2[],8,FALSE)</f>
        <v>3000</v>
      </c>
      <c r="G54" s="44">
        <f>Salidas[[#This Row],[PRECIO]]*Salidas[[#This Row],[CANTIDAD]]</f>
        <v>3000</v>
      </c>
      <c r="H54" s="84">
        <f>VLOOKUP(Salidas[[#This Row],[CODIGO ]],Inventario[],10,FALSE)</f>
        <v>1500</v>
      </c>
    </row>
    <row r="55" spans="1:8" ht="40.5" customHeight="1" thickBot="1">
      <c r="A55" s="18"/>
      <c r="B55" s="20"/>
      <c r="C55" s="121" t="s">
        <v>466</v>
      </c>
      <c r="D55" s="83" t="str">
        <f>IFERROR(INDEX(Inventari_2[#All],MATCH(Salidas[[#This Row],[CODIGO ]],Inventari_2[[#Headers],[#Data],[CODIGO]],0),2),"")</f>
        <v>PLANILLERO LIBRETA KUROMI</v>
      </c>
      <c r="E55">
        <v>1</v>
      </c>
      <c r="F55" s="43">
        <f>VLOOKUP(Salidas[[#This Row],[CODIGO ]],Inventari_2[],8,FALSE)</f>
        <v>5000</v>
      </c>
      <c r="G55" s="44">
        <f>Salidas[[#This Row],[PRECIO]]*Salidas[[#This Row],[CANTIDAD]]</f>
        <v>5000</v>
      </c>
      <c r="H55" s="84">
        <f>VLOOKUP(Salidas[[#This Row],[CODIGO ]],Inventario[],10,FALSE)</f>
        <v>2800</v>
      </c>
    </row>
    <row r="56" spans="1:8" ht="40.5" customHeight="1" thickBot="1">
      <c r="A56" s="18"/>
      <c r="B56" s="20"/>
      <c r="C56" s="119" t="s">
        <v>196</v>
      </c>
      <c r="D56" s="83" t="str">
        <f>IFERROR(INDEX(Inventari_2[#All],MATCH(Salidas[[#This Row],[CODIGO ]],Inventari_2[[#Headers],[#Data],[CODIGO]],0),2),"")</f>
        <v>COLLARES ANIME</v>
      </c>
      <c r="E56">
        <v>1</v>
      </c>
      <c r="F56" s="43">
        <f>VLOOKUP(Salidas[[#This Row],[CODIGO ]],Inventari_2[],8,FALSE)</f>
        <v>7000</v>
      </c>
      <c r="G56" s="44">
        <f>Salidas[[#This Row],[PRECIO]]*Salidas[[#This Row],[CANTIDAD]]</f>
        <v>7000</v>
      </c>
      <c r="H56" s="84">
        <f>VLOOKUP(Salidas[[#This Row],[CODIGO ]],Inventario[],10,FALSE)</f>
        <v>4000</v>
      </c>
    </row>
    <row r="57" spans="1:8" ht="40.5" customHeight="1" thickBot="1">
      <c r="A57" s="18"/>
      <c r="B57" s="20"/>
      <c r="C57" s="121">
        <v>6978156215019</v>
      </c>
      <c r="D57" s="83" t="str">
        <f>IFERROR(INDEX(Inventari_2[#All],MATCH(Salidas[[#This Row],[CODIGO ]],Inventari_2[[#Headers],[#Data],[CODIGO]],0),2),"")</f>
        <v>TABLET MAGICO</v>
      </c>
      <c r="E57">
        <v>1</v>
      </c>
      <c r="F57" s="43">
        <f>VLOOKUP(Salidas[[#This Row],[CODIGO ]],Inventari_2[],8,FALSE)</f>
        <v>15000</v>
      </c>
      <c r="G57" s="44">
        <f>Salidas[[#This Row],[PRECIO]]*Salidas[[#This Row],[CANTIDAD]]</f>
        <v>15000</v>
      </c>
      <c r="H57" s="84">
        <f>VLOOKUP(Salidas[[#This Row],[CODIGO ]],Inventario[],10,FALSE)</f>
        <v>8000</v>
      </c>
    </row>
    <row r="58" spans="1:8" ht="40.5" customHeight="1" thickBot="1">
      <c r="A58" s="18"/>
      <c r="B58" s="20"/>
      <c r="C58" s="119" t="s">
        <v>589</v>
      </c>
      <c r="D58" s="83" t="str">
        <f>IFERROR(INDEX(Inventari_2[#All],MATCH(Salidas[[#This Row],[CODIGO ]],Inventari_2[[#Headers],[#Data],[CODIGO]],0),2),"")</f>
        <v>STIKERS</v>
      </c>
      <c r="E58">
        <v>1</v>
      </c>
      <c r="F58" s="43">
        <f>VLOOKUP(Salidas[[#This Row],[CODIGO ]],Inventari_2[],8,FALSE)</f>
        <v>1000</v>
      </c>
      <c r="G58" s="44">
        <f>Salidas[[#This Row],[PRECIO]]*Salidas[[#This Row],[CANTIDAD]]</f>
        <v>1000</v>
      </c>
      <c r="H58" s="84">
        <f>VLOOKUP(Salidas[[#This Row],[CODIGO ]],Inventario[],10,FALSE)</f>
        <v>500</v>
      </c>
    </row>
    <row r="59" spans="1:8" ht="40.5" customHeight="1" thickBot="1">
      <c r="A59" s="18"/>
      <c r="B59" s="20"/>
      <c r="C59" s="121">
        <v>6936380625806</v>
      </c>
      <c r="D59" s="83" t="str">
        <f>IFERROR(INDEX(Inventari_2[#All],MATCH(Salidas[[#This Row],[CODIGO ]],Inventari_2[[#Headers],[#Data],[CODIGO]],0),2),"")</f>
        <v>CARTUCHERA MULTIFUNSIONAL</v>
      </c>
      <c r="E59">
        <v>1</v>
      </c>
      <c r="F59" s="43">
        <f>VLOOKUP(Salidas[[#This Row],[CODIGO ]],Inventari_2[],8,FALSE)</f>
        <v>30000</v>
      </c>
      <c r="G59" s="44">
        <f>Salidas[[#This Row],[PRECIO]]*Salidas[[#This Row],[CANTIDAD]]</f>
        <v>30000</v>
      </c>
      <c r="H59" s="84">
        <f>VLOOKUP(Salidas[[#This Row],[CODIGO ]],Inventario[],10,FALSE)</f>
        <v>12000</v>
      </c>
    </row>
    <row r="60" spans="1:8" ht="40.5" customHeight="1" thickBot="1">
      <c r="A60" s="18"/>
      <c r="B60" s="20"/>
      <c r="C60" s="119">
        <v>6979261520128</v>
      </c>
      <c r="D60" s="83" t="str">
        <f>IFERROR(INDEX(Inventari_2[#All],MATCH(Salidas[[#This Row],[CODIGO ]],Inventari_2[[#Headers],[#Data],[CODIGO]],0),2),"")</f>
        <v>BORRADOR INFINITO</v>
      </c>
      <c r="E60">
        <v>1</v>
      </c>
      <c r="F60" s="43">
        <f>VLOOKUP(Salidas[[#This Row],[CODIGO ]],Inventari_2[],8,FALSE)</f>
        <v>6000</v>
      </c>
      <c r="G60" s="44">
        <f>Salidas[[#This Row],[PRECIO]]*Salidas[[#This Row],[CANTIDAD]]</f>
        <v>6000</v>
      </c>
      <c r="H60" s="84">
        <f>VLOOKUP(Salidas[[#This Row],[CODIGO ]],Inventario[],10,FALSE)</f>
        <v>3800</v>
      </c>
    </row>
    <row r="61" spans="1:8" ht="40.5" customHeight="1" thickBot="1">
      <c r="A61" s="18"/>
      <c r="B61" s="20"/>
      <c r="C61" s="121">
        <v>1232022120117</v>
      </c>
      <c r="D61" s="83" t="str">
        <f>IFERROR(INDEX(Inventari_2[#All],MATCH(Salidas[[#This Row],[CODIGO ]],Inventari_2[[#Headers],[#Data],[CODIGO]],0),2),"")</f>
        <v>AGENDA 5 MATERIA KUROMI</v>
      </c>
      <c r="E61">
        <v>1</v>
      </c>
      <c r="F61" s="43">
        <f>VLOOKUP(Salidas[[#This Row],[CODIGO ]],Inventari_2[],8,FALSE)</f>
        <v>25000</v>
      </c>
      <c r="G61" s="44">
        <f>Salidas[[#This Row],[PRECIO]]*Salidas[[#This Row],[CANTIDAD]]</f>
        <v>25000</v>
      </c>
      <c r="H61" s="84">
        <f>VLOOKUP(Salidas[[#This Row],[CODIGO ]],Inventario[],10,FALSE)</f>
        <v>15000</v>
      </c>
    </row>
    <row r="62" spans="1:8" ht="40.5" customHeight="1" thickBot="1">
      <c r="A62" s="132"/>
      <c r="B62" s="133"/>
      <c r="C62" s="119">
        <v>6971010800499</v>
      </c>
      <c r="D62" s="83" t="str">
        <f>IFERROR(INDEX(Inventari_2[#All],MATCH(Salidas[[#This Row],[CODIGO ]],Inventari_2[[#Headers],[#Data],[CODIGO]],0),2),"")</f>
        <v>LAPIZ INFINITO NUEVO</v>
      </c>
      <c r="E62">
        <v>1</v>
      </c>
      <c r="F62" s="134">
        <f>VLOOKUP(Salidas[[#This Row],[CODIGO ]],Inventari_2[],8,FALSE)</f>
        <v>7000</v>
      </c>
      <c r="G62" s="44">
        <f>Salidas[[#This Row],[PRECIO]]*Salidas[[#This Row],[CANTIDAD]]</f>
        <v>7000</v>
      </c>
      <c r="H62" s="84">
        <f>VLOOKUP(Salidas[[#This Row],[CODIGO ]],Inventario[],10,FALSE)</f>
        <v>3500</v>
      </c>
    </row>
    <row r="63" spans="1:8" ht="40.5" customHeight="1" thickBot="1">
      <c r="A63" s="18"/>
      <c r="B63" s="20"/>
      <c r="C63" s="121" t="s">
        <v>396</v>
      </c>
      <c r="D63" s="83" t="str">
        <f>IFERROR(INDEX(Inventari_2[#All],MATCH(Salidas[[#This Row],[CODIGO ]],Inventari_2[[#Headers],[#Data],[CODIGO]],0),2),"")</f>
        <v>MINAS RESPUESTO LAPIZ INFNITO</v>
      </c>
      <c r="E63">
        <v>1</v>
      </c>
      <c r="F63" s="43">
        <f>VLOOKUP(Salidas[[#This Row],[CODIGO ]],Inventari_2[],8,FALSE)</f>
        <v>2500</v>
      </c>
      <c r="G63" s="44">
        <f>Salidas[[#This Row],[PRECIO]]*Salidas[[#This Row],[CANTIDAD]]</f>
        <v>2500</v>
      </c>
      <c r="H63" s="84">
        <f>VLOOKUP(Salidas[[#This Row],[CODIGO ]],Inventario[],10,FALSE)</f>
        <v>1200</v>
      </c>
    </row>
    <row r="64" spans="1:8" ht="40.5" customHeight="1" thickBot="1">
      <c r="A64" s="18"/>
      <c r="B64" s="20"/>
      <c r="C64" s="131" t="s">
        <v>62</v>
      </c>
      <c r="D64" s="83" t="str">
        <f>IFERROR(INDEX(Inventari_2[#All],MATCH(Salidas[[#This Row],[CODIGO ]],Inventari_2[[#Headers],[#Data],[CODIGO]],0),2),"")</f>
        <v>BOLIGRAFO GEL</v>
      </c>
      <c r="E64">
        <v>1</v>
      </c>
      <c r="F64" s="43">
        <f>VLOOKUP(Salidas[[#This Row],[CODIGO ]],Inventari_2[],8,FALSE)</f>
        <v>2000</v>
      </c>
      <c r="G64" s="44">
        <f>Salidas[[#This Row],[PRECIO]]*Salidas[[#This Row],[CANTIDAD]]</f>
        <v>2000</v>
      </c>
      <c r="H64" s="84">
        <f>VLOOKUP(Salidas[[#This Row],[CODIGO ]],Inventario[],10,FALSE)</f>
        <v>1100</v>
      </c>
    </row>
    <row r="65" spans="1:8" ht="40.5" customHeight="1" thickBot="1">
      <c r="A65" s="18"/>
      <c r="B65" s="20"/>
      <c r="C65" s="121" t="s">
        <v>396</v>
      </c>
      <c r="D65" s="83" t="str">
        <f>IFERROR(INDEX(Inventari_2[#All],MATCH(Salidas[[#This Row],[CODIGO ]],Inventari_2[[#Headers],[#Data],[CODIGO]],0),2),"")</f>
        <v>MINAS RESPUESTO LAPIZ INFNITO</v>
      </c>
      <c r="E65">
        <v>1</v>
      </c>
      <c r="F65" s="43">
        <f>VLOOKUP(Salidas[[#This Row],[CODIGO ]],Inventari_2[],8,FALSE)</f>
        <v>2500</v>
      </c>
      <c r="G65" s="44">
        <f>Salidas[[#This Row],[PRECIO]]*Salidas[[#This Row],[CANTIDAD]]</f>
        <v>2500</v>
      </c>
      <c r="H65" s="84">
        <f>VLOOKUP(Salidas[[#This Row],[CODIGO ]],Inventario[],10,FALSE)</f>
        <v>1200</v>
      </c>
    </row>
    <row r="66" spans="1:8" ht="40.5" customHeight="1" thickBot="1">
      <c r="A66" s="18"/>
      <c r="B66" s="20"/>
      <c r="C66" s="119">
        <v>6934520143067</v>
      </c>
      <c r="D66" s="83" t="str">
        <f>IFERROR(INDEX(Inventari_2[#All],MATCH(Salidas[[#This Row],[CODIGO ]],Inventari_2[[#Headers],[#Data],[CODIGO]],0),2),"")</f>
        <v>PAÑITOS HUMEDOS GATO</v>
      </c>
      <c r="E66">
        <v>1</v>
      </c>
      <c r="F66" s="43">
        <f>VLOOKUP(Salidas[[#This Row],[CODIGO ]],Inventari_2[],8,FALSE)</f>
        <v>8000</v>
      </c>
      <c r="G66" s="44">
        <f>Salidas[[#This Row],[PRECIO]]*Salidas[[#This Row],[CANTIDAD]]</f>
        <v>8000</v>
      </c>
      <c r="H66" s="84">
        <f>VLOOKUP(Salidas[[#This Row],[CODIGO ]],Inventario[],10,FALSE)</f>
        <v>5200</v>
      </c>
    </row>
    <row r="67" spans="1:8" ht="40.5" customHeight="1" thickBot="1">
      <c r="A67" s="18"/>
      <c r="B67" s="20"/>
      <c r="C67" s="130" t="s">
        <v>126</v>
      </c>
      <c r="D67" s="83" t="str">
        <f>IFERROR(INDEX(Inventari_2[#All],MATCH(Salidas[[#This Row],[CODIGO ]],Inventari_2[[#Headers],[#Data],[CODIGO]],0),2),"")</f>
        <v>CAJA DE CARTAS *10</v>
      </c>
      <c r="E67">
        <v>1</v>
      </c>
      <c r="F67" s="43">
        <f>VLOOKUP(Salidas[[#This Row],[CODIGO ]],Inventari_2[],8,FALSE)</f>
        <v>5000</v>
      </c>
      <c r="G67" s="44">
        <f>Salidas[[#This Row],[PRECIO]]*Salidas[[#This Row],[CANTIDAD]]</f>
        <v>5000</v>
      </c>
      <c r="H67" s="84">
        <f>VLOOKUP(Salidas[[#This Row],[CODIGO ]],Inventario[],10,FALSE)</f>
        <v>3917</v>
      </c>
    </row>
    <row r="68" spans="1:8" ht="40.5" customHeight="1" thickBot="1">
      <c r="A68" s="18"/>
      <c r="B68" s="20"/>
      <c r="C68" s="119">
        <v>6972815284590</v>
      </c>
      <c r="D68" s="83" t="str">
        <f>IFERROR(INDEX(Inventari_2[#All],MATCH(Salidas[[#This Row],[CODIGO ]],Inventari_2[[#Headers],[#Data],[CODIGO]],0),2),"")</f>
        <v>BISTURI HUELLA</v>
      </c>
      <c r="E68">
        <v>1</v>
      </c>
      <c r="F68" s="43">
        <f>VLOOKUP(Salidas[[#This Row],[CODIGO ]],Inventari_2[],8,FALSE)</f>
        <v>5000</v>
      </c>
      <c r="G68" s="44">
        <f>Salidas[[#This Row],[PRECIO]]*Salidas[[#This Row],[CANTIDAD]]</f>
        <v>5000</v>
      </c>
      <c r="H68" s="84">
        <f>VLOOKUP(Salidas[[#This Row],[CODIGO ]],Inventario[],10,FALSE)</f>
        <v>2300</v>
      </c>
    </row>
    <row r="69" spans="1:8" ht="40.5" customHeight="1" thickBot="1">
      <c r="A69" s="18"/>
      <c r="B69" s="20"/>
      <c r="C69" s="121">
        <v>6971010800499</v>
      </c>
      <c r="D69" s="83" t="str">
        <f>IFERROR(INDEX(Inventari_2[#All],MATCH(Salidas[[#This Row],[CODIGO ]],Inventari_2[[#Headers],[#Data],[CODIGO]],0),2),"")</f>
        <v>LAPIZ INFINITO NUEVO</v>
      </c>
      <c r="E69">
        <v>1</v>
      </c>
      <c r="F69" s="43">
        <f>VLOOKUP(Salidas[[#This Row],[CODIGO ]],Inventari_2[],8,FALSE)</f>
        <v>7000</v>
      </c>
      <c r="G69" s="44">
        <f>Salidas[[#This Row],[PRECIO]]*Salidas[[#This Row],[CANTIDAD]]</f>
        <v>7000</v>
      </c>
      <c r="H69" s="84">
        <f>VLOOKUP(Salidas[[#This Row],[CODIGO ]],Inventario[],10,FALSE)</f>
        <v>3500</v>
      </c>
    </row>
    <row r="70" spans="1:8" s="57" customFormat="1" ht="40.5" customHeight="1">
      <c r="A70" s="55"/>
      <c r="B70" s="56"/>
      <c r="C70" s="138"/>
      <c r="D70" s="57" t="str">
        <f>IFERROR(INDEX(Inventari_2[#All],MATCH(Salidas[[#This Row],[CODIGO ]],Inventari_2[[#Headers],[#Data],[CODIGO]],0),2),"")</f>
        <v/>
      </c>
      <c r="E70" s="57">
        <v>1</v>
      </c>
      <c r="F70" s="58" t="e">
        <f>VLOOKUP(Salidas[[#This Row],[CODIGO ]],Inventari_2[],8,FALSE)</f>
        <v>#N/A</v>
      </c>
      <c r="G70" s="139" t="e">
        <f>Salidas[[#This Row],[PRECIO]]*Salidas[[#This Row],[CANTIDAD]]</f>
        <v>#N/A</v>
      </c>
      <c r="H70" s="140" t="e">
        <f>VLOOKUP(Salidas[[#This Row],[CODIGO ]],Inventario[],10,FALSE)</f>
        <v>#N/A</v>
      </c>
    </row>
    <row r="71" spans="1:8" ht="40.5" customHeight="1">
      <c r="A71" s="18" t="s">
        <v>819</v>
      </c>
      <c r="B71" s="20"/>
      <c r="C71" s="151" t="s">
        <v>506</v>
      </c>
      <c r="D71" s="83" t="str">
        <f>IFERROR(INDEX(Inventari_2[#All],MATCH(Salidas[[#This Row],[CODIGO ]],Inventari_2[[#Headers],[#Data],[CODIGO]],0),2),"")</f>
        <v xml:space="preserve">REGLA ANIME 30 CM </v>
      </c>
      <c r="E71">
        <v>1</v>
      </c>
      <c r="F71" s="43">
        <f>VLOOKUP(Salidas[[#This Row],[CODIGO ]],Inventari_2[],8,FALSE)</f>
        <v>10000</v>
      </c>
      <c r="G71" s="44">
        <f>Salidas[[#This Row],[PRECIO]]*Salidas[[#This Row],[CANTIDAD]]</f>
        <v>10000</v>
      </c>
      <c r="H71" s="84">
        <f>VLOOKUP(Salidas[[#This Row],[CODIGO ]],Inventario[],10,FALSE)</f>
        <v>4000</v>
      </c>
    </row>
    <row r="72" spans="1:8" ht="40.5" customHeight="1" thickBot="1">
      <c r="A72" s="18"/>
      <c r="B72" s="20"/>
      <c r="C72" s="77">
        <v>6986831217203</v>
      </c>
      <c r="D72" s="83" t="str">
        <f>IFERROR(INDEX(Inventari_2[#All],MATCH(Salidas[[#This Row],[CODIGO ]],Inventari_2[[#Headers],[#Data],[CODIGO]],0),2),"")</f>
        <v>RESALTADORES PULPO</v>
      </c>
      <c r="E72">
        <v>1</v>
      </c>
      <c r="F72" s="43">
        <f>VLOOKUP(Salidas[[#This Row],[CODIGO ]],Inventari_2[],8,FALSE)</f>
        <v>15000</v>
      </c>
      <c r="G72" s="44">
        <f>Salidas[[#This Row],[PRECIO]]*Salidas[[#This Row],[CANTIDAD]]</f>
        <v>15000</v>
      </c>
      <c r="H72" s="84">
        <f>VLOOKUP(Salidas[[#This Row],[CODIGO ]],Inventario[],10,FALSE)</f>
        <v>7500</v>
      </c>
    </row>
    <row r="73" spans="1:8" ht="40.5" customHeight="1" thickBot="1">
      <c r="A73" s="18"/>
      <c r="B73" s="20"/>
      <c r="C73" s="121">
        <v>6971010800499</v>
      </c>
      <c r="D73" s="83" t="str">
        <f>IFERROR(INDEX(Inventari_2[#All],MATCH(Salidas[[#This Row],[CODIGO ]],Inventari_2[[#Headers],[#Data],[CODIGO]],0),2),"")</f>
        <v>LAPIZ INFINITO NUEVO</v>
      </c>
      <c r="E73">
        <v>1</v>
      </c>
      <c r="F73" s="43">
        <f>VLOOKUP(Salidas[[#This Row],[CODIGO ]],Inventari_2[],8,FALSE)</f>
        <v>7000</v>
      </c>
      <c r="G73" s="44">
        <f>Salidas[[#This Row],[PRECIO]]*Salidas[[#This Row],[CANTIDAD]]</f>
        <v>7000</v>
      </c>
      <c r="H73" s="84">
        <f>VLOOKUP(Salidas[[#This Row],[CODIGO ]],Inventario[],10,FALSE)</f>
        <v>3500</v>
      </c>
    </row>
    <row r="74" spans="1:8" ht="40.5" customHeight="1">
      <c r="A74" s="18"/>
      <c r="B74" s="20"/>
      <c r="C74" s="77">
        <v>6354616561993</v>
      </c>
      <c r="D74" s="83" t="str">
        <f>IFERROR(INDEX(Inventari_2[#All],MATCH(Salidas[[#This Row],[CODIGO ]],Inventari_2[[#Headers],[#Data],[CODIGO]],0),2),"")</f>
        <v xml:space="preserve">CARTUCHERA KIT </v>
      </c>
      <c r="E74">
        <v>1</v>
      </c>
      <c r="F74" s="43">
        <f>VLOOKUP(Salidas[[#This Row],[CODIGO ]],Inventari_2[],8,FALSE)</f>
        <v>5000</v>
      </c>
      <c r="G74" s="44">
        <f>Salidas[[#This Row],[PRECIO]]*Salidas[[#This Row],[CANTIDAD]]</f>
        <v>5000</v>
      </c>
      <c r="H74" s="84">
        <f>VLOOKUP(Salidas[[#This Row],[CODIGO ]],Inventario[],10,FALSE)</f>
        <v>3400</v>
      </c>
    </row>
    <row r="75" spans="1:8" ht="40.5" customHeight="1">
      <c r="A75" s="18"/>
      <c r="B75" s="20"/>
      <c r="C75" s="77">
        <v>6972544691058</v>
      </c>
      <c r="D75" s="83" t="str">
        <f>IFERROR(INDEX(Inventari_2[#All],MATCH(Salidas[[#This Row],[CODIGO ]],Inventari_2[[#Headers],[#Data],[CODIGO]],0),2),"")</f>
        <v>TIJERAS CON ESTUCHE</v>
      </c>
      <c r="E75">
        <v>1</v>
      </c>
      <c r="F75" s="43">
        <f>VLOOKUP(Salidas[[#This Row],[CODIGO ]],Inventari_2[],8,FALSE)</f>
        <v>7000</v>
      </c>
      <c r="G75" s="44">
        <f>Salidas[[#This Row],[PRECIO]]*Salidas[[#This Row],[CANTIDAD]]</f>
        <v>7000</v>
      </c>
      <c r="H75" s="84">
        <f>VLOOKUP(Salidas[[#This Row],[CODIGO ]],Inventario[],10,FALSE)</f>
        <v>3500</v>
      </c>
    </row>
    <row r="76" spans="1:8" ht="40.5" customHeight="1">
      <c r="A76" s="18"/>
      <c r="B76" s="20"/>
      <c r="C76" s="153" t="s">
        <v>110</v>
      </c>
      <c r="D76" s="83" t="str">
        <f>IFERROR(INDEX(Inventari_2[#All],MATCH(Salidas[[#This Row],[CODIGO ]],Inventari_2[[#Headers],[#Data],[CODIGO]],0),2),"")</f>
        <v>BORRADOR FIGURAS COLECCIÓN</v>
      </c>
      <c r="E76">
        <v>1</v>
      </c>
      <c r="F76" s="43">
        <f>VLOOKUP(Salidas[[#This Row],[CODIGO ]],Inventari_2[],8,FALSE)</f>
        <v>4000</v>
      </c>
      <c r="G76" s="44">
        <f>Salidas[[#This Row],[PRECIO]]*Salidas[[#This Row],[CANTIDAD]]</f>
        <v>4000</v>
      </c>
      <c r="H76" s="84">
        <f>VLOOKUP(Salidas[[#This Row],[CODIGO ]],Inventario[],10,FALSE)</f>
        <v>1000</v>
      </c>
    </row>
    <row r="77" spans="1:8" s="57" customFormat="1" ht="40.5" customHeight="1">
      <c r="A77" s="55"/>
      <c r="B77" s="56"/>
      <c r="C77" s="138"/>
      <c r="D77" s="57" t="str">
        <f>IFERROR(INDEX(Inventari_2[#All],MATCH(Salidas[[#This Row],[CODIGO ]],Inventari_2[[#Headers],[#Data],[CODIGO]],0),2),"")</f>
        <v/>
      </c>
      <c r="E77" s="57">
        <v>1</v>
      </c>
      <c r="F77" s="58" t="e">
        <f>VLOOKUP(Salidas[[#This Row],[CODIGO ]],Inventari_2[],8,FALSE)</f>
        <v>#N/A</v>
      </c>
      <c r="G77" s="139" t="e">
        <f>Salidas[[#This Row],[PRECIO]]*Salidas[[#This Row],[CANTIDAD]]</f>
        <v>#N/A</v>
      </c>
      <c r="H77" s="140" t="e">
        <f>VLOOKUP(Salidas[[#This Row],[CODIGO ]],Inventario[],10,FALSE)</f>
        <v>#N/A</v>
      </c>
    </row>
    <row r="78" spans="1:8" ht="40.5" customHeight="1">
      <c r="A78" s="184" t="s">
        <v>820</v>
      </c>
      <c r="B78" s="20">
        <v>45796</v>
      </c>
      <c r="C78" s="145" t="s">
        <v>458</v>
      </c>
      <c r="D78" s="83" t="str">
        <f>IFERROR(INDEX(Inventari_2[#All],MATCH(Salidas[[#This Row],[CODIGO ]],Inventari_2[[#Headers],[#Data],[CODIGO]],0),2),"")</f>
        <v>PINES EN RESINA</v>
      </c>
      <c r="E78">
        <v>2</v>
      </c>
      <c r="F78" s="43">
        <f>VLOOKUP(Salidas[[#This Row],[CODIGO ]],Inventari_2[],8,FALSE)</f>
        <v>7000</v>
      </c>
      <c r="G78" s="44">
        <f>Salidas[[#This Row],[PRECIO]]*Salidas[[#This Row],[CANTIDAD]]</f>
        <v>14000</v>
      </c>
      <c r="H78" s="84">
        <f>VLOOKUP(Salidas[[#This Row],[CODIGO ]],Inventario[],10,FALSE)*Salidas[[#This Row],[CANTIDAD]]</f>
        <v>8000</v>
      </c>
    </row>
    <row r="79" spans="1:8" ht="40.5" customHeight="1">
      <c r="A79" s="18"/>
      <c r="B79" s="20"/>
      <c r="C79" s="144" t="s">
        <v>230</v>
      </c>
      <c r="D79" s="83" t="str">
        <f>IFERROR(INDEX(Inventari_2[#All],MATCH(Salidas[[#This Row],[CODIGO ]],Inventari_2[[#Headers],[#Data],[CODIGO]],0),2),"")</f>
        <v>DOCENA DE TOPOS</v>
      </c>
      <c r="E79">
        <v>1</v>
      </c>
      <c r="F79" s="43">
        <f>VLOOKUP(Salidas[[#This Row],[CODIGO ]],Inventari_2[],8,FALSE)</f>
        <v>3000</v>
      </c>
      <c r="G79" s="44">
        <f>Salidas[[#This Row],[PRECIO]]*Salidas[[#This Row],[CANTIDAD]]</f>
        <v>3000</v>
      </c>
      <c r="H79" s="84">
        <f>VLOOKUP(Salidas[[#This Row],[CODIGO ]],Inventario[],10,FALSE)*Salidas[[#This Row],[CANTIDAD]]</f>
        <v>1500</v>
      </c>
    </row>
    <row r="80" spans="1:8" ht="40.5" customHeight="1">
      <c r="A80" s="18"/>
      <c r="B80" s="20"/>
      <c r="C80" s="150" t="s">
        <v>472</v>
      </c>
      <c r="D80" s="83" t="str">
        <f>IFERROR(INDEX(Inventari_2[#All],MATCH(Salidas[[#This Row],[CODIGO ]],Inventari_2[[#Headers],[#Data],[CODIGO]],0),2),"")</f>
        <v xml:space="preserve">PORTA CARNET </v>
      </c>
      <c r="E80">
        <v>1</v>
      </c>
      <c r="F80" s="43">
        <v>8000</v>
      </c>
      <c r="G80" s="44">
        <f>Salidas[[#This Row],[PRECIO]]*Salidas[[#This Row],[CANTIDAD]]</f>
        <v>8000</v>
      </c>
      <c r="H80" s="84">
        <v>3000</v>
      </c>
    </row>
    <row r="81" spans="1:10" ht="40.5" customHeight="1">
      <c r="A81" s="18"/>
      <c r="B81" s="20"/>
      <c r="C81" s="146" t="s">
        <v>589</v>
      </c>
      <c r="D81" s="83" t="str">
        <f>IFERROR(INDEX(Inventari_2[#All],MATCH(Salidas[[#This Row],[CODIGO ]],Inventari_2[[#Headers],[#Data],[CODIGO]],0),2),"")</f>
        <v>STIKERS</v>
      </c>
      <c r="E81">
        <v>3</v>
      </c>
      <c r="F81" s="43">
        <f>VLOOKUP(Salidas[[#This Row],[CODIGO ]],Inventari_2[],8,FALSE)</f>
        <v>1000</v>
      </c>
      <c r="G81" s="44">
        <f>Salidas[[#This Row],[PRECIO]]*Salidas[[#This Row],[CANTIDAD]]</f>
        <v>3000</v>
      </c>
      <c r="H81" s="84">
        <f>VLOOKUP(Salidas[[#This Row],[CODIGO ]],Inventario[],10,FALSE)*Salidas[[#This Row],[CANTIDAD]]</f>
        <v>1500</v>
      </c>
    </row>
    <row r="82" spans="1:10" ht="40.5" customHeight="1">
      <c r="A82" s="18"/>
      <c r="B82" s="20"/>
      <c r="C82" s="142" t="s">
        <v>27</v>
      </c>
      <c r="D82" s="83" t="str">
        <f>IFERROR(INDEX(Inventari_2[#All],MATCH(Salidas[[#This Row],[CODIGO ]],Inventari_2[[#Headers],[#Data],[CODIGO]],0),2),"")</f>
        <v>AGENDA IMANTADA HARRY POTTER</v>
      </c>
      <c r="E82">
        <v>1</v>
      </c>
      <c r="F82" s="43">
        <f>VLOOKUP(Salidas[[#This Row],[CODIGO ]],Inventari_2[],8,FALSE)</f>
        <v>30000</v>
      </c>
      <c r="G82" s="44">
        <f>Salidas[[#This Row],[PRECIO]]*Salidas[[#This Row],[CANTIDAD]]</f>
        <v>30000</v>
      </c>
      <c r="H82" s="84">
        <f>VLOOKUP(Salidas[[#This Row],[CODIGO ]],Inventario[],10,FALSE)*Salidas[[#This Row],[CANTIDAD]]</f>
        <v>14000</v>
      </c>
    </row>
    <row r="83" spans="1:10" s="57" customFormat="1" ht="40.5" customHeight="1">
      <c r="A83" s="202">
        <v>11100</v>
      </c>
      <c r="B83" s="20"/>
      <c r="C83" s="146" t="s">
        <v>124</v>
      </c>
      <c r="D83" s="83" t="str">
        <f>IFERROR(INDEX(Inventari_2[#All],MATCH(Salidas[[#This Row],[CODIGO ]],Inventari_2[[#Headers],[#Data],[CODIGO]],0),2),"")</f>
        <v>BURBUJERO KUROMI</v>
      </c>
      <c r="E83">
        <v>1</v>
      </c>
      <c r="F83" s="43">
        <f>VLOOKUP(Salidas[[#This Row],[CODIGO ]],Inventari_2[],8,FALSE)</f>
        <v>15000</v>
      </c>
      <c r="G83" s="44">
        <f>Salidas[[#This Row],[PRECIO]]*Salidas[[#This Row],[CANTIDAD]]</f>
        <v>15000</v>
      </c>
      <c r="H83" s="84">
        <f>VLOOKUP(Salidas[[#This Row],[CODIGO ]],Inventario[],10,FALSE)*Salidas[[#This Row],[CANTIDAD]]</f>
        <v>9000</v>
      </c>
      <c r="I83" s="18"/>
      <c r="J83" s="20"/>
    </row>
    <row r="84" spans="1:10" ht="40.5" customHeight="1">
      <c r="A84" s="55"/>
      <c r="B84" s="56"/>
      <c r="C84" s="138"/>
      <c r="D84" s="57" t="str">
        <f>IFERROR(INDEX(Inventari_2[#All],MATCH(Salidas[[#This Row],[CODIGO ]],Inventari_2[[#Headers],[#Data],[CODIGO]],0),2),"")</f>
        <v/>
      </c>
      <c r="E84" s="57">
        <v>1</v>
      </c>
      <c r="F84" s="58" t="e">
        <f>VLOOKUP(Salidas[[#This Row],[CODIGO ]],Inventari_2[],8,FALSE)</f>
        <v>#N/A</v>
      </c>
      <c r="G84" s="139" t="e">
        <f>Salidas[[#This Row],[PRECIO]]*Salidas[[#This Row],[CANTIDAD]]</f>
        <v>#N/A</v>
      </c>
      <c r="H84" s="140" t="e">
        <f>VLOOKUP(Salidas[[#This Row],[CODIGO ]],Inventario[],10,FALSE)*Salidas[[#This Row],[CANTIDAD]]</f>
        <v>#N/A</v>
      </c>
    </row>
    <row r="85" spans="1:10" ht="40.5" customHeight="1">
      <c r="A85" s="184" t="s">
        <v>820</v>
      </c>
      <c r="B85" s="20">
        <v>43941</v>
      </c>
      <c r="C85" s="142">
        <v>6938542010239</v>
      </c>
      <c r="D85" s="83" t="str">
        <f>IFERROR(INDEX(Inventari_2[#All],MATCH(Salidas[[#This Row],[CODIGO ]],Inventari_2[[#Headers],[#Data],[CODIGO]],0),2),"")</f>
        <v>SLIME BOLSA</v>
      </c>
      <c r="E85">
        <v>1</v>
      </c>
      <c r="F85" s="43">
        <f>VLOOKUP(Salidas[[#This Row],[CODIGO ]],Inventari_2[],8,FALSE)</f>
        <v>5000</v>
      </c>
      <c r="G85" s="44">
        <f>Salidas[[#This Row],[PRECIO]]*Salidas[[#This Row],[CANTIDAD]]</f>
        <v>5000</v>
      </c>
      <c r="H85" s="84">
        <f>VLOOKUP(Salidas[[#This Row],[CODIGO ]],Inventario[],10,FALSE)*Salidas[[#This Row],[CANTIDAD]]</f>
        <v>3000</v>
      </c>
    </row>
    <row r="86" spans="1:10" ht="40.5" customHeight="1">
      <c r="A86" s="18"/>
      <c r="B86" s="20"/>
      <c r="C86" s="146" t="s">
        <v>62</v>
      </c>
      <c r="D86" s="83" t="str">
        <f>IFERROR(INDEX(Inventari_2[#All],MATCH(Salidas[[#This Row],[CODIGO ]],Inventari_2[[#Headers],[#Data],[CODIGO]],0),2),"")</f>
        <v>BOLIGRAFO GEL</v>
      </c>
      <c r="E86">
        <v>1</v>
      </c>
      <c r="F86" s="43">
        <f>VLOOKUP(Salidas[[#This Row],[CODIGO ]],Inventari_2[],8,FALSE)</f>
        <v>2000</v>
      </c>
      <c r="G86" s="44">
        <f>Salidas[[#This Row],[PRECIO]]*Salidas[[#This Row],[CANTIDAD]]</f>
        <v>2000</v>
      </c>
      <c r="H86" s="84">
        <f>VLOOKUP(Salidas[[#This Row],[CODIGO ]],Inventario[],10,FALSE)*Salidas[[#This Row],[CANTIDAD]]</f>
        <v>1100</v>
      </c>
    </row>
    <row r="87" spans="1:10" ht="40.5" customHeight="1">
      <c r="A87" s="18"/>
      <c r="B87" s="20"/>
      <c r="C87" s="142">
        <v>6938542010239</v>
      </c>
      <c r="D87" s="83" t="str">
        <f>IFERROR(INDEX(Inventari_2[#All],MATCH(Salidas[[#This Row],[CODIGO ]],Inventari_2[[#Headers],[#Data],[CODIGO]],0),2),"")</f>
        <v>SLIME BOLSA</v>
      </c>
      <c r="E87">
        <v>1</v>
      </c>
      <c r="F87" s="43">
        <f>VLOOKUP(Salidas[[#This Row],[CODIGO ]],Inventari_2[],8,FALSE)</f>
        <v>5000</v>
      </c>
      <c r="G87" s="44">
        <f>Salidas[[#This Row],[PRECIO]]*Salidas[[#This Row],[CANTIDAD]]</f>
        <v>5000</v>
      </c>
      <c r="H87" s="84">
        <f>VLOOKUP(Salidas[[#This Row],[CODIGO ]],Inventario[],10,FALSE)*Salidas[[#This Row],[CANTIDAD]]</f>
        <v>3000</v>
      </c>
    </row>
    <row r="88" spans="1:10" ht="40.5" customHeight="1">
      <c r="A88" s="202">
        <v>2400</v>
      </c>
      <c r="B88" s="20"/>
      <c r="C88" s="146" t="s">
        <v>589</v>
      </c>
      <c r="D88" s="83" t="str">
        <f>IFERROR(INDEX(Inventari_2[#All],MATCH(Salidas[[#This Row],[CODIGO ]],Inventari_2[[#Headers],[#Data],[CODIGO]],0),2),"")</f>
        <v>STIKERS</v>
      </c>
      <c r="E88">
        <v>2</v>
      </c>
      <c r="F88" s="43">
        <f>VLOOKUP(Salidas[[#This Row],[CODIGO ]],Inventari_2[],8,FALSE)</f>
        <v>1000</v>
      </c>
      <c r="G88" s="44">
        <f>Salidas[[#This Row],[PRECIO]]*Salidas[[#This Row],[CANTIDAD]]</f>
        <v>2000</v>
      </c>
      <c r="H88" s="84">
        <f>VLOOKUP(Salidas[[#This Row],[CODIGO ]],Inventario[],10,FALSE)*Salidas[[#This Row],[CANTIDAD]]</f>
        <v>1000</v>
      </c>
    </row>
    <row r="89" spans="1:10" ht="40.5" customHeight="1">
      <c r="A89" s="55"/>
      <c r="B89" s="56"/>
      <c r="C89" s="138"/>
      <c r="D89" s="57" t="str">
        <f>IFERROR(INDEX(Inventari_2[#All],MATCH(Salidas[[#This Row],[CODIGO ]],Inventari_2[[#Headers],[#Data],[CODIGO]],0),2),"")</f>
        <v/>
      </c>
      <c r="E89" s="57">
        <v>1</v>
      </c>
      <c r="F89" s="58" t="e">
        <f>VLOOKUP(Salidas[[#This Row],[CODIGO ]],Inventari_2[],8,FALSE)</f>
        <v>#N/A</v>
      </c>
      <c r="G89" s="139" t="e">
        <f>Salidas[[#This Row],[PRECIO]]*Salidas[[#This Row],[CANTIDAD]]</f>
        <v>#N/A</v>
      </c>
      <c r="H89" s="140" t="e">
        <f>VLOOKUP(Salidas[[#This Row],[CODIGO ]],Inventario[],10,FALSE)*Salidas[[#This Row],[CANTIDAD]]</f>
        <v>#N/A</v>
      </c>
    </row>
    <row r="90" spans="1:10" ht="40.5" customHeight="1">
      <c r="A90" s="184" t="s">
        <v>820</v>
      </c>
      <c r="B90" s="20">
        <v>45773</v>
      </c>
      <c r="C90" s="146" t="s">
        <v>50</v>
      </c>
      <c r="D90" s="83" t="str">
        <f>IFERROR(INDEX(Inventari_2[#All],MATCH(Salidas[[#This Row],[CODIGO ]],Inventari_2[[#Headers],[#Data],[CODIGO]],0),2),"")</f>
        <v/>
      </c>
      <c r="E90">
        <v>2</v>
      </c>
      <c r="F90" s="43" t="e">
        <f>VLOOKUP(Salidas[[#This Row],[CODIGO ]],Inventari_2[],8,FALSE)</f>
        <v>#N/A</v>
      </c>
      <c r="G90" s="44" t="e">
        <f>Salidas[[#This Row],[PRECIO]]*Salidas[[#This Row],[CANTIDAD]]</f>
        <v>#N/A</v>
      </c>
      <c r="H90" s="84">
        <f>VLOOKUP(Salidas[[#This Row],[CODIGO ]],Inventario[],10,FALSE)*Salidas[[#This Row],[CANTIDAD]]</f>
        <v>26000</v>
      </c>
    </row>
    <row r="91" spans="1:10" ht="40.5" customHeight="1">
      <c r="A91" s="18"/>
      <c r="B91" s="20"/>
      <c r="C91" s="77">
        <v>6976507720229</v>
      </c>
      <c r="D91" s="83" t="str">
        <f>IFERROR(INDEX(Inventari_2[#All],MATCH(Salidas[[#This Row],[CODIGO ]],Inventari_2[[#Headers],[#Data],[CODIGO]],0),2),"")</f>
        <v>BOLSA RESALTADORES *6</v>
      </c>
      <c r="E91">
        <v>1</v>
      </c>
      <c r="F91" s="43">
        <f>VLOOKUP(Salidas[[#This Row],[CODIGO ]],Inventari_2[],8,FALSE)</f>
        <v>15000</v>
      </c>
      <c r="G91" s="44">
        <f>Salidas[[#This Row],[PRECIO]]*Salidas[[#This Row],[CANTIDAD]]</f>
        <v>15000</v>
      </c>
      <c r="H91" s="84">
        <f>VLOOKUP(Salidas[[#This Row],[CODIGO ]],Inventario[],10,FALSE)*Salidas[[#This Row],[CANTIDAD]]</f>
        <v>8500</v>
      </c>
    </row>
    <row r="92" spans="1:10" ht="40.5" customHeight="1">
      <c r="A92" s="18"/>
      <c r="B92" s="20"/>
      <c r="C92" s="21">
        <v>6932924600643</v>
      </c>
      <c r="D92" s="83" t="str">
        <f>IFERROR(INDEX(Inventari_2[#All],MATCH(Salidas[[#This Row],[CODIGO ]],Inventari_2[[#Headers],[#Data],[CODIGO]],0),2),"")</f>
        <v>BOLSAS TERMICAS PEQUEÑA</v>
      </c>
      <c r="E92">
        <v>1</v>
      </c>
      <c r="F92" s="43">
        <f>VLOOKUP(Salidas[[#This Row],[CODIGO ]],Inventari_2[],8,FALSE)</f>
        <v>15000</v>
      </c>
      <c r="G92" s="44">
        <f>Salidas[[#This Row],[PRECIO]]*Salidas[[#This Row],[CANTIDAD]]</f>
        <v>15000</v>
      </c>
      <c r="H92" s="84">
        <f>VLOOKUP(Salidas[[#This Row],[CODIGO ]],Inventario[],10,FALSE)*Salidas[[#This Row],[CANTIDAD]]</f>
        <v>7000</v>
      </c>
    </row>
    <row r="93" spans="1:10" ht="40.5" customHeight="1">
      <c r="A93" s="202">
        <v>13000</v>
      </c>
      <c r="B93" s="20"/>
      <c r="C93" s="146" t="s">
        <v>589</v>
      </c>
      <c r="D93" s="83" t="str">
        <f>IFERROR(INDEX(Inventari_2[#All],MATCH(Salidas[[#This Row],[CODIGO ]],Inventari_2[[#Headers],[#Data],[CODIGO]],0),2),"")</f>
        <v>STIKERS</v>
      </c>
      <c r="E93">
        <v>4</v>
      </c>
      <c r="F93" s="43">
        <f>VLOOKUP(Salidas[[#This Row],[CODIGO ]],Inventari_2[],8,FALSE)</f>
        <v>1000</v>
      </c>
      <c r="G93" s="44">
        <f>Salidas[[#This Row],[PRECIO]]*Salidas[[#This Row],[CANTIDAD]]</f>
        <v>4000</v>
      </c>
      <c r="H93" s="84">
        <f>VLOOKUP(Salidas[[#This Row],[CODIGO ]],Inventario[],10,FALSE)*Salidas[[#This Row],[CANTIDAD]]</f>
        <v>2000</v>
      </c>
    </row>
    <row r="94" spans="1:10" ht="40.5" customHeight="1">
      <c r="A94" s="55"/>
      <c r="B94" s="56"/>
      <c r="C94" s="138"/>
      <c r="D94" s="57" t="str">
        <f>IFERROR(INDEX(Inventari_2[#All],MATCH(Salidas[[#This Row],[CODIGO ]],Inventari_2[[#Headers],[#Data],[CODIGO]],0),2),"")</f>
        <v/>
      </c>
      <c r="E94" s="57">
        <v>1</v>
      </c>
      <c r="F94" s="58" t="e">
        <f>VLOOKUP(Salidas[[#This Row],[CODIGO ]],Inventari_2[],8,FALSE)</f>
        <v>#N/A</v>
      </c>
      <c r="G94" s="139" t="e">
        <f>Salidas[[#This Row],[PRECIO]]*Salidas[[#This Row],[CANTIDAD]]</f>
        <v>#N/A</v>
      </c>
      <c r="H94" s="140" t="e">
        <f>VLOOKUP(Salidas[[#This Row],[CODIGO ]],Inventario[],10,FALSE)*Salidas[[#This Row],[CANTIDAD]]</f>
        <v>#N/A</v>
      </c>
    </row>
    <row r="95" spans="1:10" ht="40.5" customHeight="1">
      <c r="A95" s="184" t="s">
        <v>820</v>
      </c>
      <c r="B95" s="20">
        <v>45774</v>
      </c>
      <c r="C95" s="77">
        <v>6979261520128</v>
      </c>
      <c r="D95" s="83" t="str">
        <f>IFERROR(INDEX(Inventari_2[#All],MATCH(Salidas[[#This Row],[CODIGO ]],Inventari_2[[#Headers],[#Data],[CODIGO]],0),2),"")</f>
        <v>BORRADOR INFINITO</v>
      </c>
      <c r="E95">
        <v>1</v>
      </c>
      <c r="F95" s="43">
        <f>VLOOKUP(Salidas[[#This Row],[CODIGO ]],Inventari_2[],8,FALSE)</f>
        <v>6000</v>
      </c>
      <c r="G95" s="44">
        <f>Salidas[[#This Row],[PRECIO]]*Salidas[[#This Row],[CANTIDAD]]</f>
        <v>6000</v>
      </c>
      <c r="H95" s="84">
        <f>VLOOKUP(Salidas[[#This Row],[CODIGO ]],Inventario[],10,FALSE)*Salidas[[#This Row],[CANTIDAD]]</f>
        <v>3800</v>
      </c>
    </row>
    <row r="96" spans="1:10" ht="40.5" customHeight="1">
      <c r="A96" s="18"/>
      <c r="B96" s="20"/>
      <c r="C96" s="151" t="s">
        <v>497</v>
      </c>
      <c r="D96" s="83" t="str">
        <f>IFERROR(INDEX(Inventari_2[#All],MATCH(Salidas[[#This Row],[CODIGO ]],Inventari_2[[#Headers],[#Data],[CODIGO]],0),2),"")</f>
        <v>POSTERS ANIME</v>
      </c>
      <c r="E96">
        <v>1</v>
      </c>
      <c r="F96" s="43">
        <f>VLOOKUP(Salidas[[#This Row],[CODIGO ]],Inventari_2[],8,FALSE)</f>
        <v>5000</v>
      </c>
      <c r="G96" s="44">
        <f>Salidas[[#This Row],[PRECIO]]*Salidas[[#This Row],[CANTIDAD]]</f>
        <v>5000</v>
      </c>
      <c r="H96" s="84">
        <f>VLOOKUP(Salidas[[#This Row],[CODIGO ]],Inventario[],10,FALSE)*Salidas[[#This Row],[CANTIDAD]]</f>
        <v>3500</v>
      </c>
    </row>
    <row r="97" spans="1:8" ht="40.5" customHeight="1">
      <c r="A97" s="18"/>
      <c r="B97" s="20"/>
      <c r="C97" s="146" t="s">
        <v>416</v>
      </c>
      <c r="D97" s="83" t="str">
        <f>IFERROR(INDEX(Inventari_2[#All],MATCH(Salidas[[#This Row],[CODIGO ]],Inventari_2[[#Headers],[#Data],[CODIGO]],0),2),"")</f>
        <v/>
      </c>
      <c r="E97">
        <v>1</v>
      </c>
      <c r="F97" s="43">
        <v>6000</v>
      </c>
      <c r="G97" s="44">
        <f>Salidas[[#This Row],[PRECIO]]*Salidas[[#This Row],[CANTIDAD]]</f>
        <v>6000</v>
      </c>
      <c r="H97" s="84">
        <v>2500</v>
      </c>
    </row>
    <row r="98" spans="1:8" ht="40.5" customHeight="1">
      <c r="A98" s="18"/>
      <c r="B98" s="20"/>
      <c r="C98" s="146" t="s">
        <v>589</v>
      </c>
      <c r="D98" s="83" t="str">
        <f>IFERROR(INDEX(Inventari_2[#All],MATCH(Salidas[[#This Row],[CODIGO ]],Inventari_2[[#Headers],[#Data],[CODIGO]],0),2),"")</f>
        <v>STIKERS</v>
      </c>
      <c r="E98">
        <v>2</v>
      </c>
      <c r="F98" s="43">
        <f>VLOOKUP(Salidas[[#This Row],[CODIGO ]],Inventari_2[],8,FALSE)</f>
        <v>1000</v>
      </c>
      <c r="G98" s="44">
        <f>Salidas[[#This Row],[PRECIO]]*Salidas[[#This Row],[CANTIDAD]]</f>
        <v>2000</v>
      </c>
      <c r="H98" s="84">
        <f>VLOOKUP(Salidas[[#This Row],[CODIGO ]],Inventario[],10,FALSE)*Salidas[[#This Row],[CANTIDAD]]</f>
        <v>1000</v>
      </c>
    </row>
    <row r="99" spans="1:8" ht="40.5" customHeight="1">
      <c r="A99" s="18"/>
      <c r="B99" s="20"/>
      <c r="C99" s="146" t="s">
        <v>50</v>
      </c>
      <c r="D99" s="83" t="str">
        <f>IFERROR(INDEX(Inventari_2[#All],MATCH(Salidas[[#This Row],[CODIGO ]],Inventari_2[[#Headers],[#Data],[CODIGO]],0),2),"")</f>
        <v/>
      </c>
      <c r="E99">
        <v>1</v>
      </c>
      <c r="F99" s="43" t="e">
        <f>VLOOKUP(Salidas[[#This Row],[CODIGO ]],Inventari_2[],8,FALSE)</f>
        <v>#N/A</v>
      </c>
      <c r="G99" s="44" t="e">
        <f>Salidas[[#This Row],[PRECIO]]*Salidas[[#This Row],[CANTIDAD]]</f>
        <v>#N/A</v>
      </c>
      <c r="H99" s="84">
        <f>VLOOKUP(Salidas[[#This Row],[CODIGO ]],Inventario[],10,FALSE)*Salidas[[#This Row],[CANTIDAD]]</f>
        <v>13000</v>
      </c>
    </row>
    <row r="100" spans="1:8" ht="40.5" customHeight="1">
      <c r="A100" s="18"/>
      <c r="B100" s="20"/>
      <c r="C100" s="77">
        <v>6972613449801</v>
      </c>
      <c r="D100" s="83" t="str">
        <f>IFERROR(INDEX(Inventari_2[#All],MATCH(Salidas[[#This Row],[CODIGO ]],Inventari_2[[#Headers],[#Data],[CODIGO]],0),2),"")</f>
        <v>SLIME GRANDE</v>
      </c>
      <c r="E100">
        <v>1</v>
      </c>
      <c r="F100" s="43">
        <f>VLOOKUP(Salidas[[#This Row],[CODIGO ]],Inventari_2[],8,FALSE)</f>
        <v>8000</v>
      </c>
      <c r="G100" s="44">
        <f>Salidas[[#This Row],[PRECIO]]*Salidas[[#This Row],[CANTIDAD]]</f>
        <v>8000</v>
      </c>
      <c r="H100" s="84">
        <f>VLOOKUP(Salidas[[#This Row],[CODIGO ]],Inventario[],10,FALSE)*Salidas[[#This Row],[CANTIDAD]]</f>
        <v>5500</v>
      </c>
    </row>
    <row r="101" spans="1:8" ht="40.5" customHeight="1">
      <c r="A101" s="18"/>
      <c r="B101" s="20"/>
      <c r="C101" s="142" t="s">
        <v>126</v>
      </c>
      <c r="D101" s="83" t="str">
        <f>IFERROR(INDEX(Inventari_2[#All],MATCH(Salidas[[#This Row],[CODIGO ]],Inventari_2[[#Headers],[#Data],[CODIGO]],0),2),"")</f>
        <v>CAJA DE CARTAS *10</v>
      </c>
      <c r="E101">
        <v>1</v>
      </c>
      <c r="F101" s="43">
        <f>VLOOKUP(Salidas[[#This Row],[CODIGO ]],Inventari_2[],8,FALSE)</f>
        <v>5000</v>
      </c>
      <c r="G101" s="44">
        <f>Salidas[[#This Row],[PRECIO]]*Salidas[[#This Row],[CANTIDAD]]</f>
        <v>5000</v>
      </c>
      <c r="H101" s="84">
        <f>VLOOKUP(Salidas[[#This Row],[CODIGO ]],Inventario[],10,FALSE)*Salidas[[#This Row],[CANTIDAD]]</f>
        <v>3917</v>
      </c>
    </row>
    <row r="102" spans="1:8" ht="40.5" customHeight="1">
      <c r="A102" s="18"/>
      <c r="B102" s="20"/>
      <c r="C102" s="21">
        <v>6976264160825</v>
      </c>
      <c r="D102" s="83" t="str">
        <f>IFERROR(INDEX(Inventari_2[#All],MATCH(Salidas[[#This Row],[CODIGO ]],Inventari_2[[#Headers],[#Data],[CODIGO]],0),2),"")</f>
        <v>PAÑITOS SECOS</v>
      </c>
      <c r="E102">
        <v>1</v>
      </c>
      <c r="F102" s="43">
        <f>VLOOKUP(Salidas[[#This Row],[CODIGO ]],Inventari_2[],8,FALSE)</f>
        <v>2000</v>
      </c>
      <c r="G102" s="44">
        <f>Salidas[[#This Row],[PRECIO]]*Salidas[[#This Row],[CANTIDAD]]</f>
        <v>2000</v>
      </c>
      <c r="H102" s="84">
        <f>VLOOKUP(Salidas[[#This Row],[CODIGO ]],Inventario[],10,FALSE)*Salidas[[#This Row],[CANTIDAD]]</f>
        <v>1400</v>
      </c>
    </row>
    <row r="103" spans="1:8" ht="40.5" customHeight="1">
      <c r="A103" s="18"/>
      <c r="B103" s="20"/>
      <c r="C103" s="142" t="s">
        <v>126</v>
      </c>
      <c r="D103" s="83" t="str">
        <f>IFERROR(INDEX(Inventari_2[#All],MATCH(Salidas[[#This Row],[CODIGO ]],Inventari_2[[#Headers],[#Data],[CODIGO]],0),2),"")</f>
        <v>CAJA DE CARTAS *10</v>
      </c>
      <c r="E103">
        <v>1</v>
      </c>
      <c r="F103" s="43">
        <f>VLOOKUP(Salidas[[#This Row],[CODIGO ]],Inventari_2[],8,FALSE)</f>
        <v>5000</v>
      </c>
      <c r="G103" s="44">
        <f>Salidas[[#This Row],[PRECIO]]*Salidas[[#This Row],[CANTIDAD]]</f>
        <v>5000</v>
      </c>
      <c r="H103" s="84">
        <f>VLOOKUP(Salidas[[#This Row],[CODIGO ]],Inventario[],10,FALSE)*Salidas[[#This Row],[CANTIDAD]]</f>
        <v>3917</v>
      </c>
    </row>
    <row r="104" spans="1:8" ht="40.5" customHeight="1">
      <c r="A104" s="18"/>
      <c r="B104" s="20"/>
      <c r="C104" s="21" t="s">
        <v>762</v>
      </c>
      <c r="D104" s="83" t="str">
        <f>IFERROR(INDEX(Inventari_2[#All],MATCH(Salidas[[#This Row],[CODIGO ]],Inventari_2[[#Headers],[#Data],[CODIGO]],0),2),"")</f>
        <v>BOTONES PERSONALIZADOS</v>
      </c>
      <c r="E104">
        <v>1</v>
      </c>
      <c r="F104" s="43">
        <f>VLOOKUP(Salidas[[#This Row],[CODIGO ]],Inventari_2[],8,FALSE)</f>
        <v>5000</v>
      </c>
      <c r="G104" s="44">
        <f>Salidas[[#This Row],[PRECIO]]*Salidas[[#This Row],[CANTIDAD]]</f>
        <v>5000</v>
      </c>
      <c r="H104" s="84">
        <f>VLOOKUP(Salidas[[#This Row],[CODIGO ]],Inventario[],10,FALSE)*Salidas[[#This Row],[CANTIDAD]]</f>
        <v>2500</v>
      </c>
    </row>
    <row r="105" spans="1:8" ht="40.5" customHeight="1">
      <c r="A105" s="18"/>
      <c r="B105" s="20"/>
      <c r="C105" s="142" t="s">
        <v>126</v>
      </c>
      <c r="D105" s="83" t="str">
        <f>IFERROR(INDEX(Inventari_2[#All],MATCH(Salidas[[#This Row],[CODIGO ]],Inventari_2[[#Headers],[#Data],[CODIGO]],0),2),"")</f>
        <v>CAJA DE CARTAS *10</v>
      </c>
      <c r="E105">
        <v>1</v>
      </c>
      <c r="F105" s="43">
        <f>VLOOKUP(Salidas[[#This Row],[CODIGO ]],Inventari_2[],8,FALSE)</f>
        <v>5000</v>
      </c>
      <c r="G105" s="44">
        <f>Salidas[[#This Row],[PRECIO]]*Salidas[[#This Row],[CANTIDAD]]</f>
        <v>5000</v>
      </c>
      <c r="H105" s="84">
        <f>VLOOKUP(Salidas[[#This Row],[CODIGO ]],Inventario[],10,FALSE)*Salidas[[#This Row],[CANTIDAD]]</f>
        <v>3917</v>
      </c>
    </row>
    <row r="106" spans="1:8" s="57" customFormat="1" ht="40.5" customHeight="1">
      <c r="A106" s="18"/>
      <c r="B106" s="20"/>
      <c r="C106" s="142">
        <v>6938542010239</v>
      </c>
      <c r="D106" s="83" t="str">
        <f>IFERROR(INDEX(Inventari_2[#All],MATCH(Salidas[[#This Row],[CODIGO ]],Inventari_2[[#Headers],[#Data],[CODIGO]],0),2),"")</f>
        <v>SLIME BOLSA</v>
      </c>
      <c r="E106">
        <v>1</v>
      </c>
      <c r="F106" s="43">
        <f>VLOOKUP(Salidas[[#This Row],[CODIGO ]],Inventari_2[],8,FALSE)</f>
        <v>5000</v>
      </c>
      <c r="G106" s="44">
        <f>Salidas[[#This Row],[PRECIO]]*Salidas[[#This Row],[CANTIDAD]]</f>
        <v>5000</v>
      </c>
      <c r="H106" s="84">
        <f>VLOOKUP(Salidas[[#This Row],[CODIGO ]],Inventario[],10,FALSE)*Salidas[[#This Row],[CANTIDAD]]</f>
        <v>3000</v>
      </c>
    </row>
    <row r="107" spans="1:8" s="57" customFormat="1" ht="40.5" customHeight="1">
      <c r="A107" s="18"/>
      <c r="B107" s="20"/>
      <c r="C107" s="77">
        <v>6900010009991</v>
      </c>
      <c r="D107" s="83" t="str">
        <f>IFERROR(INDEX(Inventari_2[#All],MATCH(Salidas[[#This Row],[CODIGO ]],Inventari_2[[#Headers],[#Data],[CODIGO]],0),2),"")</f>
        <v>KIT ESCOLAR 2</v>
      </c>
      <c r="E107">
        <v>1</v>
      </c>
      <c r="F107" s="58">
        <f>VLOOKUP(Salidas[[#This Row],[CODIGO ]],Inventari_2[],8,FALSE)</f>
        <v>5000</v>
      </c>
      <c r="G107" s="44">
        <f>Salidas[[#This Row],[PRECIO]]*Salidas[[#This Row],[CANTIDAD]]</f>
        <v>5000</v>
      </c>
      <c r="H107" s="84">
        <f>VLOOKUP(Salidas[[#This Row],[CODIGO ]],Inventario[],10,FALSE)*Salidas[[#This Row],[CANTIDAD]]</f>
        <v>4000</v>
      </c>
    </row>
    <row r="108" spans="1:8" ht="40.5" customHeight="1">
      <c r="A108" s="18"/>
      <c r="B108" s="20"/>
      <c r="C108" s="21">
        <v>6976264160825</v>
      </c>
      <c r="D108" s="83" t="str">
        <f>IFERROR(INDEX(Inventari_2[#All],MATCH(Salidas[[#This Row],[CODIGO ]],Inventari_2[[#Headers],[#Data],[CODIGO]],0),2),"")</f>
        <v>PAÑITOS SECOS</v>
      </c>
      <c r="E108">
        <v>1</v>
      </c>
      <c r="F108" s="43">
        <f>VLOOKUP(Salidas[[#This Row],[CODIGO ]],Inventari_2[],8,FALSE)</f>
        <v>2000</v>
      </c>
      <c r="G108" s="44">
        <f>Salidas[[#This Row],[PRECIO]]*Salidas[[#This Row],[CANTIDAD]]</f>
        <v>2000</v>
      </c>
      <c r="H108" s="84">
        <f>VLOOKUP(Salidas[[#This Row],[CODIGO ]],Inventario[],10,FALSE)*Salidas[[#This Row],[CANTIDAD]]</f>
        <v>1400</v>
      </c>
    </row>
    <row r="109" spans="1:8" ht="40.5" customHeight="1">
      <c r="A109" s="18"/>
      <c r="B109" s="20"/>
      <c r="C109" s="21">
        <v>4803413660474</v>
      </c>
      <c r="D109" s="83" t="str">
        <f>IFERROR(INDEX(Inventari_2[#All],MATCH(Salidas[[#This Row],[CODIGO ]],Inventari_2[[#Headers],[#Data],[CODIGO]],0),2),"")</f>
        <v xml:space="preserve">TAJALAPIZ + BORRADOR </v>
      </c>
      <c r="E109">
        <v>1</v>
      </c>
      <c r="F109" s="43">
        <f>VLOOKUP(Salidas[[#This Row],[CODIGO ]],Inventari_2[],8,FALSE)</f>
        <v>5000</v>
      </c>
      <c r="G109" s="44">
        <f>Salidas[[#This Row],[PRECIO]]*Salidas[[#This Row],[CANTIDAD]]</f>
        <v>5000</v>
      </c>
      <c r="H109" s="84">
        <f>VLOOKUP(Salidas[[#This Row],[CODIGO ]],Inventario[],10,FALSE)*Salidas[[#This Row],[CANTIDAD]]</f>
        <v>2500</v>
      </c>
    </row>
    <row r="110" spans="1:8" ht="40.5" customHeight="1">
      <c r="A110" s="18"/>
      <c r="B110" s="20"/>
      <c r="C110" s="157" t="s">
        <v>279</v>
      </c>
      <c r="D110" s="83" t="str">
        <f>IFERROR(INDEX(Inventari_2[#All],MATCH(Salidas[[#This Row],[CODIGO ]],Inventari_2[[#Headers],[#Data],[CODIGO]],0),2),"")</f>
        <v xml:space="preserve">KIT DE HARRY PLUMA </v>
      </c>
      <c r="E110">
        <v>1</v>
      </c>
      <c r="F110" s="43">
        <f>VLOOKUP(Salidas[[#This Row],[CODIGO ]],Inventari_2[],8,FALSE)</f>
        <v>70000</v>
      </c>
      <c r="G110" s="44">
        <f>Salidas[[#This Row],[PRECIO]]*Salidas[[#This Row],[CANTIDAD]]</f>
        <v>70000</v>
      </c>
      <c r="H110" s="84">
        <f>VLOOKUP(Salidas[[#This Row],[CODIGO ]],Inventario[],10,FALSE)*Salidas[[#This Row],[CANTIDAD]]</f>
        <v>40000</v>
      </c>
    </row>
    <row r="111" spans="1:8" ht="40.5" customHeight="1">
      <c r="A111" s="18"/>
      <c r="B111" s="20"/>
      <c r="C111" s="21" t="s">
        <v>680</v>
      </c>
      <c r="D111" s="83" t="str">
        <f>IFERROR(INDEX(Inventari_2[#All],MATCH(Salidas[[#This Row],[CODIGO ]],Inventari_2[[#Headers],[#Data],[CODIGO]],0),2),"")</f>
        <v>MANILLA CAPIBARA</v>
      </c>
      <c r="E111">
        <v>1</v>
      </c>
      <c r="F111" s="43">
        <f>VLOOKUP(Salidas[[#This Row],[CODIGO ]],Inventari_2[],8,FALSE)</f>
        <v>35000</v>
      </c>
      <c r="G111" s="44">
        <f>Salidas[[#This Row],[PRECIO]]*Salidas[[#This Row],[CANTIDAD]]</f>
        <v>35000</v>
      </c>
      <c r="H111" s="84">
        <f>VLOOKUP(Salidas[[#This Row],[CODIGO ]],Inventario[],10,FALSE)*Salidas[[#This Row],[CANTIDAD]]</f>
        <v>15000</v>
      </c>
    </row>
    <row r="112" spans="1:8" ht="40.5" customHeight="1">
      <c r="A112" s="18"/>
      <c r="B112" s="20"/>
      <c r="C112" s="21" t="s">
        <v>762</v>
      </c>
      <c r="D112" s="83" t="str">
        <f>IFERROR(INDEX(Inventari_2[#All],MATCH(Salidas[[#This Row],[CODIGO ]],Inventari_2[[#Headers],[#Data],[CODIGO]],0),2),"")</f>
        <v>BOTONES PERSONALIZADOS</v>
      </c>
      <c r="E112">
        <v>1</v>
      </c>
      <c r="F112" s="43">
        <f>VLOOKUP(Salidas[[#This Row],[CODIGO ]],Inventari_2[],8,FALSE)</f>
        <v>5000</v>
      </c>
      <c r="G112" s="44">
        <f>Salidas[[#This Row],[PRECIO]]*Salidas[[#This Row],[CANTIDAD]]</f>
        <v>5000</v>
      </c>
      <c r="H112" s="84">
        <f>VLOOKUP(Salidas[[#This Row],[CODIGO ]],Inventario[],10,FALSE)*Salidas[[#This Row],[CANTIDAD]]</f>
        <v>2500</v>
      </c>
    </row>
    <row r="113" spans="1:8" ht="40.5" customHeight="1">
      <c r="A113" s="60"/>
      <c r="B113" s="61"/>
      <c r="C113" s="142" t="s">
        <v>458</v>
      </c>
      <c r="D113" s="83" t="str">
        <f>IFERROR(INDEX(Inventari_2[#All],MATCH(Salidas[[#This Row],[CODIGO ]],Inventari_2[[#Headers],[#Data],[CODIGO]],0),2),"")</f>
        <v>PINES EN RESINA</v>
      </c>
      <c r="E113">
        <v>1</v>
      </c>
      <c r="F113" s="63">
        <f>VLOOKUP(Salidas[[#This Row],[CODIGO ]],Inventari_2[],8,FALSE)</f>
        <v>7000</v>
      </c>
      <c r="G113" s="44">
        <f>Salidas[[#This Row],[PRECIO]]*Salidas[[#This Row],[CANTIDAD]]</f>
        <v>7000</v>
      </c>
      <c r="H113" s="84">
        <f>VLOOKUP(Salidas[[#This Row],[CODIGO ]],Inventario[],10,FALSE)*Salidas[[#This Row],[CANTIDAD]]</f>
        <v>4000</v>
      </c>
    </row>
    <row r="114" spans="1:8" ht="40.5" customHeight="1">
      <c r="A114" s="60"/>
      <c r="B114" s="61"/>
      <c r="C114" s="146" t="s">
        <v>589</v>
      </c>
      <c r="D114" s="83" t="str">
        <f>IFERROR(INDEX(Inventari_2[#All],MATCH(Salidas[[#This Row],[CODIGO ]],Inventari_2[[#Headers],[#Data],[CODIGO]],0),2),"")</f>
        <v>STIKERS</v>
      </c>
      <c r="E114">
        <v>3</v>
      </c>
      <c r="F114" s="63">
        <f>VLOOKUP(Salidas[[#This Row],[CODIGO ]],Inventari_2[],8,FALSE)</f>
        <v>1000</v>
      </c>
      <c r="G114" s="44">
        <f>Salidas[[#This Row],[PRECIO]]*Salidas[[#This Row],[CANTIDAD]]</f>
        <v>3000</v>
      </c>
      <c r="H114" s="84">
        <f>VLOOKUP(Salidas[[#This Row],[CODIGO ]],Inventario[],10,FALSE)*Salidas[[#This Row],[CANTIDAD]]</f>
        <v>1500</v>
      </c>
    </row>
    <row r="115" spans="1:8" ht="40.5" customHeight="1">
      <c r="A115" s="202">
        <v>40000</v>
      </c>
      <c r="B115" s="61"/>
      <c r="C115" s="21" t="s">
        <v>680</v>
      </c>
      <c r="D115" s="83" t="str">
        <f>IFERROR(INDEX(Inventari_2[#All],MATCH(Salidas[[#This Row],[CODIGO ]],Inventari_2[[#Headers],[#Data],[CODIGO]],0),2),"")</f>
        <v>MANILLA CAPIBARA</v>
      </c>
      <c r="E115">
        <v>1</v>
      </c>
      <c r="F115" s="63">
        <f>VLOOKUP(Salidas[[#This Row],[CODIGO ]],Inventari_2[],8,FALSE)</f>
        <v>35000</v>
      </c>
      <c r="G115" s="44">
        <f>Salidas[[#This Row],[PRECIO]]*Salidas[[#This Row],[CANTIDAD]]</f>
        <v>35000</v>
      </c>
      <c r="H115" s="84">
        <f>VLOOKUP(Salidas[[#This Row],[CODIGO ]],Inventario[],10,FALSE)*Salidas[[#This Row],[CANTIDAD]]</f>
        <v>15000</v>
      </c>
    </row>
    <row r="116" spans="1:8" ht="40.5" customHeight="1">
      <c r="A116" s="55"/>
      <c r="B116" s="56"/>
      <c r="C116" s="138"/>
      <c r="D116" s="57" t="str">
        <f>IFERROR(INDEX(Inventari_2[#All],MATCH(Salidas[[#This Row],[CODIGO ]],Inventari_2[[#Headers],[#Data],[CODIGO]],0),2),"")</f>
        <v/>
      </c>
      <c r="E116" s="57">
        <v>1</v>
      </c>
      <c r="F116" s="58" t="e">
        <f>VLOOKUP(Salidas[[#This Row],[CODIGO ]],Inventari_2[],8,FALSE)</f>
        <v>#N/A</v>
      </c>
      <c r="G116" s="139" t="e">
        <f>Salidas[[#This Row],[PRECIO]]*Salidas[[#This Row],[CANTIDAD]]</f>
        <v>#N/A</v>
      </c>
      <c r="H116" s="140" t="e">
        <f>VLOOKUP(Salidas[[#This Row],[CODIGO ]],Inventario[],10,FALSE)*Salidas[[#This Row],[CANTIDAD]]</f>
        <v>#N/A</v>
      </c>
    </row>
    <row r="117" spans="1:8" ht="40.5" customHeight="1">
      <c r="A117" s="18" t="s">
        <v>821</v>
      </c>
      <c r="B117" s="20"/>
      <c r="C117" s="231" t="s">
        <v>898</v>
      </c>
      <c r="D117" s="83" t="str">
        <f>IFERROR(INDEX(Inventari_2[#All],MATCH(Salidas[[#This Row],[CODIGO ]],Inventari_2[[#Headers],[#Data],[CODIGO]],0),2),"")</f>
        <v>BOLSO CAPIBARA</v>
      </c>
      <c r="E117">
        <v>1</v>
      </c>
      <c r="F117" s="43">
        <f>VLOOKUP(Salidas[[#This Row],[CODIGO ]],Inventari_2[],8,FALSE)</f>
        <v>25000</v>
      </c>
      <c r="G117" s="44">
        <f>Salidas[[#This Row],[PRECIO]]*Salidas[[#This Row],[CANTIDAD]]</f>
        <v>25000</v>
      </c>
      <c r="H117" s="84">
        <f>VLOOKUP(Salidas[[#This Row],[CODIGO ]],Inventario[],10,FALSE)*Salidas[[#This Row],[CANTIDAD]]</f>
        <v>10000</v>
      </c>
    </row>
    <row r="118" spans="1:8" ht="40.5" customHeight="1">
      <c r="A118" s="18"/>
      <c r="B118" s="20"/>
      <c r="C118" s="21" t="s">
        <v>765</v>
      </c>
      <c r="D118" s="83" t="str">
        <f>IFERROR(INDEX(Inventari_2[#All],MATCH(Salidas[[#This Row],[CODIGO ]],Inventari_2[[#Headers],[#Data],[CODIGO]],0),2),"")</f>
        <v>PORTA CARNETS ANIME</v>
      </c>
      <c r="E118">
        <v>1</v>
      </c>
      <c r="F118" s="43">
        <f>VLOOKUP(Salidas[[#This Row],[CODIGO ]],Inventari_2[],8,FALSE)</f>
        <v>10000</v>
      </c>
      <c r="G118" s="44">
        <f>Salidas[[#This Row],[PRECIO]]*Salidas[[#This Row],[CANTIDAD]]</f>
        <v>10000</v>
      </c>
      <c r="H118" s="84">
        <f>VLOOKUP(Salidas[[#This Row],[CODIGO ]],Inventario[],10,FALSE)*Salidas[[#This Row],[CANTIDAD]]</f>
        <v>4500</v>
      </c>
    </row>
    <row r="119" spans="1:8" ht="40.5" customHeight="1">
      <c r="A119" s="202">
        <v>8100</v>
      </c>
      <c r="B119" s="20"/>
      <c r="C119" s="234" t="s">
        <v>894</v>
      </c>
      <c r="D119" s="83" t="str">
        <f>IFERROR(INDEX(Inventari_2[#All],MATCH(Salidas[[#This Row],[CODIGO ]],Inventari_2[[#Headers],[#Data],[CODIGO]],0),2),"")</f>
        <v>PORTA CELULARES</v>
      </c>
      <c r="E119">
        <v>1</v>
      </c>
      <c r="F119" s="43">
        <f>VLOOKUP(Salidas[[#This Row],[CODIGO ]],Inventari_2[],8,FALSE)</f>
        <v>20000</v>
      </c>
      <c r="G119" s="44">
        <f>Salidas[[#This Row],[PRECIO]]*Salidas[[#This Row],[CANTIDAD]]</f>
        <v>20000</v>
      </c>
      <c r="H119" s="84">
        <f>VLOOKUP(Salidas[[#This Row],[CODIGO ]],Inventario[],10,FALSE)*Salidas[[#This Row],[CANTIDAD]]</f>
        <v>8000</v>
      </c>
    </row>
    <row r="120" spans="1:8" ht="40.5" customHeight="1">
      <c r="A120" s="55"/>
      <c r="B120" s="56"/>
      <c r="C120" s="138"/>
      <c r="D120" s="57" t="str">
        <f>IFERROR(INDEX(Inventari_2[#All],MATCH(Salidas[[#This Row],[CODIGO ]],Inventari_2[[#Headers],[#Data],[CODIGO]],0),2),"")</f>
        <v/>
      </c>
      <c r="E120" s="57">
        <v>1</v>
      </c>
      <c r="F120" s="58" t="e">
        <f>VLOOKUP(Salidas[[#This Row],[CODIGO ]],Inventari_2[],8,FALSE)</f>
        <v>#N/A</v>
      </c>
      <c r="G120" s="139" t="e">
        <f>Salidas[[#This Row],[PRECIO]]*Salidas[[#This Row],[CANTIDAD]]</f>
        <v>#N/A</v>
      </c>
      <c r="H120" s="140" t="e">
        <f>VLOOKUP(Salidas[[#This Row],[CODIGO ]],Inventario[],10,FALSE)*Salidas[[#This Row],[CANTIDAD]]</f>
        <v>#N/A</v>
      </c>
    </row>
    <row r="121" spans="1:8" ht="40.5" customHeight="1">
      <c r="A121" s="18" t="s">
        <v>822</v>
      </c>
      <c r="B121" s="20">
        <v>45781</v>
      </c>
      <c r="C121" s="146" t="s">
        <v>62</v>
      </c>
      <c r="D121" s="83" t="str">
        <f>IFERROR(INDEX(Inventari_2[#All],MATCH(Salidas[[#This Row],[CODIGO ]],Inventari_2[[#Headers],[#Data],[CODIGO]],0),2),"")</f>
        <v>BOLIGRAFO GEL</v>
      </c>
      <c r="E121">
        <v>1</v>
      </c>
      <c r="F121" s="43">
        <f>VLOOKUP(Salidas[[#This Row],[CODIGO ]],Inventari_2[],8,FALSE)</f>
        <v>2000</v>
      </c>
      <c r="G121" s="44">
        <f>Salidas[[#This Row],[PRECIO]]*Salidas[[#This Row],[CANTIDAD]]</f>
        <v>2000</v>
      </c>
      <c r="H121" s="84">
        <f>VLOOKUP(Salidas[[#This Row],[CODIGO ]],Inventario[],10,FALSE)*Salidas[[#This Row],[CANTIDAD]]</f>
        <v>1100</v>
      </c>
    </row>
    <row r="122" spans="1:8" ht="40.5" customHeight="1">
      <c r="A122" s="18"/>
      <c r="B122" s="20"/>
      <c r="C122" s="21" t="s">
        <v>722</v>
      </c>
      <c r="D122" s="83" t="str">
        <f>IFERROR(INDEX(Inventari_2[#All],MATCH(Salidas[[#This Row],[CODIGO ]],Inventari_2[[#Headers],[#Data],[CODIGO]],0),2),"")</f>
        <v>CAPIBARA BAILARIN</v>
      </c>
      <c r="E122">
        <v>1</v>
      </c>
      <c r="F122" s="43">
        <f>VLOOKUP(Salidas[[#This Row],[CODIGO ]],Inventari_2[],8,FALSE)</f>
        <v>35000</v>
      </c>
      <c r="G122" s="44">
        <f>Salidas[[#This Row],[PRECIO]]*Salidas[[#This Row],[CANTIDAD]]</f>
        <v>35000</v>
      </c>
      <c r="H122" s="84">
        <f>VLOOKUP(Salidas[[#This Row],[CODIGO ]],Inventario[],10,FALSE)*Salidas[[#This Row],[CANTIDAD]]</f>
        <v>13000</v>
      </c>
    </row>
    <row r="123" spans="1:8" ht="40.5" customHeight="1">
      <c r="A123" s="18"/>
      <c r="B123" s="20"/>
      <c r="C123" s="182" t="s">
        <v>758</v>
      </c>
      <c r="D123" s="83" t="str">
        <f>IFERROR(INDEX(Inventari_2[#All],MATCH(Salidas[[#This Row],[CODIGO ]],Inventari_2[[#Headers],[#Data],[CODIGO]],0),2),"")</f>
        <v>LEGO UNIDAD</v>
      </c>
      <c r="E123">
        <v>3</v>
      </c>
      <c r="F123" s="43">
        <f>VLOOKUP(Salidas[[#This Row],[CODIGO ]],Inventari_2[],8,FALSE)</f>
        <v>3000</v>
      </c>
      <c r="G123" s="44">
        <f>Salidas[[#This Row],[PRECIO]]*Salidas[[#This Row],[CANTIDAD]]</f>
        <v>9000</v>
      </c>
      <c r="H123" s="84">
        <f>VLOOKUP(Salidas[[#This Row],[CODIGO ]],Inventario[],10,FALSE)*Salidas[[#This Row],[CANTIDAD]]</f>
        <v>4000.0001999999999</v>
      </c>
    </row>
    <row r="124" spans="1:8" ht="40.5" customHeight="1">
      <c r="A124" s="18"/>
      <c r="B124" s="20"/>
      <c r="C124" s="142" t="s">
        <v>325</v>
      </c>
      <c r="D124" s="83" t="str">
        <f>IFERROR(INDEX(Inventari_2[#All],MATCH(Salidas[[#This Row],[CODIGO ]],Inventari_2[[#Headers],[#Data],[CODIGO]],0),2),"")</f>
        <v>LAMPARA TOTORO</v>
      </c>
      <c r="E124">
        <v>1</v>
      </c>
      <c r="F124" s="43">
        <v>60000</v>
      </c>
      <c r="G124" s="44">
        <f>Salidas[[#This Row],[PRECIO]]*Salidas[[#This Row],[CANTIDAD]]</f>
        <v>60000</v>
      </c>
      <c r="H124" s="84">
        <v>23000</v>
      </c>
    </row>
    <row r="125" spans="1:8" ht="40.5" customHeight="1">
      <c r="A125" s="18"/>
      <c r="B125" s="20"/>
      <c r="C125" s="234" t="s">
        <v>900</v>
      </c>
      <c r="D125" s="83" t="str">
        <f>IFERROR(INDEX(Inventari_2[#All],MATCH(Salidas[[#This Row],[CODIGO ]],Inventari_2[[#Headers],[#Data],[CODIGO]],0),2),"")</f>
        <v>MONEDEROS PEQUEÑOS ANIME</v>
      </c>
      <c r="E125">
        <v>1</v>
      </c>
      <c r="F125" s="43">
        <f>VLOOKUP(Salidas[[#This Row],[CODIGO ]],Inventari_2[],8,FALSE)</f>
        <v>8000</v>
      </c>
      <c r="G125" s="44">
        <f>Salidas[[#This Row],[PRECIO]]*Salidas[[#This Row],[CANTIDAD]]</f>
        <v>8000</v>
      </c>
      <c r="H125" s="84">
        <f>VLOOKUP(Salidas[[#This Row],[CODIGO ]],Inventario[],10,FALSE)*Salidas[[#This Row],[CANTIDAD]]</f>
        <v>4500</v>
      </c>
    </row>
    <row r="126" spans="1:8" ht="40.5" customHeight="1">
      <c r="A126" s="18"/>
      <c r="B126" s="20"/>
      <c r="C126" s="211" t="s">
        <v>50</v>
      </c>
      <c r="D126" s="83" t="str">
        <f>IFERROR(INDEX(Inventari_2[#All],MATCH(Salidas[[#This Row],[CODIGO ]],Inventari_2[[#Headers],[#Data],[CODIGO]],0),2),"")</f>
        <v/>
      </c>
      <c r="E126">
        <v>1</v>
      </c>
      <c r="F126" s="43" t="e">
        <f>VLOOKUP(Salidas[[#This Row],[CODIGO ]],Inventari_2[],8,FALSE)</f>
        <v>#N/A</v>
      </c>
      <c r="G126" s="44" t="e">
        <f>Salidas[[#This Row],[PRECIO]]*Salidas[[#This Row],[CANTIDAD]]</f>
        <v>#N/A</v>
      </c>
      <c r="H126" s="84">
        <f>VLOOKUP(Salidas[[#This Row],[CODIGO ]],Inventario[],10,FALSE)*Salidas[[#This Row],[CANTIDAD]]</f>
        <v>13000</v>
      </c>
    </row>
    <row r="127" spans="1:8" ht="40.5" customHeight="1">
      <c r="A127" s="18"/>
      <c r="B127" s="20"/>
      <c r="C127" s="179">
        <v>6982023157012</v>
      </c>
      <c r="D127" s="83" t="str">
        <f>IFERROR(INDEX(Inventari_2[#All],MATCH(Salidas[[#This Row],[CODIGO ]],Inventari_2[[#Headers],[#Data],[CODIGO]],0),2),"")</f>
        <v>MINI LIBRETA KWAII</v>
      </c>
      <c r="E127">
        <v>1</v>
      </c>
      <c r="F127" s="43">
        <f>VLOOKUP(Salidas[[#This Row],[CODIGO ]],Inventari_2[],8,FALSE)</f>
        <v>8000</v>
      </c>
      <c r="G127" s="44">
        <f>Salidas[[#This Row],[PRECIO]]*Salidas[[#This Row],[CANTIDAD]]</f>
        <v>8000</v>
      </c>
      <c r="H127" s="84">
        <f>VLOOKUP(Salidas[[#This Row],[CODIGO ]],Inventario[],10,FALSE)*Salidas[[#This Row],[CANTIDAD]]</f>
        <v>4000</v>
      </c>
    </row>
    <row r="128" spans="1:8" ht="40.5" customHeight="1">
      <c r="A128" s="18"/>
      <c r="B128" s="20"/>
      <c r="C128" s="177">
        <v>6920158590083</v>
      </c>
      <c r="D128" s="83" t="str">
        <f>IFERROR(INDEX(Inventari_2[#All],MATCH(Salidas[[#This Row],[CODIGO ]],Inventari_2[[#Headers],[#Data],[CODIGO]],0),2),"")</f>
        <v>KIT CAPIBARA</v>
      </c>
      <c r="E128">
        <v>1</v>
      </c>
      <c r="F128" s="43">
        <f>VLOOKUP(Salidas[[#This Row],[CODIGO ]],Inventari_2[],8,FALSE)</f>
        <v>15000</v>
      </c>
      <c r="G128" s="44">
        <f>Salidas[[#This Row],[PRECIO]]*Salidas[[#This Row],[CANTIDAD]]</f>
        <v>15000</v>
      </c>
      <c r="H128" s="84">
        <f>VLOOKUP(Salidas[[#This Row],[CODIGO ]],Inventario[],10,FALSE)*Salidas[[#This Row],[CANTIDAD]]</f>
        <v>7000</v>
      </c>
    </row>
    <row r="129" spans="1:8" ht="40.5" customHeight="1">
      <c r="A129" s="18"/>
      <c r="B129" s="20"/>
      <c r="C129" s="77">
        <v>6976507720229</v>
      </c>
      <c r="D129" s="83" t="str">
        <f>IFERROR(INDEX(Inventari_2[#All],MATCH(Salidas[[#This Row],[CODIGO ]],Inventari_2[[#Headers],[#Data],[CODIGO]],0),2),"")</f>
        <v>BOLSA RESALTADORES *6</v>
      </c>
      <c r="E129">
        <v>1</v>
      </c>
      <c r="F129" s="43">
        <f>VLOOKUP(Salidas[[#This Row],[CODIGO ]],Inventari_2[],8,FALSE)</f>
        <v>15000</v>
      </c>
      <c r="G129" s="44">
        <f>Salidas[[#This Row],[PRECIO]]*Salidas[[#This Row],[CANTIDAD]]</f>
        <v>15000</v>
      </c>
      <c r="H129" s="84">
        <f>VLOOKUP(Salidas[[#This Row],[CODIGO ]],Inventario[],10,FALSE)*Salidas[[#This Row],[CANTIDAD]]</f>
        <v>8500</v>
      </c>
    </row>
    <row r="130" spans="1:8" ht="40.5" customHeight="1">
      <c r="A130" s="18"/>
      <c r="B130" s="20"/>
      <c r="C130" s="21" t="s">
        <v>765</v>
      </c>
      <c r="D130" s="83" t="str">
        <f>IFERROR(INDEX(Inventari_2[#All],MATCH(Salidas[[#This Row],[CODIGO ]],Inventari_2[[#Headers],[#Data],[CODIGO]],0),2),"")</f>
        <v>PORTA CARNETS ANIME</v>
      </c>
      <c r="E130">
        <v>1</v>
      </c>
      <c r="F130" s="43">
        <f>VLOOKUP(Salidas[[#This Row],[CODIGO ]],Inventari_2[],8,FALSE)</f>
        <v>10000</v>
      </c>
      <c r="G130" s="44">
        <f>Salidas[[#This Row],[PRECIO]]*Salidas[[#This Row],[CANTIDAD]]</f>
        <v>10000</v>
      </c>
      <c r="H130" s="84">
        <f>VLOOKUP(Salidas[[#This Row],[CODIGO ]],Inventario[],10,FALSE)*Salidas[[#This Row],[CANTIDAD]]</f>
        <v>4500</v>
      </c>
    </row>
    <row r="131" spans="1:8" ht="40.5" customHeight="1">
      <c r="A131" s="18"/>
      <c r="B131" s="20"/>
      <c r="C131" s="77">
        <v>6979261520128</v>
      </c>
      <c r="D131" s="83" t="str">
        <f>IFERROR(INDEX(Inventari_2[#All],MATCH(Salidas[[#This Row],[CODIGO ]],Inventari_2[[#Headers],[#Data],[CODIGO]],0),2),"")</f>
        <v>BORRADOR INFINITO</v>
      </c>
      <c r="E131">
        <v>1</v>
      </c>
      <c r="F131" s="43">
        <f>VLOOKUP(Salidas[[#This Row],[CODIGO ]],Inventari_2[],8,FALSE)</f>
        <v>6000</v>
      </c>
      <c r="G131" s="44">
        <f>Salidas[[#This Row],[PRECIO]]*Salidas[[#This Row],[CANTIDAD]]</f>
        <v>6000</v>
      </c>
      <c r="H131" s="84">
        <f>VLOOKUP(Salidas[[#This Row],[CODIGO ]],Inventario[],10,FALSE)*Salidas[[#This Row],[CANTIDAD]]</f>
        <v>3800</v>
      </c>
    </row>
    <row r="132" spans="1:8" ht="40.5" customHeight="1">
      <c r="A132" s="18"/>
      <c r="B132" s="20"/>
      <c r="C132" s="21" t="s">
        <v>765</v>
      </c>
      <c r="D132" s="83" t="str">
        <f>IFERROR(INDEX(Inventari_2[#All],MATCH(Salidas[[#This Row],[CODIGO ]],Inventari_2[[#Headers],[#Data],[CODIGO]],0),2),"")</f>
        <v>PORTA CARNETS ANIME</v>
      </c>
      <c r="E132">
        <v>1</v>
      </c>
      <c r="F132" s="58">
        <f>VLOOKUP(Salidas[[#This Row],[CODIGO ]],Inventari_2[],8,FALSE)</f>
        <v>10000</v>
      </c>
      <c r="G132" s="44">
        <f>Salidas[[#This Row],[PRECIO]]*Salidas[[#This Row],[CANTIDAD]]</f>
        <v>10000</v>
      </c>
      <c r="H132" s="84">
        <f>VLOOKUP(Salidas[[#This Row],[CODIGO ]],Inventario[],10,FALSE)*Salidas[[#This Row],[CANTIDAD]]</f>
        <v>4500</v>
      </c>
    </row>
    <row r="133" spans="1:8" ht="40.5" customHeight="1">
      <c r="A133" s="18"/>
      <c r="B133" s="20"/>
      <c r="C133" s="144" t="s">
        <v>144</v>
      </c>
      <c r="D133" s="83" t="str">
        <f>IFERROR(INDEX(Inventari_2[#All],MATCH(Salidas[[#This Row],[CODIGO ]],Inventari_2[[#Headers],[#Data],[CODIGO]],0),2),"")</f>
        <v>CARTAS DE KUROMI</v>
      </c>
      <c r="E133">
        <v>1</v>
      </c>
      <c r="F133" s="43">
        <f>VLOOKUP(Salidas[[#This Row],[CODIGO ]],Inventari_2[],8,FALSE)</f>
        <v>2000</v>
      </c>
      <c r="G133" s="44">
        <f>Salidas[[#This Row],[PRECIO]]*Salidas[[#This Row],[CANTIDAD]]</f>
        <v>2000</v>
      </c>
      <c r="H133" s="84">
        <f>VLOOKUP(Salidas[[#This Row],[CODIGO ]],Inventario[],10,FALSE)*Salidas[[#This Row],[CANTIDAD]]</f>
        <v>666.66669999999999</v>
      </c>
    </row>
    <row r="134" spans="1:8" ht="40.5" customHeight="1">
      <c r="A134" s="18"/>
      <c r="B134" s="20"/>
      <c r="C134" s="77">
        <v>6991200021428</v>
      </c>
      <c r="D134" s="83" t="str">
        <f>IFERROR(INDEX(Inventari_2[#All],MATCH(Salidas[[#This Row],[CODIGO ]],Inventari_2[[#Headers],[#Data],[CODIGO]],0),2),"")</f>
        <v>TAMAGUCHI</v>
      </c>
      <c r="E134">
        <v>1</v>
      </c>
      <c r="F134" s="43">
        <f>VLOOKUP(Salidas[[#This Row],[CODIGO ]],Inventari_2[],8,FALSE)</f>
        <v>15000</v>
      </c>
      <c r="G134" s="44">
        <f>Salidas[[#This Row],[PRECIO]]*Salidas[[#This Row],[CANTIDAD]]</f>
        <v>15000</v>
      </c>
      <c r="H134" s="84">
        <f>VLOOKUP(Salidas[[#This Row],[CODIGO ]],Inventario[],10,FALSE)*Salidas[[#This Row],[CANTIDAD]]</f>
        <v>8500</v>
      </c>
    </row>
    <row r="135" spans="1:8" ht="40.5" customHeight="1">
      <c r="A135" s="18"/>
      <c r="B135" s="20"/>
      <c r="C135" s="77">
        <v>6979261520128</v>
      </c>
      <c r="D135" s="83" t="str">
        <f>IFERROR(INDEX(Inventari_2[#All],MATCH(Salidas[[#This Row],[CODIGO ]],Inventari_2[[#Headers],[#Data],[CODIGO]],0),2),"")</f>
        <v>BORRADOR INFINITO</v>
      </c>
      <c r="E135">
        <v>1</v>
      </c>
      <c r="F135" s="43">
        <f>VLOOKUP(Salidas[[#This Row],[CODIGO ]],Inventari_2[],8,FALSE)</f>
        <v>6000</v>
      </c>
      <c r="G135" s="44">
        <f>Salidas[[#This Row],[PRECIO]]*Salidas[[#This Row],[CANTIDAD]]</f>
        <v>6000</v>
      </c>
      <c r="H135" s="84">
        <f>VLOOKUP(Salidas[[#This Row],[CODIGO ]],Inventario[],10,FALSE)*Salidas[[#This Row],[CANTIDAD]]</f>
        <v>3800</v>
      </c>
    </row>
    <row r="136" spans="1:8" ht="40.5" customHeight="1">
      <c r="A136" s="18"/>
      <c r="B136" s="20"/>
      <c r="C136" s="179">
        <v>6982023157012</v>
      </c>
      <c r="D136" s="83" t="str">
        <f>IFERROR(INDEX(Inventari_2[#All],MATCH(Salidas[[#This Row],[CODIGO ]],Inventari_2[[#Headers],[#Data],[CODIGO]],0),2),"")</f>
        <v>MINI LIBRETA KWAII</v>
      </c>
      <c r="E136">
        <v>1</v>
      </c>
      <c r="F136" s="43">
        <f>VLOOKUP(Salidas[[#This Row],[CODIGO ]],Inventari_2[],8,FALSE)</f>
        <v>8000</v>
      </c>
      <c r="G136" s="44">
        <f>Salidas[[#This Row],[PRECIO]]*Salidas[[#This Row],[CANTIDAD]]</f>
        <v>8000</v>
      </c>
      <c r="H136" s="84">
        <f>VLOOKUP(Salidas[[#This Row],[CODIGO ]],Inventario[],10,FALSE)*Salidas[[#This Row],[CANTIDAD]]</f>
        <v>4000</v>
      </c>
    </row>
    <row r="137" spans="1:8" ht="40.5" customHeight="1">
      <c r="A137" s="18"/>
      <c r="B137" s="20"/>
      <c r="C137" s="177">
        <v>5400141902389</v>
      </c>
      <c r="D137" s="83" t="str">
        <f>IFERROR(INDEX(Inventari_2[#All],MATCH(Salidas[[#This Row],[CODIGO ]],Inventari_2[[#Headers],[#Data],[CODIGO]],0),2),"")</f>
        <v>BORRADORES ECONOMICOS</v>
      </c>
      <c r="E137">
        <v>1</v>
      </c>
      <c r="F137" s="43">
        <f>VLOOKUP(Salidas[[#This Row],[CODIGO ]],Inventari_2[],8,FALSE)</f>
        <v>1000</v>
      </c>
      <c r="G137" s="44">
        <f>Salidas[[#This Row],[PRECIO]]*Salidas[[#This Row],[CANTIDAD]]</f>
        <v>1000</v>
      </c>
      <c r="H137" s="84">
        <f>VLOOKUP(Salidas[[#This Row],[CODIGO ]],Inventario[],10,FALSE)*Salidas[[#This Row],[CANTIDAD]]</f>
        <v>400</v>
      </c>
    </row>
    <row r="138" spans="1:8" ht="40.5" customHeight="1">
      <c r="A138" s="18"/>
      <c r="B138" s="20"/>
      <c r="C138" s="142" t="s">
        <v>515</v>
      </c>
      <c r="D138" s="83" t="str">
        <f>IFERROR(INDEX(Inventari_2[#All],MATCH(Salidas[[#This Row],[CODIGO ]],Inventari_2[[#Headers],[#Data],[CODIGO]],0),2),"")</f>
        <v/>
      </c>
      <c r="E138">
        <v>1</v>
      </c>
      <c r="F138" s="43" t="e">
        <f>VLOOKUP(Salidas[[#This Row],[CODIGO ]],Inventari_2[],8,FALSE)</f>
        <v>#N/A</v>
      </c>
      <c r="G138" s="44" t="e">
        <f>Salidas[[#This Row],[PRECIO]]*Salidas[[#This Row],[CANTIDAD]]</f>
        <v>#N/A</v>
      </c>
      <c r="H138" s="84" t="e">
        <f>VLOOKUP(Salidas[[#This Row],[CODIGO ]],Inventario[],10,FALSE)*Salidas[[#This Row],[CANTIDAD]]</f>
        <v>#N/A</v>
      </c>
    </row>
    <row r="139" spans="1:8" ht="40.5" customHeight="1">
      <c r="A139" s="18"/>
      <c r="B139" s="20"/>
      <c r="C139" s="149" t="s">
        <v>765</v>
      </c>
      <c r="D139" s="83" t="str">
        <f>IFERROR(INDEX(Inventari_2[#All],MATCH(Salidas[[#This Row],[CODIGO ]],Inventari_2[[#Headers],[#Data],[CODIGO]],0),2),"")</f>
        <v>PORTA CARNETS ANIME</v>
      </c>
      <c r="E139">
        <v>1</v>
      </c>
      <c r="F139" s="43">
        <f>VLOOKUP(Salidas[[#This Row],[CODIGO ]],Inventari_2[],8,FALSE)</f>
        <v>10000</v>
      </c>
      <c r="G139" s="44">
        <f>Salidas[[#This Row],[PRECIO]]*Salidas[[#This Row],[CANTIDAD]]</f>
        <v>10000</v>
      </c>
      <c r="H139" s="84">
        <f>VLOOKUP(Salidas[[#This Row],[CODIGO ]],Inventario[],10,FALSE)*Salidas[[#This Row],[CANTIDAD]]</f>
        <v>4500</v>
      </c>
    </row>
    <row r="140" spans="1:8" s="57" customFormat="1" ht="40.5" customHeight="1">
      <c r="A140" s="186"/>
      <c r="B140" s="187" t="s">
        <v>823</v>
      </c>
      <c r="C140" s="182" t="s">
        <v>758</v>
      </c>
      <c r="D140" s="83" t="str">
        <f>IFERROR(INDEX(Inventari_2[#All],MATCH(Salidas[[#This Row],[CODIGO ]],Inventari_2[[#Headers],[#Data],[CODIGO]],0),2),"")</f>
        <v>LEGO UNIDAD</v>
      </c>
      <c r="E140" s="188">
        <v>2</v>
      </c>
      <c r="F140" s="189">
        <f>VLOOKUP(Salidas[[#This Row],[CODIGO ]],Inventari_2[],8,FALSE)</f>
        <v>3000</v>
      </c>
      <c r="G140" s="190">
        <f>Salidas[[#This Row],[PRECIO]]*Salidas[[#This Row],[CANTIDAD]]</f>
        <v>6000</v>
      </c>
      <c r="H140" s="191">
        <f>VLOOKUP(Salidas[[#This Row],[CODIGO ]],Inventario[],10,FALSE)*Salidas[[#This Row],[CANTIDAD]]</f>
        <v>2666.6668</v>
      </c>
    </row>
    <row r="141" spans="1:8" ht="40.5" customHeight="1">
      <c r="A141" s="18"/>
      <c r="B141" s="20"/>
      <c r="C141" s="177">
        <v>6936316133689</v>
      </c>
      <c r="D141" s="83" t="str">
        <f>IFERROR(INDEX(Inventari_2[#All],MATCH(Salidas[[#This Row],[CODIGO ]],Inventari_2[[#Headers],[#Data],[CODIGO]],0),2),"")</f>
        <v>RESALTADORES BOLSA</v>
      </c>
      <c r="E141">
        <v>1</v>
      </c>
      <c r="F141" s="43">
        <f>VLOOKUP(Salidas[[#This Row],[CODIGO ]],Inventari_2[],8,FALSE)</f>
        <v>15000</v>
      </c>
      <c r="G141" s="44">
        <f>Salidas[[#This Row],[PRECIO]]*Salidas[[#This Row],[CANTIDAD]]</f>
        <v>15000</v>
      </c>
      <c r="H141" s="84">
        <f>VLOOKUP(Salidas[[#This Row],[CODIGO ]],Inventario[],10,FALSE)*Salidas[[#This Row],[CANTIDAD]]</f>
        <v>8000</v>
      </c>
    </row>
    <row r="142" spans="1:8" ht="40.5" customHeight="1">
      <c r="A142" s="18"/>
      <c r="B142" s="20"/>
      <c r="C142" s="147" t="s">
        <v>589</v>
      </c>
      <c r="D142" s="83" t="str">
        <f>IFERROR(INDEX(Inventari_2[#All],MATCH(Salidas[[#This Row],[CODIGO ]],Inventari_2[[#Headers],[#Data],[CODIGO]],0),2),"")</f>
        <v>STIKERS</v>
      </c>
      <c r="E142">
        <v>1</v>
      </c>
      <c r="F142" s="43">
        <f>VLOOKUP(Salidas[[#This Row],[CODIGO ]],Inventari_2[],8,FALSE)</f>
        <v>1000</v>
      </c>
      <c r="G142" s="44">
        <f>Salidas[[#This Row],[PRECIO]]*Salidas[[#This Row],[CANTIDAD]]</f>
        <v>1000</v>
      </c>
      <c r="H142" s="84">
        <f>VLOOKUP(Salidas[[#This Row],[CODIGO ]],Inventario[],10,FALSE)*Salidas[[#This Row],[CANTIDAD]]</f>
        <v>500</v>
      </c>
    </row>
    <row r="143" spans="1:8" ht="40.5" customHeight="1">
      <c r="A143" s="18"/>
      <c r="B143" s="20"/>
      <c r="C143" s="182" t="s">
        <v>758</v>
      </c>
      <c r="D143" s="83" t="str">
        <f>IFERROR(INDEX(Inventari_2[#All],MATCH(Salidas[[#This Row],[CODIGO ]],Inventari_2[[#Headers],[#Data],[CODIGO]],0),2),"")</f>
        <v>LEGO UNIDAD</v>
      </c>
      <c r="E143">
        <v>3</v>
      </c>
      <c r="F143" s="43">
        <f>VLOOKUP(Salidas[[#This Row],[CODIGO ]],Inventari_2[],8,FALSE)</f>
        <v>3000</v>
      </c>
      <c r="G143" s="44">
        <f>Salidas[[#This Row],[PRECIO]]*Salidas[[#This Row],[CANTIDAD]]</f>
        <v>9000</v>
      </c>
      <c r="H143" s="84">
        <f>VLOOKUP(Salidas[[#This Row],[CODIGO ]],Inventario[],10,FALSE)*Salidas[[#This Row],[CANTIDAD]]</f>
        <v>4000.0001999999999</v>
      </c>
    </row>
    <row r="144" spans="1:8" ht="40.5" customHeight="1">
      <c r="A144" s="18"/>
      <c r="B144" s="20"/>
      <c r="C144" s="177">
        <v>6484512243041</v>
      </c>
      <c r="D144" s="83" t="str">
        <f>IFERROR(INDEX(Inventari_2[#All],MATCH(Salidas[[#This Row],[CODIGO ]],Inventari_2[[#Headers],[#Data],[CODIGO]],0),2),"")</f>
        <v>SONY ANGEL</v>
      </c>
      <c r="E144">
        <v>1</v>
      </c>
      <c r="F144" s="43">
        <f>VLOOKUP(Salidas[[#This Row],[CODIGO ]],Inventari_2[],8,FALSE)</f>
        <v>15000</v>
      </c>
      <c r="G144" s="44">
        <f>Salidas[[#This Row],[PRECIO]]*Salidas[[#This Row],[CANTIDAD]]</f>
        <v>15000</v>
      </c>
      <c r="H144" s="84">
        <f>VLOOKUP(Salidas[[#This Row],[CODIGO ]],Inventario[],10,FALSE)*Salidas[[#This Row],[CANTIDAD]]</f>
        <v>-50000</v>
      </c>
    </row>
    <row r="145" spans="1:8" ht="40.5" customHeight="1">
      <c r="A145" s="18"/>
      <c r="B145" s="20"/>
      <c r="C145" s="182" t="s">
        <v>758</v>
      </c>
      <c r="D145" s="83" t="str">
        <f>IFERROR(INDEX(Inventari_2[#All],MATCH(Salidas[[#This Row],[CODIGO ]],Inventari_2[[#Headers],[#Data],[CODIGO]],0),2),"")</f>
        <v>LEGO UNIDAD</v>
      </c>
      <c r="E145">
        <v>2</v>
      </c>
      <c r="F145" s="43">
        <f>VLOOKUP(Salidas[[#This Row],[CODIGO ]],Inventari_2[],8,FALSE)</f>
        <v>3000</v>
      </c>
      <c r="G145" s="44">
        <f>Salidas[[#This Row],[PRECIO]]*Salidas[[#This Row],[CANTIDAD]]</f>
        <v>6000</v>
      </c>
      <c r="H145" s="84">
        <f>VLOOKUP(Salidas[[#This Row],[CODIGO ]],Inventario[],10,FALSE)*Salidas[[#This Row],[CANTIDAD]]</f>
        <v>2666.6668</v>
      </c>
    </row>
    <row r="146" spans="1:8" ht="40.5" customHeight="1">
      <c r="A146" s="18"/>
      <c r="B146" s="20"/>
      <c r="C146" s="177">
        <v>6936316133689</v>
      </c>
      <c r="D146" s="83" t="str">
        <f>IFERROR(INDEX(Inventari_2[#All],MATCH(Salidas[[#This Row],[CODIGO ]],Inventari_2[[#Headers],[#Data],[CODIGO]],0),2),"")</f>
        <v>RESALTADORES BOLSA</v>
      </c>
      <c r="E146">
        <v>1</v>
      </c>
      <c r="F146" s="43">
        <f>VLOOKUP(Salidas[[#This Row],[CODIGO ]],Inventari_2[],8,FALSE)</f>
        <v>15000</v>
      </c>
      <c r="G146" s="44">
        <f>Salidas[[#This Row],[PRECIO]]*Salidas[[#This Row],[CANTIDAD]]</f>
        <v>15000</v>
      </c>
      <c r="H146" s="84">
        <f>VLOOKUP(Salidas[[#This Row],[CODIGO ]],Inventario[],10,FALSE)*Salidas[[#This Row],[CANTIDAD]]</f>
        <v>8000</v>
      </c>
    </row>
    <row r="147" spans="1:8" ht="40.5" customHeight="1">
      <c r="A147" s="18"/>
      <c r="B147" s="20"/>
      <c r="C147" s="179">
        <v>6982023157012</v>
      </c>
      <c r="D147" s="83" t="str">
        <f>IFERROR(INDEX(Inventari_2[#All],MATCH(Salidas[[#This Row],[CODIGO ]],Inventari_2[[#Headers],[#Data],[CODIGO]],0),2),"")</f>
        <v>MINI LIBRETA KWAII</v>
      </c>
      <c r="E147">
        <v>1</v>
      </c>
      <c r="F147" s="43">
        <f>VLOOKUP(Salidas[[#This Row],[CODIGO ]],Inventari_2[],8,FALSE)</f>
        <v>8000</v>
      </c>
      <c r="G147" s="44">
        <f>Salidas[[#This Row],[PRECIO]]*Salidas[[#This Row],[CANTIDAD]]</f>
        <v>8000</v>
      </c>
      <c r="H147" s="84">
        <f>VLOOKUP(Salidas[[#This Row],[CODIGO ]],Inventario[],10,FALSE)*Salidas[[#This Row],[CANTIDAD]]</f>
        <v>4000</v>
      </c>
    </row>
    <row r="148" spans="1:8" ht="40.5" customHeight="1">
      <c r="A148" s="18"/>
      <c r="B148" s="20"/>
      <c r="C148" s="149" t="s">
        <v>583</v>
      </c>
      <c r="D148" s="83" t="str">
        <f>IFERROR(INDEX(Inventari_2[#All],MATCH(Salidas[[#This Row],[CODIGO ]],Inventari_2[[#Headers],[#Data],[CODIGO]],0),2),"")</f>
        <v>SOMBRILLA AUTOMATICA</v>
      </c>
      <c r="E148">
        <v>1</v>
      </c>
      <c r="F148" s="43">
        <f>VLOOKUP(Salidas[[#This Row],[CODIGO ]],Inventari_2[],8,FALSE)</f>
        <v>35000</v>
      </c>
      <c r="G148" s="44">
        <f>Salidas[[#This Row],[PRECIO]]*Salidas[[#This Row],[CANTIDAD]]</f>
        <v>35000</v>
      </c>
      <c r="H148" s="84">
        <f>VLOOKUP(Salidas[[#This Row],[CODIGO ]],Inventario[],10,FALSE)*Salidas[[#This Row],[CANTIDAD]]</f>
        <v>15000</v>
      </c>
    </row>
    <row r="149" spans="1:8" ht="40.5" customHeight="1">
      <c r="A149" s="18"/>
      <c r="B149" s="20"/>
      <c r="C149" s="21" t="s">
        <v>677</v>
      </c>
      <c r="D149" s="83" t="str">
        <f>IFERROR(INDEX(Inventari_2[#All],MATCH(Salidas[[#This Row],[CODIGO ]],Inventari_2[[#Headers],[#Data],[CODIGO]],0),2),"")</f>
        <v/>
      </c>
      <c r="E149">
        <v>1</v>
      </c>
      <c r="F149" s="43" t="e">
        <f>VLOOKUP(Salidas[[#This Row],[CODIGO ]],Inventari_2[],8,FALSE)</f>
        <v>#N/A</v>
      </c>
      <c r="G149" s="44" t="e">
        <f>Salidas[[#This Row],[PRECIO]]*Salidas[[#This Row],[CANTIDAD]]</f>
        <v>#N/A</v>
      </c>
      <c r="H149" s="84" t="e">
        <f>VLOOKUP(Salidas[[#This Row],[CODIGO ]],Inventario[],10,FALSE)*Salidas[[#This Row],[CANTIDAD]]</f>
        <v>#N/A</v>
      </c>
    </row>
    <row r="150" spans="1:8" ht="40.5" customHeight="1">
      <c r="A150" s="202">
        <v>44000</v>
      </c>
      <c r="B150" s="20"/>
      <c r="C150" s="21" t="s">
        <v>680</v>
      </c>
      <c r="D150" s="83" t="str">
        <f>IFERROR(INDEX(Inventari_2[#All],MATCH(Salidas[[#This Row],[CODIGO ]],Inventari_2[[#Headers],[#Data],[CODIGO]],0),2),"")</f>
        <v>MANILLA CAPIBARA</v>
      </c>
      <c r="E150">
        <v>1</v>
      </c>
      <c r="F150" s="43">
        <f>VLOOKUP(Salidas[[#This Row],[CODIGO ]],Inventari_2[],8,FALSE)</f>
        <v>35000</v>
      </c>
      <c r="G150" s="44">
        <f>Salidas[[#This Row],[PRECIO]]*Salidas[[#This Row],[CANTIDAD]]</f>
        <v>35000</v>
      </c>
      <c r="H150" s="84">
        <f>VLOOKUP(Salidas[[#This Row],[CODIGO ]],Inventario[],10,FALSE)*Salidas[[#This Row],[CANTIDAD]]</f>
        <v>15000</v>
      </c>
    </row>
    <row r="151" spans="1:8" s="57" customFormat="1" ht="40.5" customHeight="1">
      <c r="A151" s="55"/>
      <c r="B151" s="56"/>
      <c r="C151" s="138"/>
      <c r="D151" s="57" t="str">
        <f>IFERROR(INDEX(Inventari_2[#All],MATCH(Salidas[[#This Row],[CODIGO ]],Inventari_2[[#Headers],[#Data],[CODIGO]],0),2),"")</f>
        <v/>
      </c>
      <c r="E151" s="57">
        <v>1</v>
      </c>
      <c r="F151" s="58" t="e">
        <f>VLOOKUP(Salidas[[#This Row],[CODIGO ]],Inventari_2[],8,FALSE)</f>
        <v>#N/A</v>
      </c>
      <c r="G151" s="139" t="e">
        <f>Salidas[[#This Row],[PRECIO]]*Salidas[[#This Row],[CANTIDAD]]</f>
        <v>#N/A</v>
      </c>
      <c r="H151" s="140" t="e">
        <f>VLOOKUP(Salidas[[#This Row],[CODIGO ]],Inventario[],10,FALSE)*Salidas[[#This Row],[CANTIDAD]]</f>
        <v>#N/A</v>
      </c>
    </row>
    <row r="152" spans="1:8" s="57" customFormat="1" ht="40.5" customHeight="1">
      <c r="A152" s="18" t="s">
        <v>824</v>
      </c>
      <c r="B152" s="20">
        <v>45787</v>
      </c>
      <c r="C152" s="142" t="s">
        <v>126</v>
      </c>
      <c r="D152" s="83" t="str">
        <f>IFERROR(INDEX(Inventari_2[#All],MATCH(Salidas[[#This Row],[CODIGO ]],Inventari_2[[#Headers],[#Data],[CODIGO]],0),2),"")</f>
        <v>CAJA DE CARTAS *10</v>
      </c>
      <c r="E152">
        <v>1</v>
      </c>
      <c r="F152" s="43">
        <f>VLOOKUP(Salidas[[#This Row],[CODIGO ]],Inventari_2[],8,FALSE)</f>
        <v>5000</v>
      </c>
      <c r="G152" s="44">
        <f>Salidas[[#This Row],[PRECIO]]*Salidas[[#This Row],[CANTIDAD]]</f>
        <v>5000</v>
      </c>
      <c r="H152" s="84">
        <f>VLOOKUP(Salidas[[#This Row],[CODIGO ]],Inventario[],10,FALSE)*Salidas[[#This Row],[CANTIDAD]]</f>
        <v>3917</v>
      </c>
    </row>
    <row r="153" spans="1:8" s="194" customFormat="1" ht="40.5" customHeight="1">
      <c r="A153" s="192"/>
      <c r="B153" s="193"/>
      <c r="C153" s="21" t="s">
        <v>722</v>
      </c>
      <c r="D153" s="194" t="str">
        <f>IFERROR(INDEX(Inventari_2[#All],MATCH(Salidas[[#This Row],[CODIGO ]],Inventari_2[[#Headers],[#Data],[CODIGO]],0),2),"")</f>
        <v>CAPIBARA BAILARIN</v>
      </c>
      <c r="E153" s="194">
        <v>2</v>
      </c>
      <c r="F153" s="195">
        <v>30000</v>
      </c>
      <c r="G153" s="196">
        <f>Salidas[[#This Row],[PRECIO]]*Salidas[[#This Row],[CANTIDAD]]</f>
        <v>60000</v>
      </c>
      <c r="H153" s="197">
        <v>16000</v>
      </c>
    </row>
    <row r="154" spans="1:8" s="57" customFormat="1" ht="40.5" customHeight="1">
      <c r="A154" s="18"/>
      <c r="B154" s="20"/>
      <c r="C154" s="21">
        <v>6976264160825</v>
      </c>
      <c r="D154" s="83" t="str">
        <f>IFERROR(INDEX(Inventari_2[#All],MATCH(Salidas[[#This Row],[CODIGO ]],Inventari_2[[#Headers],[#Data],[CODIGO]],0),2),"")</f>
        <v>PAÑITOS SECOS</v>
      </c>
      <c r="E154">
        <v>2</v>
      </c>
      <c r="F154" s="43">
        <f>VLOOKUP(Salidas[[#This Row],[CODIGO ]],Inventari_2[],8,FALSE)</f>
        <v>2000</v>
      </c>
      <c r="G154" s="44">
        <f>Salidas[[#This Row],[PRECIO]]*Salidas[[#This Row],[CANTIDAD]]</f>
        <v>4000</v>
      </c>
      <c r="H154" s="84">
        <f>VLOOKUP(Salidas[[#This Row],[CODIGO ]],Inventario[],10,FALSE)*Salidas[[#This Row],[CANTIDAD]]</f>
        <v>2800</v>
      </c>
    </row>
    <row r="155" spans="1:8" s="57" customFormat="1" ht="40.5" customHeight="1">
      <c r="A155" s="18"/>
      <c r="B155" s="20"/>
      <c r="C155" s="142" t="s">
        <v>319</v>
      </c>
      <c r="D155" s="83" t="str">
        <f>IFERROR(INDEX(Inventari_2[#All],MATCH(Salidas[[#This Row],[CODIGO ]],Inventari_2[[#Headers],[#Data],[CODIGO]],0),2),"")</f>
        <v>LAMPARA REDONDA ANIME</v>
      </c>
      <c r="E155">
        <v>1</v>
      </c>
      <c r="F155" s="43">
        <v>35000</v>
      </c>
      <c r="G155" s="44">
        <f>Salidas[[#This Row],[PRECIO]]*Salidas[[#This Row],[CANTIDAD]]</f>
        <v>35000</v>
      </c>
      <c r="H155" s="84">
        <v>12000</v>
      </c>
    </row>
    <row r="156" spans="1:8" s="57" customFormat="1" ht="40.5" customHeight="1">
      <c r="A156" s="18"/>
      <c r="B156" s="20"/>
      <c r="C156" s="237" t="s">
        <v>903</v>
      </c>
      <c r="D156" s="83" t="str">
        <f>IFERROR(INDEX(Inventari_2[#All],MATCH(Salidas[[#This Row],[CODIGO ]],Inventari_2[[#Headers],[#Data],[CODIGO]],0),2),"")</f>
        <v>MEDIAS MOTIVOS</v>
      </c>
      <c r="E156">
        <v>1</v>
      </c>
      <c r="F156" s="43">
        <f>VLOOKUP(Salidas[[#This Row],[CODIGO ]],Inventari_2[],8,FALSE)</f>
        <v>8000</v>
      </c>
      <c r="G156" s="44">
        <f>Salidas[[#This Row],[PRECIO]]*Salidas[[#This Row],[CANTIDAD]]</f>
        <v>8000</v>
      </c>
      <c r="H156" s="84">
        <f>VLOOKUP(Salidas[[#This Row],[CODIGO ]],Inventario[],10,FALSE)*Salidas[[#This Row],[CANTIDAD]]</f>
        <v>3000</v>
      </c>
    </row>
    <row r="157" spans="1:8" s="57" customFormat="1" ht="40.5" customHeight="1">
      <c r="A157" s="18"/>
      <c r="B157" s="20"/>
      <c r="C157" s="142" t="s">
        <v>341</v>
      </c>
      <c r="D157" s="83" t="str">
        <f>IFERROR(INDEX(Inventari_2[#All],MATCH(Salidas[[#This Row],[CODIGO ]],Inventari_2[[#Headers],[#Data],[CODIGO]],0),2),"")</f>
        <v>LEGO DE FIGURAS PEQUEÑO</v>
      </c>
      <c r="E157">
        <v>1</v>
      </c>
      <c r="F157" s="43">
        <f>VLOOKUP(Salidas[[#This Row],[CODIGO ]],Inventari_2[],8,FALSE)</f>
        <v>12000</v>
      </c>
      <c r="G157" s="44">
        <f>Salidas[[#This Row],[PRECIO]]*Salidas[[#This Row],[CANTIDAD]]</f>
        <v>12000</v>
      </c>
      <c r="H157" s="84">
        <f>VLOOKUP(Salidas[[#This Row],[CODIGO ]],Inventario[],10,FALSE)*Salidas[[#This Row],[CANTIDAD]]</f>
        <v>7000</v>
      </c>
    </row>
    <row r="158" spans="1:8" s="57" customFormat="1" ht="40.5" customHeight="1">
      <c r="A158" s="18"/>
      <c r="B158" s="20"/>
      <c r="C158" s="147" t="s">
        <v>589</v>
      </c>
      <c r="D158" s="83" t="str">
        <f>IFERROR(INDEX(Inventari_2[#All],MATCH(Salidas[[#This Row],[CODIGO ]],Inventari_2[[#Headers],[#Data],[CODIGO]],0),2),"")</f>
        <v>STIKERS</v>
      </c>
      <c r="E158">
        <v>2</v>
      </c>
      <c r="F158" s="43">
        <f>VLOOKUP(Salidas[[#This Row],[CODIGO ]],Inventari_2[],8,FALSE)</f>
        <v>1000</v>
      </c>
      <c r="G158" s="44">
        <f>Salidas[[#This Row],[PRECIO]]*Salidas[[#This Row],[CANTIDAD]]</f>
        <v>2000</v>
      </c>
      <c r="H158" s="84">
        <f>VLOOKUP(Salidas[[#This Row],[CODIGO ]],Inventario[],10,FALSE)*Salidas[[#This Row],[CANTIDAD]]</f>
        <v>1000</v>
      </c>
    </row>
    <row r="159" spans="1:8" s="57" customFormat="1" ht="40.5" customHeight="1">
      <c r="A159" s="18"/>
      <c r="B159" s="20"/>
      <c r="C159" s="21">
        <v>6920240510111</v>
      </c>
      <c r="D159" s="83" t="str">
        <f>IFERROR(INDEX(Inventari_2[#All],MATCH(Salidas[[#This Row],[CODIGO ]],Inventari_2[[#Headers],[#Data],[CODIGO]],0),2),"")</f>
        <v xml:space="preserve">CINTA SANRIO </v>
      </c>
      <c r="E159">
        <v>2</v>
      </c>
      <c r="F159" s="43">
        <f>VLOOKUP(Salidas[[#This Row],[CODIGO ]],Inventari_2[],8,FALSE)</f>
        <v>1000</v>
      </c>
      <c r="G159" s="44">
        <f>Salidas[[#This Row],[PRECIO]]*Salidas[[#This Row],[CANTIDAD]]</f>
        <v>2000</v>
      </c>
      <c r="H159" s="84">
        <f>VLOOKUP(Salidas[[#This Row],[CODIGO ]],Inventario[],10,FALSE)*Salidas[[#This Row],[CANTIDAD]]</f>
        <v>1240</v>
      </c>
    </row>
    <row r="160" spans="1:8" s="57" customFormat="1" ht="40.5" customHeight="1">
      <c r="A160" s="18"/>
      <c r="B160" s="20"/>
      <c r="C160" s="21" t="s">
        <v>677</v>
      </c>
      <c r="D160" s="83" t="str">
        <f>IFERROR(INDEX(Inventari_2[#All],MATCH(Salidas[[#This Row],[CODIGO ]],Inventari_2[[#Headers],[#Data],[CODIGO]],0),2),"")</f>
        <v/>
      </c>
      <c r="E160">
        <v>1</v>
      </c>
      <c r="F160" s="43" t="e">
        <f>VLOOKUP(Salidas[[#This Row],[CODIGO ]],Inventari_2[],8,FALSE)</f>
        <v>#N/A</v>
      </c>
      <c r="G160" s="44" t="e">
        <f>Salidas[[#This Row],[PRECIO]]*Salidas[[#This Row],[CANTIDAD]]</f>
        <v>#N/A</v>
      </c>
      <c r="H160" s="84" t="e">
        <f>VLOOKUP(Salidas[[#This Row],[CODIGO ]],Inventario[],10,FALSE)*Salidas[[#This Row],[CANTIDAD]]</f>
        <v>#N/A</v>
      </c>
    </row>
    <row r="161" spans="1:8" s="57" customFormat="1" ht="40.5" customHeight="1">
      <c r="A161" s="18"/>
      <c r="B161" s="20"/>
      <c r="C161" s="147" t="s">
        <v>589</v>
      </c>
      <c r="D161" s="83" t="str">
        <f>IFERROR(INDEX(Inventari_2[#All],MATCH(Salidas[[#This Row],[CODIGO ]],Inventari_2[[#Headers],[#Data],[CODIGO]],0),2),"")</f>
        <v>STIKERS</v>
      </c>
      <c r="E161">
        <v>1</v>
      </c>
      <c r="F161" s="43">
        <f>VLOOKUP(Salidas[[#This Row],[CODIGO ]],Inventari_2[],8,FALSE)</f>
        <v>1000</v>
      </c>
      <c r="G161" s="44">
        <f>Salidas[[#This Row],[PRECIO]]*Salidas[[#This Row],[CANTIDAD]]</f>
        <v>1000</v>
      </c>
      <c r="H161" s="84">
        <f>VLOOKUP(Salidas[[#This Row],[CODIGO ]],Inventario[],10,FALSE)*Salidas[[#This Row],[CANTIDAD]]</f>
        <v>500</v>
      </c>
    </row>
    <row r="162" spans="1:8" s="57" customFormat="1" ht="40.5" customHeight="1">
      <c r="A162" s="18"/>
      <c r="B162" s="20"/>
      <c r="C162" s="21" t="s">
        <v>762</v>
      </c>
      <c r="D162" s="83" t="str">
        <f>IFERROR(INDEX(Inventari_2[#All],MATCH(Salidas[[#This Row],[CODIGO ]],Inventari_2[[#Headers],[#Data],[CODIGO]],0),2),"")</f>
        <v>BOTONES PERSONALIZADOS</v>
      </c>
      <c r="E162">
        <v>1</v>
      </c>
      <c r="F162" s="43">
        <f>VLOOKUP(Salidas[[#This Row],[CODIGO ]],Inventari_2[],8,FALSE)</f>
        <v>5000</v>
      </c>
      <c r="G162" s="44">
        <f>Salidas[[#This Row],[PRECIO]]*Salidas[[#This Row],[CANTIDAD]]</f>
        <v>5000</v>
      </c>
      <c r="H162" s="84">
        <f>VLOOKUP(Salidas[[#This Row],[CODIGO ]],Inventario[],10,FALSE)*Salidas[[#This Row],[CANTIDAD]]</f>
        <v>2500</v>
      </c>
    </row>
    <row r="163" spans="1:8" s="57" customFormat="1" ht="40.5" customHeight="1">
      <c r="A163" s="18"/>
      <c r="B163" s="20"/>
      <c r="C163" s="182" t="s">
        <v>758</v>
      </c>
      <c r="D163" s="83" t="str">
        <f>IFERROR(INDEX(Inventari_2[#All],MATCH(Salidas[[#This Row],[CODIGO ]],Inventari_2[[#Headers],[#Data],[CODIGO]],0),2),"")</f>
        <v>LEGO UNIDAD</v>
      </c>
      <c r="E163">
        <v>1</v>
      </c>
      <c r="F163" s="43">
        <f>VLOOKUP(Salidas[[#This Row],[CODIGO ]],Inventari_2[],8,FALSE)</f>
        <v>3000</v>
      </c>
      <c r="G163" s="44">
        <f>Salidas[[#This Row],[PRECIO]]*Salidas[[#This Row],[CANTIDAD]]</f>
        <v>3000</v>
      </c>
      <c r="H163" s="84">
        <f>VLOOKUP(Salidas[[#This Row],[CODIGO ]],Inventario[],10,FALSE)*Salidas[[#This Row],[CANTIDAD]]</f>
        <v>1333.3334</v>
      </c>
    </row>
    <row r="164" spans="1:8" s="57" customFormat="1" ht="40.5" customHeight="1">
      <c r="A164" s="18"/>
      <c r="B164" s="20"/>
      <c r="C164" s="182" t="s">
        <v>758</v>
      </c>
      <c r="D164" s="83" t="str">
        <f>IFERROR(INDEX(Inventari_2[#All],MATCH(Salidas[[#This Row],[CODIGO ]],Inventari_2[[#Headers],[#Data],[CODIGO]],0),2),"")</f>
        <v>LEGO UNIDAD</v>
      </c>
      <c r="E164">
        <v>1</v>
      </c>
      <c r="F164" s="43">
        <f>VLOOKUP(Salidas[[#This Row],[CODIGO ]],Inventari_2[],8,FALSE)</f>
        <v>3000</v>
      </c>
      <c r="G164" s="44">
        <f>Salidas[[#This Row],[PRECIO]]*Salidas[[#This Row],[CANTIDAD]]</f>
        <v>3000</v>
      </c>
      <c r="H164" s="84">
        <f>VLOOKUP(Salidas[[#This Row],[CODIGO ]],Inventario[],10,FALSE)*Salidas[[#This Row],[CANTIDAD]]</f>
        <v>1333.3334</v>
      </c>
    </row>
    <row r="165" spans="1:8" s="57" customFormat="1" ht="40.5" customHeight="1">
      <c r="A165" s="18"/>
      <c r="B165" s="20"/>
      <c r="C165" s="142" t="s">
        <v>532</v>
      </c>
      <c r="D165" s="83" t="str">
        <f>IFERROR(INDEX(Inventari_2[#All],MATCH(Salidas[[#This Row],[CODIGO ]],Inventari_2[[#Headers],[#Data],[CODIGO]],0),2),"")</f>
        <v>RESALTADOR *4 ARDILLAS</v>
      </c>
      <c r="E165">
        <v>1</v>
      </c>
      <c r="F165" s="43">
        <f>VLOOKUP(Salidas[[#This Row],[CODIGO ]],Inventari_2[],8,FALSE)</f>
        <v>10000</v>
      </c>
      <c r="G165" s="44">
        <f>Salidas[[#This Row],[PRECIO]]*Salidas[[#This Row],[CANTIDAD]]</f>
        <v>10000</v>
      </c>
      <c r="H165" s="84">
        <f>VLOOKUP(Salidas[[#This Row],[CODIGO ]],Inventario[],10,FALSE)*Salidas[[#This Row],[CANTIDAD]]</f>
        <v>6200</v>
      </c>
    </row>
    <row r="166" spans="1:8" s="57" customFormat="1" ht="40.5" customHeight="1">
      <c r="A166" s="18"/>
      <c r="B166" s="20"/>
      <c r="C166" s="142" t="s">
        <v>458</v>
      </c>
      <c r="D166" s="83" t="str">
        <f>IFERROR(INDEX(Inventari_2[#All],MATCH(Salidas[[#This Row],[CODIGO ]],Inventari_2[[#Headers],[#Data],[CODIGO]],0),2),"")</f>
        <v>PINES EN RESINA</v>
      </c>
      <c r="E166">
        <v>1</v>
      </c>
      <c r="F166" s="43">
        <f>VLOOKUP(Salidas[[#This Row],[CODIGO ]],Inventari_2[],8,FALSE)</f>
        <v>7000</v>
      </c>
      <c r="G166" s="44">
        <f>Salidas[[#This Row],[PRECIO]]*Salidas[[#This Row],[CANTIDAD]]</f>
        <v>7000</v>
      </c>
      <c r="H166" s="84">
        <f>VLOOKUP(Salidas[[#This Row],[CODIGO ]],Inventario[],10,FALSE)*Salidas[[#This Row],[CANTIDAD]]</f>
        <v>4000</v>
      </c>
    </row>
    <row r="167" spans="1:8" s="57" customFormat="1" ht="40.5" customHeight="1">
      <c r="A167" s="18"/>
      <c r="B167" s="20"/>
      <c r="C167" s="147">
        <v>6991200021428</v>
      </c>
      <c r="D167" s="83" t="str">
        <f>IFERROR(INDEX(Inventari_2[#All],MATCH(Salidas[[#This Row],[CODIGO ]],Inventari_2[[#Headers],[#Data],[CODIGO]],0),2),"")</f>
        <v>TAMAGUCHI</v>
      </c>
      <c r="E167">
        <v>1</v>
      </c>
      <c r="F167" s="43">
        <f>VLOOKUP(Salidas[[#This Row],[CODIGO ]],Inventari_2[],8,FALSE)</f>
        <v>15000</v>
      </c>
      <c r="G167" s="44">
        <f>Salidas[[#This Row],[PRECIO]]*Salidas[[#This Row],[CANTIDAD]]</f>
        <v>15000</v>
      </c>
      <c r="H167" s="84">
        <f>VLOOKUP(Salidas[[#This Row],[CODIGO ]],Inventario[],10,FALSE)*Salidas[[#This Row],[CANTIDAD]]</f>
        <v>8500</v>
      </c>
    </row>
    <row r="168" spans="1:8" s="57" customFormat="1" ht="40.5" customHeight="1">
      <c r="A168" s="18"/>
      <c r="B168" s="20"/>
      <c r="C168" s="147" t="s">
        <v>589</v>
      </c>
      <c r="D168" s="83" t="str">
        <f>IFERROR(INDEX(Inventari_2[#All],MATCH(Salidas[[#This Row],[CODIGO ]],Inventari_2[[#Headers],[#Data],[CODIGO]],0),2),"")</f>
        <v>STIKERS</v>
      </c>
      <c r="E168">
        <v>5</v>
      </c>
      <c r="F168" s="43">
        <f>VLOOKUP(Salidas[[#This Row],[CODIGO ]],Inventari_2[],8,FALSE)</f>
        <v>1000</v>
      </c>
      <c r="G168" s="44">
        <f>Salidas[[#This Row],[PRECIO]]*Salidas[[#This Row],[CANTIDAD]]</f>
        <v>5000</v>
      </c>
      <c r="H168" s="84">
        <f>VLOOKUP(Salidas[[#This Row],[CODIGO ]],Inventario[],10,FALSE)*Salidas[[#This Row],[CANTIDAD]]</f>
        <v>2500</v>
      </c>
    </row>
    <row r="169" spans="1:8" s="57" customFormat="1" ht="40.5" customHeight="1">
      <c r="A169" s="18"/>
      <c r="B169" s="20"/>
      <c r="C169" s="144" t="s">
        <v>156</v>
      </c>
      <c r="D169" s="83" t="str">
        <f>IFERROR(INDEX(Inventari_2[#All],MATCH(Salidas[[#This Row],[CODIGO ]],Inventari_2[[#Headers],[#Data],[CODIGO]],0),2),"")</f>
        <v>CARTAS*55</v>
      </c>
      <c r="E169">
        <v>1</v>
      </c>
      <c r="F169" s="43">
        <f>VLOOKUP(Salidas[[#This Row],[CODIGO ]],Inventari_2[],8,FALSE)</f>
        <v>35000</v>
      </c>
      <c r="G169" s="44">
        <f>Salidas[[#This Row],[PRECIO]]*Salidas[[#This Row],[CANTIDAD]]</f>
        <v>35000</v>
      </c>
      <c r="H169" s="84">
        <f>VLOOKUP(Salidas[[#This Row],[CODIGO ]],Inventario[],10,FALSE)*Salidas[[#This Row],[CANTIDAD]]</f>
        <v>20500</v>
      </c>
    </row>
    <row r="170" spans="1:8" s="57" customFormat="1" ht="40.5" customHeight="1">
      <c r="A170" s="18"/>
      <c r="B170" s="20"/>
      <c r="C170" s="149" t="s">
        <v>458</v>
      </c>
      <c r="D170" s="83" t="str">
        <f>IFERROR(INDEX(Inventari_2[#All],MATCH(Salidas[[#This Row],[CODIGO ]],Inventari_2[[#Headers],[#Data],[CODIGO]],0),2),"")</f>
        <v>PINES EN RESINA</v>
      </c>
      <c r="E170">
        <v>1</v>
      </c>
      <c r="F170" s="43">
        <f>VLOOKUP(Salidas[[#This Row],[CODIGO ]],Inventari_2[],8,FALSE)</f>
        <v>7000</v>
      </c>
      <c r="G170" s="44">
        <f>Salidas[[#This Row],[PRECIO]]*Salidas[[#This Row],[CANTIDAD]]</f>
        <v>7000</v>
      </c>
      <c r="H170" s="84">
        <f>VLOOKUP(Salidas[[#This Row],[CODIGO ]],Inventario[],10,FALSE)*Salidas[[#This Row],[CANTIDAD]]</f>
        <v>4000</v>
      </c>
    </row>
    <row r="171" spans="1:8" s="57" customFormat="1" ht="40.5" customHeight="1">
      <c r="A171" s="18"/>
      <c r="B171" s="20"/>
      <c r="C171" s="147" t="s">
        <v>589</v>
      </c>
      <c r="D171" s="83" t="str">
        <f>IFERROR(INDEX(Inventari_2[#All],MATCH(Salidas[[#This Row],[CODIGO ]],Inventari_2[[#Headers],[#Data],[CODIGO]],0),2),"")</f>
        <v>STIKERS</v>
      </c>
      <c r="E171">
        <v>4</v>
      </c>
      <c r="F171" s="43">
        <f>VLOOKUP(Salidas[[#This Row],[CODIGO ]],Inventari_2[],8,FALSE)</f>
        <v>1000</v>
      </c>
      <c r="G171" s="44">
        <f>Salidas[[#This Row],[PRECIO]]*Salidas[[#This Row],[CANTIDAD]]</f>
        <v>4000</v>
      </c>
      <c r="H171" s="84">
        <f>VLOOKUP(Salidas[[#This Row],[CODIGO ]],Inventario[],10,FALSE)*Salidas[[#This Row],[CANTIDAD]]</f>
        <v>2000</v>
      </c>
    </row>
    <row r="172" spans="1:8" s="57" customFormat="1" ht="40.5" customHeight="1">
      <c r="A172" s="202">
        <v>41000</v>
      </c>
      <c r="B172" s="20"/>
      <c r="C172" s="142">
        <v>6975608880603</v>
      </c>
      <c r="D172" s="83" t="str">
        <f>IFERROR(INDEX(Inventari_2[#All],MATCH(Salidas[[#This Row],[CODIGO ]],Inventari_2[[#Headers],[#Data],[CODIGO]],0),2),"")</f>
        <v>LAMPARA 3D DBZ</v>
      </c>
      <c r="E172">
        <v>1</v>
      </c>
      <c r="F172" s="43">
        <f>VLOOKUP(Salidas[[#This Row],[CODIGO ]],Inventari_2[],8,FALSE)</f>
        <v>65000</v>
      </c>
      <c r="G172" s="44">
        <f>Salidas[[#This Row],[PRECIO]]*Salidas[[#This Row],[CANTIDAD]]</f>
        <v>65000</v>
      </c>
      <c r="H172" s="84">
        <f>VLOOKUP(Salidas[[#This Row],[CODIGO ]],Inventario[],10,FALSE)*Salidas[[#This Row],[CANTIDAD]]</f>
        <v>29000</v>
      </c>
    </row>
    <row r="173" spans="1:8" s="67" customFormat="1" ht="40.5" customHeight="1">
      <c r="A173" s="65"/>
      <c r="B173" s="66"/>
      <c r="C173" s="114"/>
      <c r="D173" s="67" t="str">
        <f>IFERROR(INDEX(Inventari_2[#All],MATCH(Salidas[[#This Row],[CODIGO ]],Inventari_2[[#Headers],[#Data],[CODIGO]],0),2),"")</f>
        <v/>
      </c>
      <c r="E173" s="67">
        <v>1</v>
      </c>
      <c r="F173" s="68" t="e">
        <f>VLOOKUP(Salidas[[#This Row],[CODIGO ]],Inventari_2[],8,FALSE)</f>
        <v>#N/A</v>
      </c>
      <c r="G173" s="115" t="e">
        <f>Salidas[[#This Row],[PRECIO]]*Salidas[[#This Row],[CANTIDAD]]</f>
        <v>#N/A</v>
      </c>
      <c r="H173" s="116" t="e">
        <f>VLOOKUP(Salidas[[#This Row],[CODIGO ]],Inventario[],10,FALSE)*Salidas[[#This Row],[CANTIDAD]]</f>
        <v>#N/A</v>
      </c>
    </row>
    <row r="174" spans="1:8" s="57" customFormat="1" ht="40.5" customHeight="1">
      <c r="A174" s="18" t="s">
        <v>824</v>
      </c>
      <c r="B174" s="20">
        <v>45788</v>
      </c>
      <c r="C174" s="21" t="s">
        <v>769</v>
      </c>
      <c r="D174" s="83" t="str">
        <f>IFERROR(INDEX(Inventari_2[#All],MATCH(Salidas[[#This Row],[CODIGO ]],Inventari_2[[#Headers],[#Data],[CODIGO]],0),2),"")</f>
        <v>VASO EN CERAMICA OSO</v>
      </c>
      <c r="E174">
        <v>1</v>
      </c>
      <c r="F174" s="43">
        <f>VLOOKUP(Salidas[[#This Row],[CODIGO ]],Inventari_2[],8,FALSE)</f>
        <v>40000</v>
      </c>
      <c r="G174" s="44">
        <f>Salidas[[#This Row],[PRECIO]]*Salidas[[#This Row],[CANTIDAD]]</f>
        <v>40000</v>
      </c>
      <c r="H174" s="84">
        <f>VLOOKUP(Salidas[[#This Row],[CODIGO ]],Inventario[],10,FALSE)*Salidas[[#This Row],[CANTIDAD]]</f>
        <v>10000</v>
      </c>
    </row>
    <row r="175" spans="1:8" ht="40.5" customHeight="1">
      <c r="A175" s="18"/>
      <c r="B175" s="20"/>
      <c r="C175" s="149">
        <v>6920240510111</v>
      </c>
      <c r="D175" s="83" t="str">
        <f>IFERROR(INDEX(Inventari_2[#All],MATCH(Salidas[[#This Row],[CODIGO ]],Inventari_2[[#Headers],[#Data],[CODIGO]],0),2),"")</f>
        <v xml:space="preserve">CINTA SANRIO </v>
      </c>
      <c r="E175">
        <v>1</v>
      </c>
      <c r="F175" s="43">
        <f>VLOOKUP(Salidas[[#This Row],[CODIGO ]],Inventari_2[],8,FALSE)</f>
        <v>1000</v>
      </c>
      <c r="G175" s="44">
        <f>Salidas[[#This Row],[PRECIO]]*Salidas[[#This Row],[CANTIDAD]]</f>
        <v>1000</v>
      </c>
      <c r="H175" s="84">
        <f>VLOOKUP(Salidas[[#This Row],[CODIGO ]],Inventario[],10,FALSE)*Salidas[[#This Row],[CANTIDAD]]</f>
        <v>620</v>
      </c>
    </row>
    <row r="176" spans="1:8" ht="40.5" customHeight="1">
      <c r="A176" s="18"/>
      <c r="B176" s="20"/>
      <c r="C176" s="198">
        <v>2024070398421</v>
      </c>
      <c r="D176" s="83" t="str">
        <f>IFERROR(INDEX(Inventari_2[#All],MATCH(Salidas[[#This Row],[CODIGO ]],Inventari_2[[#Headers],[#Data],[CODIGO]],0),2),"")</f>
        <v xml:space="preserve">ALACANCIA DE PELUCHE </v>
      </c>
      <c r="E176">
        <v>1</v>
      </c>
      <c r="F176" s="43">
        <f>VLOOKUP(Salidas[[#This Row],[CODIGO ]],Inventari_2[],8,FALSE)</f>
        <v>60000</v>
      </c>
      <c r="G176" s="44">
        <f>Salidas[[#This Row],[PRECIO]]*Salidas[[#This Row],[CANTIDAD]]</f>
        <v>60000</v>
      </c>
      <c r="H176" s="84">
        <f>VLOOKUP(Salidas[[#This Row],[CODIGO ]],Inventario[],10,FALSE)*Salidas[[#This Row],[CANTIDAD]]</f>
        <v>25000</v>
      </c>
    </row>
    <row r="177" spans="1:8" s="199" customFormat="1" ht="40.5" customHeight="1">
      <c r="A177" s="132"/>
      <c r="B177" s="133"/>
      <c r="C177" s="182" t="s">
        <v>758</v>
      </c>
      <c r="D177" s="199" t="str">
        <f>IFERROR(INDEX(Inventari_2[#All],MATCH(Salidas[[#This Row],[CODIGO ]],Inventari_2[[#Headers],[#Data],[CODIGO]],0),2),"")</f>
        <v>LEGO UNIDAD</v>
      </c>
      <c r="E177" s="199">
        <v>1</v>
      </c>
      <c r="F177" s="134">
        <f>VLOOKUP(Salidas[[#This Row],[CODIGO ]],Inventari_2[],8,FALSE)</f>
        <v>3000</v>
      </c>
      <c r="G177" s="200">
        <f>Salidas[[#This Row],[PRECIO]]*Salidas[[#This Row],[CANTIDAD]]</f>
        <v>3000</v>
      </c>
      <c r="H177" s="201">
        <f>VLOOKUP(Salidas[[#This Row],[CODIGO ]],Inventario[],10,FALSE)*Salidas[[#This Row],[CANTIDAD]]</f>
        <v>1333.3334</v>
      </c>
    </row>
    <row r="178" spans="1:8" ht="40.5" customHeight="1">
      <c r="A178" s="18"/>
      <c r="B178" s="20"/>
      <c r="C178" s="149" t="s">
        <v>126</v>
      </c>
      <c r="D178" s="83" t="str">
        <f>IFERROR(INDEX(Inventari_2[#All],MATCH(Salidas[[#This Row],[CODIGO ]],Inventari_2[[#Headers],[#Data],[CODIGO]],0),2),"")</f>
        <v>CAJA DE CARTAS *10</v>
      </c>
      <c r="E178">
        <v>1</v>
      </c>
      <c r="F178" s="43">
        <f>VLOOKUP(Salidas[[#This Row],[CODIGO ]],Inventari_2[],8,FALSE)</f>
        <v>5000</v>
      </c>
      <c r="G178" s="44">
        <f>Salidas[[#This Row],[PRECIO]]*Salidas[[#This Row],[CANTIDAD]]</f>
        <v>5000</v>
      </c>
      <c r="H178" s="84">
        <f>VLOOKUP(Salidas[[#This Row],[CODIGO ]],Inventario[],10,FALSE)*Salidas[[#This Row],[CANTIDAD]]</f>
        <v>3917</v>
      </c>
    </row>
    <row r="179" spans="1:8" ht="40.5" customHeight="1">
      <c r="A179" s="18"/>
      <c r="B179" s="20"/>
      <c r="C179" s="149" t="s">
        <v>719</v>
      </c>
      <c r="D179" s="83" t="str">
        <f>IFERROR(INDEX(Inventari_2[#All],MATCH(Salidas[[#This Row],[CODIGO ]],Inventari_2[[#Headers],[#Data],[CODIGO]],0),2),"")</f>
        <v>PLUMA HARRY POTTER</v>
      </c>
      <c r="E179">
        <v>1</v>
      </c>
      <c r="F179" s="43">
        <f>VLOOKUP(Salidas[[#This Row],[CODIGO ]],Inventari_2[],8,FALSE)</f>
        <v>25000</v>
      </c>
      <c r="G179" s="44">
        <f>Salidas[[#This Row],[PRECIO]]*Salidas[[#This Row],[CANTIDAD]]</f>
        <v>25000</v>
      </c>
      <c r="H179" s="84">
        <f>VLOOKUP(Salidas[[#This Row],[CODIGO ]],Inventario[],10,FALSE)*Salidas[[#This Row],[CANTIDAD]]</f>
        <v>12000</v>
      </c>
    </row>
    <row r="180" spans="1:8" ht="40.5" customHeight="1">
      <c r="A180" s="18"/>
      <c r="B180" s="20"/>
      <c r="C180" s="146" t="s">
        <v>483</v>
      </c>
      <c r="D180" s="83" t="str">
        <f>IFERROR(INDEX(Inventari_2[#All],MATCH(Salidas[[#This Row],[CODIGO ]],Inventari_2[[#Headers],[#Data],[CODIGO]],0),2),"")</f>
        <v/>
      </c>
      <c r="E180">
        <v>1</v>
      </c>
      <c r="F180" s="43" t="e">
        <f>VLOOKUP(Salidas[[#This Row],[CODIGO ]],Inventari_2[],8,FALSE)</f>
        <v>#N/A</v>
      </c>
      <c r="G180" s="44" t="e">
        <f>Salidas[[#This Row],[PRECIO]]*Salidas[[#This Row],[CANTIDAD]]</f>
        <v>#N/A</v>
      </c>
      <c r="H180" s="84">
        <f>VLOOKUP(Salidas[[#This Row],[CODIGO ]],Inventario[],10,FALSE)*Salidas[[#This Row],[CANTIDAD]]</f>
        <v>12500</v>
      </c>
    </row>
    <row r="181" spans="1:8" ht="40.5" customHeight="1">
      <c r="A181" s="18"/>
      <c r="B181" s="20"/>
      <c r="C181" s="147" t="s">
        <v>589</v>
      </c>
      <c r="D181" s="83" t="str">
        <f>IFERROR(INDEX(Inventari_2[#All],MATCH(Salidas[[#This Row],[CODIGO ]],Inventari_2[[#Headers],[#Data],[CODIGO]],0),2),"")</f>
        <v>STIKERS</v>
      </c>
      <c r="E181">
        <v>4</v>
      </c>
      <c r="F181" s="43">
        <f>VLOOKUP(Salidas[[#This Row],[CODIGO ]],Inventari_2[],8,FALSE)</f>
        <v>1000</v>
      </c>
      <c r="G181" s="44">
        <f>Salidas[[#This Row],[PRECIO]]*Salidas[[#This Row],[CANTIDAD]]</f>
        <v>4000</v>
      </c>
      <c r="H181" s="84">
        <f>VLOOKUP(Salidas[[#This Row],[CODIGO ]],Inventario[],10,FALSE)*Salidas[[#This Row],[CANTIDAD]]</f>
        <v>2000</v>
      </c>
    </row>
    <row r="182" spans="1:8" ht="40.5" customHeight="1">
      <c r="A182" s="18"/>
      <c r="B182" s="20"/>
      <c r="C182" s="179">
        <v>6981688870465</v>
      </c>
      <c r="D182" s="83" t="str">
        <f>IFERROR(INDEX(Inventari_2[#All],MATCH(Salidas[[#This Row],[CODIGO ]],Inventari_2[[#Headers],[#Data],[CODIGO]],0),2),"")</f>
        <v>ESFERO BORRABLE</v>
      </c>
      <c r="E182">
        <v>1</v>
      </c>
      <c r="F182" s="43">
        <f>VLOOKUP(Salidas[[#This Row],[CODIGO ]],Inventari_2[],8,FALSE)</f>
        <v>4000</v>
      </c>
      <c r="G182" s="44">
        <f>Salidas[[#This Row],[PRECIO]]*Salidas[[#This Row],[CANTIDAD]]</f>
        <v>4000</v>
      </c>
      <c r="H182" s="84">
        <f>VLOOKUP(Salidas[[#This Row],[CODIGO ]],Inventario[],10,FALSE)*Salidas[[#This Row],[CANTIDAD]]</f>
        <v>2000</v>
      </c>
    </row>
    <row r="183" spans="1:8" ht="40.5" customHeight="1">
      <c r="A183" s="18"/>
      <c r="B183" s="20"/>
      <c r="C183" s="147">
        <v>6979261520128</v>
      </c>
      <c r="D183" s="83" t="str">
        <f>IFERROR(INDEX(Inventari_2[#All],MATCH(Salidas[[#This Row],[CODIGO ]],Inventari_2[[#Headers],[#Data],[CODIGO]],0),2),"")</f>
        <v>BORRADOR INFINITO</v>
      </c>
      <c r="E183">
        <v>1</v>
      </c>
      <c r="F183" s="43">
        <v>5000</v>
      </c>
      <c r="G183" s="44">
        <f>Salidas[[#This Row],[PRECIO]]*Salidas[[#This Row],[CANTIDAD]]</f>
        <v>5000</v>
      </c>
      <c r="H183" s="84">
        <v>2800</v>
      </c>
    </row>
    <row r="184" spans="1:8" ht="40.5" customHeight="1">
      <c r="A184" s="18"/>
      <c r="B184" s="20"/>
      <c r="C184" s="21" t="s">
        <v>716</v>
      </c>
      <c r="D184" s="83" t="str">
        <f>IFERROR(INDEX(Inventari_2[#All],MATCH(Salidas[[#This Row],[CODIGO ]],Inventari_2[[#Headers],[#Data],[CODIGO]],0),2),"")</f>
        <v>AGENDA CON CODIGO DE HARRY POTTER</v>
      </c>
      <c r="E184">
        <v>1</v>
      </c>
      <c r="F184" s="43">
        <v>55000</v>
      </c>
      <c r="G184" s="44">
        <f>Salidas[[#This Row],[PRECIO]]*Salidas[[#This Row],[CANTIDAD]]</f>
        <v>55000</v>
      </c>
      <c r="H184" s="84">
        <v>25000</v>
      </c>
    </row>
    <row r="185" spans="1:8" ht="40.5" customHeight="1">
      <c r="A185" s="18"/>
      <c r="B185" s="20"/>
      <c r="C185" s="146" t="s">
        <v>50</v>
      </c>
      <c r="D185" s="83" t="str">
        <f>IFERROR(INDEX(Inventari_2[#All],MATCH(Salidas[[#This Row],[CODIGO ]],Inventari_2[[#Headers],[#Data],[CODIGO]],0),2),"")</f>
        <v/>
      </c>
      <c r="E185">
        <v>1</v>
      </c>
      <c r="F185" s="43" t="e">
        <f>VLOOKUP(Salidas[[#This Row],[CODIGO ]],Inventari_2[],8,FALSE)</f>
        <v>#N/A</v>
      </c>
      <c r="G185" s="44" t="e">
        <f>Salidas[[#This Row],[PRECIO]]*Salidas[[#This Row],[CANTIDAD]]</f>
        <v>#N/A</v>
      </c>
      <c r="H185" s="84">
        <f>VLOOKUP(Salidas[[#This Row],[CODIGO ]],Inventario[],10,FALSE)*Salidas[[#This Row],[CANTIDAD]]</f>
        <v>13000</v>
      </c>
    </row>
    <row r="186" spans="1:8" ht="40.5" customHeight="1">
      <c r="A186" s="18"/>
      <c r="B186" s="20"/>
      <c r="C186" s="92">
        <v>6971010800499</v>
      </c>
      <c r="D186" s="83" t="str">
        <f>IFERROR(INDEX(Inventari_2[#All],MATCH(Salidas[[#This Row],[CODIGO ]],Inventari_2[[#Headers],[#Data],[CODIGO]],0),2),"")</f>
        <v>LAPIZ INFINITO NUEVO</v>
      </c>
      <c r="E186">
        <v>1</v>
      </c>
      <c r="F186" s="43">
        <v>6000</v>
      </c>
      <c r="G186" s="44">
        <f>Salidas[[#This Row],[PRECIO]]*Salidas[[#This Row],[CANTIDAD]]</f>
        <v>6000</v>
      </c>
      <c r="H186" s="84">
        <v>2500</v>
      </c>
    </row>
    <row r="187" spans="1:8" ht="40.5" customHeight="1">
      <c r="A187" s="18"/>
      <c r="B187" s="20"/>
      <c r="C187" s="21" t="s">
        <v>671</v>
      </c>
      <c r="D187" s="83" t="str">
        <f>IFERROR(INDEX(Inventari_2[#All],MATCH(Salidas[[#This Row],[CODIGO ]],Inventari_2[[#Headers],[#Data],[CODIGO]],0),2),"")</f>
        <v xml:space="preserve">BORRADOR ESCARCHADO </v>
      </c>
      <c r="E187">
        <v>1</v>
      </c>
      <c r="F187" s="43">
        <f>VLOOKUP(Salidas[[#This Row],[CODIGO ]],Inventari_2[],8,FALSE)</f>
        <v>5000</v>
      </c>
      <c r="G187" s="44">
        <f>Salidas[[#This Row],[PRECIO]]*Salidas[[#This Row],[CANTIDAD]]</f>
        <v>5000</v>
      </c>
      <c r="H187" s="84">
        <f>VLOOKUP(Salidas[[#This Row],[CODIGO ]],Inventario[],10,FALSE)*Salidas[[#This Row],[CANTIDAD]]</f>
        <v>3000</v>
      </c>
    </row>
    <row r="188" spans="1:8" ht="40.5" customHeight="1">
      <c r="A188" s="18"/>
      <c r="B188" s="20"/>
      <c r="C188" s="21">
        <v>4803413660474</v>
      </c>
      <c r="D188" s="83" t="str">
        <f>IFERROR(INDEX(Inventari_2[#All],MATCH(Salidas[[#This Row],[CODIGO ]],Inventari_2[[#Headers],[#Data],[CODIGO]],0),2),"")</f>
        <v xml:space="preserve">TAJALAPIZ + BORRADOR </v>
      </c>
      <c r="E188">
        <v>1</v>
      </c>
      <c r="F188" s="43">
        <f>VLOOKUP(Salidas[[#This Row],[CODIGO ]],Inventari_2[],8,FALSE)</f>
        <v>5000</v>
      </c>
      <c r="G188" s="44">
        <f>Salidas[[#This Row],[PRECIO]]*Salidas[[#This Row],[CANTIDAD]]</f>
        <v>5000</v>
      </c>
      <c r="H188" s="84">
        <f>VLOOKUP(Salidas[[#This Row],[CODIGO ]],Inventario[],10,FALSE)*Salidas[[#This Row],[CANTIDAD]]</f>
        <v>2500</v>
      </c>
    </row>
    <row r="189" spans="1:8" ht="40.5" customHeight="1">
      <c r="A189" s="18"/>
      <c r="B189" s="20"/>
      <c r="C189" s="211" t="s">
        <v>589</v>
      </c>
      <c r="D189" s="83" t="str">
        <f>IFERROR(INDEX(Inventari_2[#All],MATCH(Salidas[[#This Row],[CODIGO ]],Inventari_2[[#Headers],[#Data],[CODIGO]],0),2),"")</f>
        <v>STIKERS</v>
      </c>
      <c r="E189">
        <v>2</v>
      </c>
      <c r="F189" s="43">
        <f>VLOOKUP(Salidas[[#This Row],[CODIGO ]],Inventari_2[],8,FALSE)</f>
        <v>1000</v>
      </c>
      <c r="G189" s="44">
        <f>Salidas[[#This Row],[PRECIO]]*Salidas[[#This Row],[CANTIDAD]]</f>
        <v>2000</v>
      </c>
      <c r="H189" s="84">
        <f>VLOOKUP(Salidas[[#This Row],[CODIGO ]],Inventario[],10,FALSE)*Salidas[[#This Row],[CANTIDAD]]</f>
        <v>1000</v>
      </c>
    </row>
    <row r="190" spans="1:8" ht="40.5" customHeight="1">
      <c r="A190" s="18"/>
      <c r="B190" s="20"/>
      <c r="C190" s="148">
        <v>6954855226570</v>
      </c>
      <c r="D190" s="83" t="str">
        <f>IFERROR(INDEX(Inventari_2[#All],MATCH(Salidas[[#This Row],[CODIGO ]],Inventari_2[[#Headers],[#Data],[CODIGO]],0),2),"")</f>
        <v>LEGOS COLECCIÓN *6</v>
      </c>
      <c r="E190">
        <v>1</v>
      </c>
      <c r="F190" s="43">
        <f>VLOOKUP(Salidas[[#This Row],[CODIGO ]],Inventari_2[],8,FALSE)</f>
        <v>30000</v>
      </c>
      <c r="G190" s="44">
        <f>Salidas[[#This Row],[PRECIO]]*Salidas[[#This Row],[CANTIDAD]]</f>
        <v>30000</v>
      </c>
      <c r="H190" s="84">
        <f>VLOOKUP(Salidas[[#This Row],[CODIGO ]],Inventario[],10,FALSE)*Salidas[[#This Row],[CANTIDAD]]</f>
        <v>17000</v>
      </c>
    </row>
    <row r="191" spans="1:8" ht="40.5" customHeight="1">
      <c r="A191" s="18"/>
      <c r="B191" s="20"/>
      <c r="C191" s="182" t="s">
        <v>758</v>
      </c>
      <c r="D191" s="83" t="str">
        <f>IFERROR(INDEX(Inventari_2[#All],MATCH(Salidas[[#This Row],[CODIGO ]],Inventari_2[[#Headers],[#Data],[CODIGO]],0),2),"")</f>
        <v>LEGO UNIDAD</v>
      </c>
      <c r="E191">
        <v>2</v>
      </c>
      <c r="F191" s="43">
        <f>VLOOKUP(Salidas[[#This Row],[CODIGO ]],Inventari_2[],8,FALSE)</f>
        <v>3000</v>
      </c>
      <c r="G191" s="44">
        <f>Salidas[[#This Row],[PRECIO]]*Salidas[[#This Row],[CANTIDAD]]</f>
        <v>6000</v>
      </c>
      <c r="H191" s="84">
        <f>VLOOKUP(Salidas[[#This Row],[CODIGO ]],Inventario[],10,FALSE)*Salidas[[#This Row],[CANTIDAD]]</f>
        <v>2666.6668</v>
      </c>
    </row>
    <row r="192" spans="1:8" ht="40.5" customHeight="1">
      <c r="A192" s="18"/>
      <c r="B192" s="20"/>
      <c r="C192" s="149" t="s">
        <v>35</v>
      </c>
      <c r="D192" s="83" t="str">
        <f>IFERROR(INDEX(Inventari_2[#All],MATCH(Salidas[[#This Row],[CODIGO ]],Inventari_2[[#Headers],[#Data],[CODIGO]],0),2),"")</f>
        <v>ARETE PEQUEÑO</v>
      </c>
      <c r="E192">
        <v>1</v>
      </c>
      <c r="F192" s="43">
        <f>VLOOKUP(Salidas[[#This Row],[CODIGO ]],Inventari_2[],8,FALSE)</f>
        <v>10000</v>
      </c>
      <c r="G192" s="44">
        <f>Salidas[[#This Row],[PRECIO]]*Salidas[[#This Row],[CANTIDAD]]</f>
        <v>10000</v>
      </c>
      <c r="H192" s="84">
        <f>VLOOKUP(Salidas[[#This Row],[CODIGO ]],Inventario[],10,FALSE)*Salidas[[#This Row],[CANTIDAD]]</f>
        <v>7000</v>
      </c>
    </row>
    <row r="193" spans="1:8" ht="40.5" customHeight="1">
      <c r="A193" s="18"/>
      <c r="B193" s="20"/>
      <c r="C193" s="149" t="s">
        <v>126</v>
      </c>
      <c r="D193" s="83" t="str">
        <f>IFERROR(INDEX(Inventari_2[#All],MATCH(Salidas[[#This Row],[CODIGO ]],Inventari_2[[#Headers],[#Data],[CODIGO]],0),2),"")</f>
        <v>CAJA DE CARTAS *10</v>
      </c>
      <c r="E193">
        <v>1</v>
      </c>
      <c r="F193" s="43">
        <f>VLOOKUP(Salidas[[#This Row],[CODIGO ]],Inventari_2[],8,FALSE)</f>
        <v>5000</v>
      </c>
      <c r="G193" s="44">
        <f>Salidas[[#This Row],[PRECIO]]*Salidas[[#This Row],[CANTIDAD]]</f>
        <v>5000</v>
      </c>
      <c r="H193" s="84">
        <f>VLOOKUP(Salidas[[#This Row],[CODIGO ]],Inventario[],10,FALSE)*Salidas[[#This Row],[CANTIDAD]]</f>
        <v>3917</v>
      </c>
    </row>
    <row r="194" spans="1:8" ht="40.5" customHeight="1">
      <c r="A194" s="18"/>
      <c r="B194" s="20"/>
      <c r="C194" s="150">
        <v>6971010800499</v>
      </c>
      <c r="D194" s="83" t="str">
        <f>IFERROR(INDEX(Inventari_2[#All],MATCH(Salidas[[#This Row],[CODIGO ]],Inventari_2[[#Headers],[#Data],[CODIGO]],0),2),"")</f>
        <v>LAPIZ INFINITO NUEVO</v>
      </c>
      <c r="E194">
        <v>1</v>
      </c>
      <c r="F194" s="43">
        <f>VLOOKUP(Salidas[[#This Row],[CODIGO ]],Inventari_2[],8,FALSE)</f>
        <v>7000</v>
      </c>
      <c r="G194" s="44">
        <f>Salidas[[#This Row],[PRECIO]]*Salidas[[#This Row],[CANTIDAD]]</f>
        <v>7000</v>
      </c>
      <c r="H194" s="84">
        <f>VLOOKUP(Salidas[[#This Row],[CODIGO ]],Inventario[],10,FALSE)*Salidas[[#This Row],[CANTIDAD]]</f>
        <v>3500</v>
      </c>
    </row>
    <row r="195" spans="1:8" ht="40.5" customHeight="1">
      <c r="A195" s="18"/>
      <c r="B195" s="20"/>
      <c r="C195" s="153" t="s">
        <v>196</v>
      </c>
      <c r="D195" s="83" t="str">
        <f>IFERROR(INDEX(Inventari_2[#All],MATCH(Salidas[[#This Row],[CODIGO ]],Inventari_2[[#Headers],[#Data],[CODIGO]],0),2),"")</f>
        <v>COLLARES ANIME</v>
      </c>
      <c r="E195">
        <v>1</v>
      </c>
      <c r="F195" s="43">
        <f>VLOOKUP(Salidas[[#This Row],[CODIGO ]],Inventari_2[],8,FALSE)</f>
        <v>7000</v>
      </c>
      <c r="G195" s="44">
        <f>Salidas[[#This Row],[PRECIO]]*Salidas[[#This Row],[CANTIDAD]]</f>
        <v>7000</v>
      </c>
      <c r="H195" s="84">
        <f>VLOOKUP(Salidas[[#This Row],[CODIGO ]],Inventario[],10,FALSE)*Salidas[[#This Row],[CANTIDAD]]</f>
        <v>4000</v>
      </c>
    </row>
    <row r="196" spans="1:8" ht="40.5" customHeight="1">
      <c r="A196" s="18"/>
      <c r="B196" s="20"/>
      <c r="C196" s="149">
        <v>6973672501189</v>
      </c>
      <c r="D196" s="83" t="str">
        <f>IFERROR(INDEX(Inventari_2[#All],MATCH(Salidas[[#This Row],[CODIGO ]],Inventari_2[[#Headers],[#Data],[CODIGO]],0),2),"")</f>
        <v xml:space="preserve">CARTUCHERA CAPIBARA </v>
      </c>
      <c r="E196">
        <v>1</v>
      </c>
      <c r="F196" s="43">
        <f>VLOOKUP(Salidas[[#This Row],[CODIGO ]],Inventari_2[],8,FALSE)</f>
        <v>5000</v>
      </c>
      <c r="G196" s="44">
        <f>Salidas[[#This Row],[PRECIO]]*Salidas[[#This Row],[CANTIDAD]]</f>
        <v>5000</v>
      </c>
      <c r="H196" s="84">
        <f>VLOOKUP(Salidas[[#This Row],[CODIGO ]],Inventario[],10,FALSE)*Salidas[[#This Row],[CANTIDAD]]</f>
        <v>2800</v>
      </c>
    </row>
    <row r="197" spans="1:8" ht="40.5" customHeight="1">
      <c r="A197" s="18"/>
      <c r="B197" s="20"/>
      <c r="C197" s="165" t="s">
        <v>341</v>
      </c>
      <c r="D197" s="83" t="str">
        <f>IFERROR(INDEX(Inventari_2[#All],MATCH(Salidas[[#This Row],[CODIGO ]],Inventari_2[[#Headers],[#Data],[CODIGO]],0),2),"")</f>
        <v>LEGO DE FIGURAS PEQUEÑO</v>
      </c>
      <c r="E197">
        <v>1</v>
      </c>
      <c r="F197" s="43">
        <f>VLOOKUP(Salidas[[#This Row],[CODIGO ]],Inventari_2[],8,FALSE)</f>
        <v>12000</v>
      </c>
      <c r="G197" s="44">
        <f>Salidas[[#This Row],[PRECIO]]*Salidas[[#This Row],[CANTIDAD]]</f>
        <v>12000</v>
      </c>
      <c r="H197" s="84">
        <f>VLOOKUP(Salidas[[#This Row],[CODIGO ]],Inventario[],10,FALSE)*Salidas[[#This Row],[CANTIDAD]]</f>
        <v>7000</v>
      </c>
    </row>
    <row r="198" spans="1:8" ht="40.5" customHeight="1">
      <c r="A198" s="18"/>
      <c r="B198" s="20"/>
      <c r="C198" s="21" t="s">
        <v>671</v>
      </c>
      <c r="D198" s="83" t="str">
        <f>IFERROR(INDEX(Inventari_2[#All],MATCH(Salidas[[#This Row],[CODIGO ]],Inventari_2[[#Headers],[#Data],[CODIGO]],0),2),"")</f>
        <v xml:space="preserve">BORRADOR ESCARCHADO </v>
      </c>
      <c r="E198">
        <v>1</v>
      </c>
      <c r="F198" s="43">
        <f>VLOOKUP(Salidas[[#This Row],[CODIGO ]],Inventari_2[],8,FALSE)</f>
        <v>5000</v>
      </c>
      <c r="G198" s="44">
        <f>Salidas[[#This Row],[PRECIO]]*Salidas[[#This Row],[CANTIDAD]]</f>
        <v>5000</v>
      </c>
      <c r="H198" s="84">
        <f>VLOOKUP(Salidas[[#This Row],[CODIGO ]],Inventario[],10,FALSE)*Salidas[[#This Row],[CANTIDAD]]</f>
        <v>3000</v>
      </c>
    </row>
    <row r="199" spans="1:8" ht="40.5" customHeight="1">
      <c r="A199" s="18"/>
      <c r="B199" s="20" t="s">
        <v>832</v>
      </c>
      <c r="C199" s="149" t="s">
        <v>126</v>
      </c>
      <c r="D199" s="83" t="str">
        <f>IFERROR(INDEX(Inventari_2[#All],MATCH(Salidas[[#This Row],[CODIGO ]],Inventari_2[[#Headers],[#Data],[CODIGO]],0),2),"")</f>
        <v>CAJA DE CARTAS *10</v>
      </c>
      <c r="E199">
        <v>1</v>
      </c>
      <c r="F199" s="43">
        <f>VLOOKUP(Salidas[[#This Row],[CODIGO ]],Inventari_2[],8,FALSE)</f>
        <v>5000</v>
      </c>
      <c r="G199" s="44">
        <f>Salidas[[#This Row],[PRECIO]]*Salidas[[#This Row],[CANTIDAD]]</f>
        <v>5000</v>
      </c>
      <c r="H199" s="84">
        <f>VLOOKUP(Salidas[[#This Row],[CODIGO ]],Inventario[],10,FALSE)*Salidas[[#This Row],[CANTIDAD]]</f>
        <v>3917</v>
      </c>
    </row>
    <row r="200" spans="1:8" ht="40.5" customHeight="1">
      <c r="A200" s="18"/>
      <c r="B200" s="20"/>
      <c r="C200" s="150">
        <v>6971010800499</v>
      </c>
      <c r="D200" s="83" t="str">
        <f>IFERROR(INDEX(Inventari_2[#All],MATCH(Salidas[[#This Row],[CODIGO ]],Inventari_2[[#Headers],[#Data],[CODIGO]],0),2),"")</f>
        <v>LAPIZ INFINITO NUEVO</v>
      </c>
      <c r="E200">
        <v>1</v>
      </c>
      <c r="F200" s="43">
        <f>VLOOKUP(Salidas[[#This Row],[CODIGO ]],Inventari_2[],8,FALSE)</f>
        <v>7000</v>
      </c>
      <c r="G200" s="44">
        <f>Salidas[[#This Row],[PRECIO]]*Salidas[[#This Row],[CANTIDAD]]</f>
        <v>7000</v>
      </c>
      <c r="H200" s="84">
        <f>VLOOKUP(Salidas[[#This Row],[CODIGO ]],Inventario[],10,FALSE)*Salidas[[#This Row],[CANTIDAD]]</f>
        <v>3500</v>
      </c>
    </row>
    <row r="201" spans="1:8" ht="40.5" customHeight="1">
      <c r="A201" s="202">
        <v>53000</v>
      </c>
      <c r="B201" s="20"/>
      <c r="C201" s="146" t="s">
        <v>62</v>
      </c>
      <c r="D201" s="83" t="str">
        <f>IFERROR(INDEX(Inventari_2[#All],MATCH(Salidas[[#This Row],[CODIGO ]],Inventari_2[[#Headers],[#Data],[CODIGO]],0),2),"")</f>
        <v>BOLIGRAFO GEL</v>
      </c>
      <c r="E201">
        <v>1</v>
      </c>
      <c r="F201" s="43">
        <f>VLOOKUP(Salidas[[#This Row],[CODIGO ]],Inventari_2[],8,FALSE)</f>
        <v>2000</v>
      </c>
      <c r="G201" s="44">
        <f>Salidas[[#This Row],[PRECIO]]*Salidas[[#This Row],[CANTIDAD]]</f>
        <v>2000</v>
      </c>
      <c r="H201" s="84">
        <f>VLOOKUP(Salidas[[#This Row],[CODIGO ]],Inventario[],10,FALSE)*Salidas[[#This Row],[CANTIDAD]]</f>
        <v>1100</v>
      </c>
    </row>
    <row r="202" spans="1:8" ht="40.5" customHeight="1">
      <c r="A202" s="55"/>
      <c r="B202" s="56"/>
      <c r="C202" s="138"/>
      <c r="D202" s="57" t="str">
        <f>IFERROR(INDEX(Inventari_2[#All],MATCH(Salidas[[#This Row],[CODIGO ]],Inventari_2[[#Headers],[#Data],[CODIGO]],0),2),"")</f>
        <v/>
      </c>
      <c r="E202" s="57">
        <v>1</v>
      </c>
      <c r="F202" s="58" t="e">
        <f>VLOOKUP(Salidas[[#This Row],[CODIGO ]],Inventari_2[],8,FALSE)</f>
        <v>#N/A</v>
      </c>
      <c r="G202" s="139" t="e">
        <f>Salidas[[#This Row],[PRECIO]]*Salidas[[#This Row],[CANTIDAD]]</f>
        <v>#N/A</v>
      </c>
      <c r="H202" s="140" t="e">
        <f>VLOOKUP(Salidas[[#This Row],[CODIGO ]],Inventario[],10,FALSE)*Salidas[[#This Row],[CANTIDAD]]</f>
        <v>#N/A</v>
      </c>
    </row>
    <row r="203" spans="1:8" ht="40.5" customHeight="1">
      <c r="A203" s="18"/>
      <c r="B203" s="233" t="s">
        <v>907</v>
      </c>
      <c r="C203" s="232" t="s">
        <v>892</v>
      </c>
      <c r="D203" s="83" t="str">
        <f>IFERROR(INDEX(Inventari_2[#All],MATCH(Salidas[[#This Row],[CODIGO ]],Inventari_2[[#Headers],[#Data],[CODIGO]],0),2),"")</f>
        <v>LONCHERA TERMICA</v>
      </c>
      <c r="E203">
        <v>1</v>
      </c>
      <c r="F203" s="43">
        <f>VLOOKUP(Salidas[[#This Row],[CODIGO ]],Inventari_2[],8,FALSE)</f>
        <v>35000</v>
      </c>
      <c r="G203" s="44">
        <f>Salidas[[#This Row],[PRECIO]]*Salidas[[#This Row],[CANTIDAD]]</f>
        <v>35000</v>
      </c>
      <c r="H203" s="84">
        <f>VLOOKUP(Salidas[[#This Row],[CODIGO ]],Inventario[],10,FALSE)*Salidas[[#This Row],[CANTIDAD]]</f>
        <v>10000</v>
      </c>
    </row>
    <row r="204" spans="1:8" ht="40.5" customHeight="1">
      <c r="A204" s="18"/>
      <c r="B204" s="20"/>
      <c r="C204" s="232" t="s">
        <v>908</v>
      </c>
      <c r="D204" s="83" t="str">
        <f>IFERROR(INDEX(Inventari_2[#All],MATCH(Salidas[[#This Row],[CODIGO ]],Inventari_2[[#Headers],[#Data],[CODIGO]],0),2),"")</f>
        <v>GUANTE DE COCINA</v>
      </c>
      <c r="E204">
        <v>1</v>
      </c>
      <c r="F204" s="43">
        <f>VLOOKUP(Salidas[[#This Row],[CODIGO ]],Inventari_2[],8,FALSE)</f>
        <v>30000</v>
      </c>
      <c r="G204" s="44">
        <f>Salidas[[#This Row],[PRECIO]]*Salidas[[#This Row],[CANTIDAD]]</f>
        <v>30000</v>
      </c>
      <c r="H204" s="84">
        <f>VLOOKUP(Salidas[[#This Row],[CODIGO ]],Inventario[],10,FALSE)*Salidas[[#This Row],[CANTIDAD]]</f>
        <v>16000</v>
      </c>
    </row>
    <row r="205" spans="1:8" ht="40.5" customHeight="1">
      <c r="A205" s="18"/>
      <c r="B205" s="20"/>
      <c r="C205" s="86" t="s">
        <v>910</v>
      </c>
      <c r="D205" s="83" t="str">
        <f>IFERROR(INDEX(Inventari_2[#All],MATCH(Salidas[[#This Row],[CODIGO ]],Inventari_2[[#Headers],[#Data],[CODIGO]],0),2),"")</f>
        <v>LLAVERO CAPIBARA</v>
      </c>
      <c r="E205">
        <v>1</v>
      </c>
      <c r="F205" s="43">
        <f>VLOOKUP(Salidas[[#This Row],[CODIGO ]],Inventari_2[],8,FALSE)</f>
        <v>20000</v>
      </c>
      <c r="G205" s="44">
        <f>Salidas[[#This Row],[PRECIO]]*Salidas[[#This Row],[CANTIDAD]]</f>
        <v>20000</v>
      </c>
      <c r="H205" s="84">
        <f>VLOOKUP(Salidas[[#This Row],[CODIGO ]],Inventario[],10,FALSE)*Salidas[[#This Row],[CANTIDAD]]</f>
        <v>10000</v>
      </c>
    </row>
    <row r="206" spans="1:8" ht="40.5" customHeight="1">
      <c r="A206" s="18"/>
      <c r="B206" s="20"/>
      <c r="C206" s="86"/>
      <c r="D206" s="83" t="str">
        <f>IFERROR(INDEX(Inventari_2[#All],MATCH(Salidas[[#This Row],[CODIGO ]],Inventari_2[[#Headers],[#Data],[CODIGO]],0),2),"")</f>
        <v/>
      </c>
      <c r="E206">
        <v>1</v>
      </c>
      <c r="F206" s="43" t="e">
        <f>VLOOKUP(Salidas[[#This Row],[CODIGO ]],Inventari_2[],8,FALSE)</f>
        <v>#N/A</v>
      </c>
      <c r="G206" s="44" t="e">
        <f>Salidas[[#This Row],[PRECIO]]*Salidas[[#This Row],[CANTIDAD]]</f>
        <v>#N/A</v>
      </c>
      <c r="H206" s="84" t="e">
        <f>VLOOKUP(Salidas[[#This Row],[CODIGO ]],Inventario[],10,FALSE)*Salidas[[#This Row],[CANTIDAD]]</f>
        <v>#N/A</v>
      </c>
    </row>
    <row r="207" spans="1:8" ht="40.5" customHeight="1">
      <c r="A207" s="18"/>
      <c r="B207" s="20"/>
      <c r="C207" s="86"/>
      <c r="D207" s="83" t="str">
        <f>IFERROR(INDEX(Inventari_2[#All],MATCH(Salidas[[#This Row],[CODIGO ]],Inventari_2[[#Headers],[#Data],[CODIGO]],0),2),"")</f>
        <v/>
      </c>
      <c r="E207">
        <v>1</v>
      </c>
      <c r="F207" s="43" t="e">
        <f>VLOOKUP(Salidas[[#This Row],[CODIGO ]],Inventari_2[],8,FALSE)</f>
        <v>#N/A</v>
      </c>
      <c r="G207" s="44" t="e">
        <f>Salidas[[#This Row],[PRECIO]]*Salidas[[#This Row],[CANTIDAD]]</f>
        <v>#N/A</v>
      </c>
      <c r="H207" s="84" t="e">
        <f>VLOOKUP(Salidas[[#This Row],[CODIGO ]],Inventario[],10,FALSE)*Salidas[[#This Row],[CANTIDAD]]</f>
        <v>#N/A</v>
      </c>
    </row>
    <row r="208" spans="1:8" ht="40.5" customHeight="1">
      <c r="A208" s="18"/>
      <c r="B208" s="20"/>
      <c r="C208" s="86"/>
      <c r="D208" s="83" t="str">
        <f>IFERROR(INDEX(Inventari_2[#All],MATCH(Salidas[[#This Row],[CODIGO ]],Inventari_2[[#Headers],[#Data],[CODIGO]],0),2),"")</f>
        <v/>
      </c>
      <c r="E208">
        <v>1</v>
      </c>
      <c r="F208" s="43" t="e">
        <f>VLOOKUP(Salidas[[#This Row],[CODIGO ]],Inventari_2[],8,FALSE)</f>
        <v>#N/A</v>
      </c>
      <c r="G208" s="44" t="e">
        <f>Salidas[[#This Row],[PRECIO]]*Salidas[[#This Row],[CANTIDAD]]</f>
        <v>#N/A</v>
      </c>
      <c r="H208" s="84" t="e">
        <f>VLOOKUP(Salidas[[#This Row],[CODIGO ]],Inventario[],10,FALSE)*Salidas[[#This Row],[CANTIDAD]]</f>
        <v>#N/A</v>
      </c>
    </row>
    <row r="209" spans="1:8" s="57" customFormat="1" ht="40.5" customHeight="1">
      <c r="A209" s="18"/>
      <c r="B209" s="20"/>
      <c r="C209" s="86"/>
      <c r="D209" s="83" t="str">
        <f>IFERROR(INDEX(Inventari_2[#All],MATCH(Salidas[[#This Row],[CODIGO ]],Inventari_2[[#Headers],[#Data],[CODIGO]],0),2),"")</f>
        <v/>
      </c>
      <c r="E209">
        <v>1</v>
      </c>
      <c r="F209" s="43" t="e">
        <f>VLOOKUP(Salidas[[#This Row],[CODIGO ]],Inventari_2[],8,FALSE)</f>
        <v>#N/A</v>
      </c>
      <c r="G209" s="44" t="e">
        <f>Salidas[[#This Row],[PRECIO]]*Salidas[[#This Row],[CANTIDAD]]</f>
        <v>#N/A</v>
      </c>
      <c r="H209" s="84" t="e">
        <f>VLOOKUP(Salidas[[#This Row],[CODIGO ]],Inventario[],10,FALSE)*Salidas[[#This Row],[CANTIDAD]]</f>
        <v>#N/A</v>
      </c>
    </row>
    <row r="210" spans="1:8" ht="40.5" customHeight="1">
      <c r="A210" s="18"/>
      <c r="B210" s="20"/>
      <c r="C210" s="86"/>
      <c r="D210" s="83" t="str">
        <f>IFERROR(INDEX(Inventari_2[#All],MATCH(Salidas[[#This Row],[CODIGO ]],Inventari_2[[#Headers],[#Data],[CODIGO]],0),2),"")</f>
        <v/>
      </c>
      <c r="E210">
        <v>1</v>
      </c>
      <c r="F210" s="43" t="e">
        <f>VLOOKUP(Salidas[[#This Row],[CODIGO ]],Inventari_2[],8,FALSE)</f>
        <v>#N/A</v>
      </c>
      <c r="G210" s="44" t="e">
        <f>Salidas[[#This Row],[PRECIO]]*Salidas[[#This Row],[CANTIDAD]]</f>
        <v>#N/A</v>
      </c>
      <c r="H210" s="84" t="e">
        <f>VLOOKUP(Salidas[[#This Row],[CODIGO ]],Inventario[],10,FALSE)*Salidas[[#This Row],[CANTIDAD]]</f>
        <v>#N/A</v>
      </c>
    </row>
    <row r="211" spans="1:8" ht="40.5" customHeight="1">
      <c r="A211" s="18"/>
      <c r="B211" s="20"/>
      <c r="C211" s="86"/>
      <c r="D211" s="83" t="str">
        <f>IFERROR(INDEX(Inventari_2[#All],MATCH(Salidas[[#This Row],[CODIGO ]],Inventari_2[[#Headers],[#Data],[CODIGO]],0),2),"")</f>
        <v/>
      </c>
      <c r="E211">
        <v>1</v>
      </c>
      <c r="F211" s="43" t="e">
        <f>VLOOKUP(Salidas[[#This Row],[CODIGO ]],Inventari_2[],8,FALSE)</f>
        <v>#N/A</v>
      </c>
      <c r="G211" s="44" t="e">
        <f>Salidas[[#This Row],[PRECIO]]*Salidas[[#This Row],[CANTIDAD]]</f>
        <v>#N/A</v>
      </c>
      <c r="H211" s="84" t="e">
        <f>VLOOKUP(Salidas[[#This Row],[CODIGO ]],Inventario[],10,FALSE)*Salidas[[#This Row],[CANTIDAD]]</f>
        <v>#N/A</v>
      </c>
    </row>
    <row r="212" spans="1:8" ht="40.5" customHeight="1">
      <c r="A212" s="18"/>
      <c r="B212" s="20"/>
      <c r="C212" s="86"/>
      <c r="D212" s="83" t="str">
        <f>IFERROR(INDEX(Inventari_2[#All],MATCH(Salidas[[#This Row],[CODIGO ]],Inventari_2[[#Headers],[#Data],[CODIGO]],0),2),"")</f>
        <v/>
      </c>
      <c r="E212">
        <v>1</v>
      </c>
      <c r="F212" s="43" t="e">
        <f>VLOOKUP(Salidas[[#This Row],[CODIGO ]],Inventari_2[],8,FALSE)</f>
        <v>#N/A</v>
      </c>
      <c r="G212" s="44" t="e">
        <f>Salidas[[#This Row],[PRECIO]]*Salidas[[#This Row],[CANTIDAD]]</f>
        <v>#N/A</v>
      </c>
      <c r="H212" s="84" t="e">
        <f>VLOOKUP(Salidas[[#This Row],[CODIGO ]],Inventario[],10,FALSE)*Salidas[[#This Row],[CANTIDAD]]</f>
        <v>#N/A</v>
      </c>
    </row>
    <row r="213" spans="1:8" ht="40.5" customHeight="1">
      <c r="A213" s="18"/>
      <c r="B213" s="20"/>
      <c r="C213" s="86"/>
      <c r="D213" s="83" t="str">
        <f>IFERROR(INDEX(Inventari_2[#All],MATCH(Salidas[[#This Row],[CODIGO ]],Inventari_2[[#Headers],[#Data],[CODIGO]],0),2),"")</f>
        <v/>
      </c>
      <c r="E213">
        <v>1</v>
      </c>
      <c r="F213" s="43" t="e">
        <f>VLOOKUP(Salidas[[#This Row],[CODIGO ]],Inventari_2[],8,FALSE)</f>
        <v>#N/A</v>
      </c>
      <c r="G213" s="44" t="e">
        <f>Salidas[[#This Row],[PRECIO]]*Salidas[[#This Row],[CANTIDAD]]</f>
        <v>#N/A</v>
      </c>
      <c r="H213" s="84" t="e">
        <f>VLOOKUP(Salidas[[#This Row],[CODIGO ]],Inventario[],10,FALSE)*Salidas[[#This Row],[CANTIDAD]]</f>
        <v>#N/A</v>
      </c>
    </row>
    <row r="214" spans="1:8" ht="40.5" customHeight="1">
      <c r="A214" s="18"/>
      <c r="B214" s="20"/>
      <c r="C214" s="86"/>
      <c r="D214" s="83" t="str">
        <f>IFERROR(INDEX(Inventari_2[#All],MATCH(Salidas[[#This Row],[CODIGO ]],Inventari_2[[#Headers],[#Data],[CODIGO]],0),2),"")</f>
        <v/>
      </c>
      <c r="E214">
        <v>1</v>
      </c>
      <c r="F214" s="43" t="e">
        <f>VLOOKUP(Salidas[[#This Row],[CODIGO ]],Inventari_2[],8,FALSE)</f>
        <v>#N/A</v>
      </c>
      <c r="G214" s="44" t="e">
        <f>Salidas[[#This Row],[PRECIO]]*Salidas[[#This Row],[CANTIDAD]]</f>
        <v>#N/A</v>
      </c>
      <c r="H214" s="84" t="e">
        <f>VLOOKUP(Salidas[[#This Row],[CODIGO ]],Inventario[],10,FALSE)*Salidas[[#This Row],[CANTIDAD]]</f>
        <v>#N/A</v>
      </c>
    </row>
    <row r="215" spans="1:8" ht="40.5" customHeight="1">
      <c r="A215" s="55"/>
      <c r="B215" s="56"/>
      <c r="C215" s="86"/>
      <c r="D215" s="83" t="str">
        <f>IFERROR(INDEX(Inventari_2[#All],MATCH(Salidas[[#This Row],[CODIGO ]],Inventari_2[[#Headers],[#Data],[CODIGO]],0),2),"")</f>
        <v/>
      </c>
      <c r="E215">
        <v>1</v>
      </c>
      <c r="F215" s="58" t="e">
        <f>VLOOKUP(Salidas[[#This Row],[CODIGO ]],Inventari_2[],8,FALSE)</f>
        <v>#N/A</v>
      </c>
      <c r="G215" s="44" t="e">
        <f>Salidas[[#This Row],[PRECIO]]*Salidas[[#This Row],[CANTIDAD]]</f>
        <v>#N/A</v>
      </c>
      <c r="H215" s="84" t="e">
        <f>VLOOKUP(Salidas[[#This Row],[CODIGO ]],Inventario[],10,FALSE)*Salidas[[#This Row],[CANTIDAD]]</f>
        <v>#N/A</v>
      </c>
    </row>
    <row r="216" spans="1:8" ht="40.5" customHeight="1">
      <c r="A216" s="18"/>
      <c r="B216" s="20"/>
      <c r="C216" s="86"/>
      <c r="D216" s="83" t="str">
        <f>IFERROR(INDEX(Inventari_2[#All],MATCH(Salidas[[#This Row],[CODIGO ]],Inventari_2[[#Headers],[#Data],[CODIGO]],0),2),"")</f>
        <v/>
      </c>
      <c r="E216">
        <v>1</v>
      </c>
      <c r="F216" s="43" t="e">
        <f>VLOOKUP(Salidas[[#This Row],[CODIGO ]],Inventari_2[],8,FALSE)</f>
        <v>#N/A</v>
      </c>
      <c r="G216" s="44" t="e">
        <f>Salidas[[#This Row],[PRECIO]]*Salidas[[#This Row],[CANTIDAD]]</f>
        <v>#N/A</v>
      </c>
      <c r="H216" s="84" t="e">
        <f>VLOOKUP(Salidas[[#This Row],[CODIGO ]],Inventario[],10,FALSE)*Salidas[[#This Row],[CANTIDAD]]</f>
        <v>#N/A</v>
      </c>
    </row>
    <row r="217" spans="1:8" ht="40.5" customHeight="1">
      <c r="A217" s="18"/>
      <c r="B217" s="20"/>
      <c r="C217" s="86"/>
      <c r="D217" s="83" t="str">
        <f>IFERROR(INDEX(Inventari_2[#All],MATCH(Salidas[[#This Row],[CODIGO ]],Inventari_2[[#Headers],[#Data],[CODIGO]],0),2),"")</f>
        <v/>
      </c>
      <c r="E217">
        <v>1</v>
      </c>
      <c r="F217" s="43" t="e">
        <f>VLOOKUP(Salidas[[#This Row],[CODIGO ]],Inventari_2[],8,FALSE)</f>
        <v>#N/A</v>
      </c>
      <c r="G217" s="44" t="e">
        <f>Salidas[[#This Row],[PRECIO]]*Salidas[[#This Row],[CANTIDAD]]</f>
        <v>#N/A</v>
      </c>
      <c r="H217" s="84" t="e">
        <f>VLOOKUP(Salidas[[#This Row],[CODIGO ]],Inventario[],10,FALSE)*Salidas[[#This Row],[CANTIDAD]]</f>
        <v>#N/A</v>
      </c>
    </row>
    <row r="218" spans="1:8" ht="40.5" customHeight="1">
      <c r="A218" s="18"/>
      <c r="B218" s="20"/>
      <c r="C218" s="86"/>
      <c r="D218" s="83" t="str">
        <f>IFERROR(INDEX(Inventari_2[#All],MATCH(Salidas[[#This Row],[CODIGO ]],Inventari_2[[#Headers],[#Data],[CODIGO]],0),2),"")</f>
        <v/>
      </c>
      <c r="E218">
        <v>1</v>
      </c>
      <c r="F218" s="43" t="e">
        <f>VLOOKUP(Salidas[[#This Row],[CODIGO ]],Inventari_2[],8,FALSE)</f>
        <v>#N/A</v>
      </c>
      <c r="G218" s="44" t="e">
        <f>Salidas[[#This Row],[PRECIO]]*Salidas[[#This Row],[CANTIDAD]]</f>
        <v>#N/A</v>
      </c>
      <c r="H218" s="84" t="e">
        <f>VLOOKUP(Salidas[[#This Row],[CODIGO ]],Inventario[],10,FALSE)*Salidas[[#This Row],[CANTIDAD]]</f>
        <v>#N/A</v>
      </c>
    </row>
    <row r="219" spans="1:8" ht="40.5" customHeight="1">
      <c r="A219" s="18"/>
      <c r="B219" s="20"/>
      <c r="C219" s="86"/>
      <c r="D219" s="83" t="str">
        <f>IFERROR(INDEX(Inventari_2[#All],MATCH(Salidas[[#This Row],[CODIGO ]],Inventari_2[[#Headers],[#Data],[CODIGO]],0),2),"")</f>
        <v/>
      </c>
      <c r="E219">
        <v>1</v>
      </c>
      <c r="F219" s="43" t="e">
        <f>VLOOKUP(Salidas[[#This Row],[CODIGO ]],Inventari_2[],8,FALSE)</f>
        <v>#N/A</v>
      </c>
      <c r="G219" s="44" t="e">
        <f>Salidas[[#This Row],[PRECIO]]*Salidas[[#This Row],[CANTIDAD]]</f>
        <v>#N/A</v>
      </c>
      <c r="H219" s="84" t="e">
        <f>VLOOKUP(Salidas[[#This Row],[CODIGO ]],Inventario[],10,FALSE)*Salidas[[#This Row],[CANTIDAD]]</f>
        <v>#N/A</v>
      </c>
    </row>
    <row r="220" spans="1:8" ht="40.5" customHeight="1">
      <c r="A220" s="18"/>
      <c r="B220" s="20"/>
      <c r="C220" s="86"/>
      <c r="D220" s="83" t="str">
        <f>IFERROR(INDEX(Inventari_2[#All],MATCH(Salidas[[#This Row],[CODIGO ]],Inventari_2[[#Headers],[#Data],[CODIGO]],0),2),"")</f>
        <v/>
      </c>
      <c r="E220">
        <v>1</v>
      </c>
      <c r="F220" s="43" t="e">
        <f>VLOOKUP(Salidas[[#This Row],[CODIGO ]],Inventari_2[],8,FALSE)</f>
        <v>#N/A</v>
      </c>
      <c r="G220" s="44" t="e">
        <f>Salidas[[#This Row],[PRECIO]]*Salidas[[#This Row],[CANTIDAD]]</f>
        <v>#N/A</v>
      </c>
      <c r="H220" s="84" t="e">
        <f>VLOOKUP(Salidas[[#This Row],[CODIGO ]],Inventario[],10,FALSE)*Salidas[[#This Row],[CANTIDAD]]</f>
        <v>#N/A</v>
      </c>
    </row>
    <row r="221" spans="1:8" ht="40.5" customHeight="1">
      <c r="A221" s="18"/>
      <c r="B221" s="20"/>
      <c r="C221" s="86"/>
      <c r="D221" s="83" t="str">
        <f>IFERROR(INDEX(Inventari_2[#All],MATCH(Salidas[[#This Row],[CODIGO ]],Inventari_2[[#Headers],[#Data],[CODIGO]],0),2),"")</f>
        <v/>
      </c>
      <c r="E221">
        <v>1</v>
      </c>
      <c r="F221" s="43" t="e">
        <f>VLOOKUP(Salidas[[#This Row],[CODIGO ]],Inventari_2[],8,FALSE)</f>
        <v>#N/A</v>
      </c>
      <c r="G221" s="44" t="e">
        <f>Salidas[[#This Row],[PRECIO]]*Salidas[[#This Row],[CANTIDAD]]</f>
        <v>#N/A</v>
      </c>
      <c r="H221" s="84" t="e">
        <f>VLOOKUP(Salidas[[#This Row],[CODIGO ]],Inventario[],10,FALSE)*Salidas[[#This Row],[CANTIDAD]]</f>
        <v>#N/A</v>
      </c>
    </row>
    <row r="222" spans="1:8" ht="40.5" customHeight="1">
      <c r="A222" s="18"/>
      <c r="B222" s="20"/>
      <c r="C222" s="86"/>
      <c r="D222" s="83" t="str">
        <f>IFERROR(INDEX(Inventari_2[#All],MATCH(Salidas[[#This Row],[CODIGO ]],Inventari_2[[#Headers],[#Data],[CODIGO]],0),2),"")</f>
        <v/>
      </c>
      <c r="E222">
        <v>1</v>
      </c>
      <c r="F222" s="43" t="e">
        <f>VLOOKUP(Salidas[[#This Row],[CODIGO ]],Inventari_2[],8,FALSE)</f>
        <v>#N/A</v>
      </c>
      <c r="G222" s="44" t="e">
        <f>Salidas[[#This Row],[PRECIO]]*Salidas[[#This Row],[CANTIDAD]]</f>
        <v>#N/A</v>
      </c>
      <c r="H222" s="84" t="e">
        <f>VLOOKUP(Salidas[[#This Row],[CODIGO ]],Inventario[],10,FALSE)*Salidas[[#This Row],[CANTIDAD]]</f>
        <v>#N/A</v>
      </c>
    </row>
    <row r="223" spans="1:8" ht="40.5" customHeight="1">
      <c r="A223" s="18"/>
      <c r="B223" s="20"/>
      <c r="C223" s="86"/>
      <c r="D223" s="83" t="str">
        <f>IFERROR(INDEX(Inventari_2[#All],MATCH(Salidas[[#This Row],[CODIGO ]],Inventari_2[[#Headers],[#Data],[CODIGO]],0),2),"")</f>
        <v/>
      </c>
      <c r="E223">
        <v>1</v>
      </c>
      <c r="F223" s="43" t="e">
        <f>VLOOKUP(Salidas[[#This Row],[CODIGO ]],Inventari_2[],8,FALSE)</f>
        <v>#N/A</v>
      </c>
      <c r="G223" s="44" t="e">
        <f>Salidas[[#This Row],[PRECIO]]*Salidas[[#This Row],[CANTIDAD]]</f>
        <v>#N/A</v>
      </c>
      <c r="H223" s="84" t="e">
        <f>VLOOKUP(Salidas[[#This Row],[CODIGO ]],Inventario[],10,FALSE)*Salidas[[#This Row],[CANTIDAD]]</f>
        <v>#N/A</v>
      </c>
    </row>
    <row r="224" spans="1:8" ht="40.5" customHeight="1">
      <c r="A224" s="18"/>
      <c r="B224" s="20"/>
      <c r="C224" s="86"/>
      <c r="D224" s="83" t="str">
        <f>IFERROR(INDEX(Inventari_2[#All],MATCH(Salidas[[#This Row],[CODIGO ]],Inventari_2[[#Headers],[#Data],[CODIGO]],0),2),"")</f>
        <v/>
      </c>
      <c r="E224">
        <v>1</v>
      </c>
      <c r="F224" s="43" t="e">
        <f>VLOOKUP(Salidas[[#This Row],[CODIGO ]],Inventari_2[],8,FALSE)</f>
        <v>#N/A</v>
      </c>
      <c r="G224" s="44" t="e">
        <f>Salidas[[#This Row],[PRECIO]]*Salidas[[#This Row],[CANTIDAD]]</f>
        <v>#N/A</v>
      </c>
      <c r="H224" s="84" t="e">
        <f>VLOOKUP(Salidas[[#This Row],[CODIGO ]],Inventario[],10,FALSE)*Salidas[[#This Row],[CANTIDAD]]</f>
        <v>#N/A</v>
      </c>
    </row>
    <row r="225" spans="1:9" ht="40.5" customHeight="1">
      <c r="A225" s="18"/>
      <c r="B225" s="20"/>
      <c r="C225" s="86"/>
      <c r="D225" s="83" t="str">
        <f>IFERROR(INDEX(Inventari_2[#All],MATCH(Salidas[[#This Row],[CODIGO ]],Inventari_2[[#Headers],[#Data],[CODIGO]],0),2),"")</f>
        <v/>
      </c>
      <c r="E225">
        <v>1</v>
      </c>
      <c r="F225" s="43" t="e">
        <f>VLOOKUP(Salidas[[#This Row],[CODIGO ]],Inventari_2[],8,FALSE)</f>
        <v>#N/A</v>
      </c>
      <c r="G225" s="44" t="e">
        <f>Salidas[[#This Row],[PRECIO]]*Salidas[[#This Row],[CANTIDAD]]</f>
        <v>#N/A</v>
      </c>
      <c r="H225" s="84" t="e">
        <f>VLOOKUP(Salidas[[#This Row],[CODIGO ]],Inventario[],10,FALSE)*Salidas[[#This Row],[CANTIDAD]]</f>
        <v>#N/A</v>
      </c>
    </row>
    <row r="226" spans="1:9" ht="40.5" customHeight="1">
      <c r="A226" s="18"/>
      <c r="B226" s="20"/>
      <c r="C226" s="86"/>
      <c r="D226" s="83" t="str">
        <f>IFERROR(INDEX(Inventari_2[#All],MATCH(Salidas[[#This Row],[CODIGO ]],Inventari_2[[#Headers],[#Data],[CODIGO]],0),2),"")</f>
        <v/>
      </c>
      <c r="E226">
        <v>1</v>
      </c>
      <c r="F226" s="43" t="e">
        <f>VLOOKUP(Salidas[[#This Row],[CODIGO ]],Inventari_2[],8,FALSE)</f>
        <v>#N/A</v>
      </c>
      <c r="G226" s="44" t="e">
        <f>Salidas[[#This Row],[PRECIO]]*Salidas[[#This Row],[CANTIDAD]]</f>
        <v>#N/A</v>
      </c>
      <c r="H226" s="84" t="e">
        <f>VLOOKUP(Salidas[[#This Row],[CODIGO ]],Inventario[],10,FALSE)*Salidas[[#This Row],[CANTIDAD]]</f>
        <v>#N/A</v>
      </c>
    </row>
    <row r="227" spans="1:9" ht="40.5" customHeight="1">
      <c r="A227" s="18"/>
      <c r="B227" s="20"/>
      <c r="C227" s="86"/>
      <c r="D227" s="83" t="str">
        <f>IFERROR(INDEX(Inventari_2[#All],MATCH(Salidas[[#This Row],[CODIGO ]],Inventari_2[[#Headers],[#Data],[CODIGO]],0),2),"")</f>
        <v/>
      </c>
      <c r="E227">
        <v>1</v>
      </c>
      <c r="F227" s="43" t="e">
        <f>VLOOKUP(Salidas[[#This Row],[CODIGO ]],Inventari_2[],8,FALSE)</f>
        <v>#N/A</v>
      </c>
      <c r="G227" s="44" t="e">
        <f>Salidas[[#This Row],[PRECIO]]*Salidas[[#This Row],[CANTIDAD]]</f>
        <v>#N/A</v>
      </c>
      <c r="H227" s="84" t="e">
        <f>VLOOKUP(Salidas[[#This Row],[CODIGO ]],Inventario[],10,FALSE)*Salidas[[#This Row],[CANTIDAD]]</f>
        <v>#N/A</v>
      </c>
    </row>
    <row r="228" spans="1:9" ht="40.5" customHeight="1">
      <c r="A228" s="18"/>
      <c r="B228" s="20"/>
      <c r="C228" s="86"/>
      <c r="D228" s="83" t="str">
        <f>IFERROR(INDEX(Inventari_2[#All],MATCH(Salidas[[#This Row],[CODIGO ]],Inventari_2[[#Headers],[#Data],[CODIGO]],0),2),"")</f>
        <v/>
      </c>
      <c r="E228">
        <v>1</v>
      </c>
      <c r="F228" s="43" t="e">
        <f>VLOOKUP(Salidas[[#This Row],[CODIGO ]],Inventari_2[],8,FALSE)</f>
        <v>#N/A</v>
      </c>
      <c r="G228" s="44" t="e">
        <f>Salidas[[#This Row],[PRECIO]]*Salidas[[#This Row],[CANTIDAD]]</f>
        <v>#N/A</v>
      </c>
      <c r="H228" s="84" t="e">
        <f>VLOOKUP(Salidas[[#This Row],[CODIGO ]],Inventario[],10,FALSE)*Salidas[[#This Row],[CANTIDAD]]</f>
        <v>#N/A</v>
      </c>
    </row>
    <row r="229" spans="1:9" s="57" customFormat="1" ht="40.5" customHeight="1">
      <c r="A229" s="18"/>
      <c r="B229" s="20"/>
      <c r="C229" s="86"/>
      <c r="D229" s="83" t="str">
        <f>IFERROR(INDEX(Inventari_2[#All],MATCH(Salidas[[#This Row],[CODIGO ]],Inventari_2[[#Headers],[#Data],[CODIGO]],0),2),"")</f>
        <v/>
      </c>
      <c r="E229">
        <v>1</v>
      </c>
      <c r="F229" s="43" t="e">
        <f>VLOOKUP(Salidas[[#This Row],[CODIGO ]],Inventari_2[],8,FALSE)</f>
        <v>#N/A</v>
      </c>
      <c r="G229" s="44" t="e">
        <f>Salidas[[#This Row],[PRECIO]]*Salidas[[#This Row],[CANTIDAD]]</f>
        <v>#N/A</v>
      </c>
      <c r="H229" s="84" t="e">
        <f>VLOOKUP(Salidas[[#This Row],[CODIGO ]],Inventario[],10,FALSE)*Salidas[[#This Row],[CANTIDAD]]</f>
        <v>#N/A</v>
      </c>
    </row>
    <row r="230" spans="1:9" s="47" customFormat="1" ht="40.5" customHeight="1">
      <c r="A230" s="18"/>
      <c r="B230" s="20"/>
      <c r="C230" s="86"/>
      <c r="D230" s="83" t="str">
        <f>IFERROR(INDEX(Inventari_2[#All],MATCH(Salidas[[#This Row],[CODIGO ]],Inventari_2[[#Headers],[#Data],[CODIGO]],0),2),"")</f>
        <v/>
      </c>
      <c r="E230">
        <v>1</v>
      </c>
      <c r="F230" s="43" t="e">
        <f>VLOOKUP(Salidas[[#This Row],[CODIGO ]],Inventari_2[],8,FALSE)</f>
        <v>#N/A</v>
      </c>
      <c r="G230" s="44" t="e">
        <f>Salidas[[#This Row],[PRECIO]]*Salidas[[#This Row],[CANTIDAD]]</f>
        <v>#N/A</v>
      </c>
      <c r="H230" s="84" t="e">
        <f>VLOOKUP(Salidas[[#This Row],[CODIGO ]],Inventario[],10,FALSE)*Salidas[[#This Row],[CANTIDAD]]</f>
        <v>#N/A</v>
      </c>
      <c r="I230" s="62"/>
    </row>
    <row r="231" spans="1:9" s="47" customFormat="1" ht="40.5" customHeight="1">
      <c r="A231" s="18"/>
      <c r="B231" s="20"/>
      <c r="C231" s="86"/>
      <c r="D231" s="83" t="str">
        <f>IFERROR(INDEX(Inventari_2[#All],MATCH(Salidas[[#This Row],[CODIGO ]],Inventari_2[[#Headers],[#Data],[CODIGO]],0),2),"")</f>
        <v/>
      </c>
      <c r="E231">
        <v>1</v>
      </c>
      <c r="F231" s="43" t="e">
        <f>VLOOKUP(Salidas[[#This Row],[CODIGO ]],Inventari_2[],8,FALSE)</f>
        <v>#N/A</v>
      </c>
      <c r="G231" s="44" t="e">
        <f>Salidas[[#This Row],[PRECIO]]*Salidas[[#This Row],[CANTIDAD]]</f>
        <v>#N/A</v>
      </c>
      <c r="H231" s="84" t="e">
        <f>VLOOKUP(Salidas[[#This Row],[CODIGO ]],Inventario[],10,FALSE)*Salidas[[#This Row],[CANTIDAD]]</f>
        <v>#N/A</v>
      </c>
      <c r="I231" s="62"/>
    </row>
    <row r="232" spans="1:9" s="47" customFormat="1" ht="40.5" customHeight="1">
      <c r="A232" s="18"/>
      <c r="B232" s="20"/>
      <c r="C232" s="86"/>
      <c r="D232" s="83" t="str">
        <f>IFERROR(INDEX(Inventari_2[#All],MATCH(Salidas[[#This Row],[CODIGO ]],Inventari_2[[#Headers],[#Data],[CODIGO]],0),2),"")</f>
        <v/>
      </c>
      <c r="E232">
        <v>1</v>
      </c>
      <c r="F232" s="43" t="e">
        <f>VLOOKUP(Salidas[[#This Row],[CODIGO ]],Inventari_2[],8,FALSE)</f>
        <v>#N/A</v>
      </c>
      <c r="G232" s="44" t="e">
        <f>Salidas[[#This Row],[PRECIO]]*Salidas[[#This Row],[CANTIDAD]]</f>
        <v>#N/A</v>
      </c>
      <c r="H232" s="84" t="e">
        <f>VLOOKUP(Salidas[[#This Row],[CODIGO ]],Inventario[],10,FALSE)*Salidas[[#This Row],[CANTIDAD]]</f>
        <v>#N/A</v>
      </c>
      <c r="I232" s="62"/>
    </row>
    <row r="233" spans="1:9" s="47" customFormat="1" ht="40.5" customHeight="1">
      <c r="A233" s="18"/>
      <c r="B233" s="20"/>
      <c r="C233" s="86"/>
      <c r="D233" s="83" t="str">
        <f>IFERROR(INDEX(Inventari_2[#All],MATCH(Salidas[[#This Row],[CODIGO ]],Inventari_2[[#Headers],[#Data],[CODIGO]],0),2),"")</f>
        <v/>
      </c>
      <c r="E233">
        <v>1</v>
      </c>
      <c r="F233" s="43" t="e">
        <f>VLOOKUP(Salidas[[#This Row],[CODIGO ]],Inventari_2[],8,FALSE)</f>
        <v>#N/A</v>
      </c>
      <c r="G233" s="44" t="e">
        <f>Salidas[[#This Row],[PRECIO]]*Salidas[[#This Row],[CANTIDAD]]</f>
        <v>#N/A</v>
      </c>
      <c r="H233" s="84" t="e">
        <f>VLOOKUP(Salidas[[#This Row],[CODIGO ]],Inventario[],10,FALSE)*Salidas[[#This Row],[CANTIDAD]]</f>
        <v>#N/A</v>
      </c>
      <c r="I233" s="62"/>
    </row>
    <row r="234" spans="1:9" s="47" customFormat="1" ht="40.5" customHeight="1">
      <c r="A234" s="18"/>
      <c r="B234" s="20"/>
      <c r="C234" s="86"/>
      <c r="D234" s="83" t="str">
        <f>IFERROR(INDEX(Inventari_2[#All],MATCH(Salidas[[#This Row],[CODIGO ]],Inventari_2[[#Headers],[#Data],[CODIGO]],0),2),"")</f>
        <v/>
      </c>
      <c r="E234">
        <v>1</v>
      </c>
      <c r="F234" s="43" t="e">
        <f>VLOOKUP(Salidas[[#This Row],[CODIGO ]],Inventari_2[],8,FALSE)</f>
        <v>#N/A</v>
      </c>
      <c r="G234" s="44" t="e">
        <f>Salidas[[#This Row],[PRECIO]]*Salidas[[#This Row],[CANTIDAD]]</f>
        <v>#N/A</v>
      </c>
      <c r="H234" s="84" t="e">
        <f>VLOOKUP(Salidas[[#This Row],[CODIGO ]],Inventario[],10,FALSE)*Salidas[[#This Row],[CANTIDAD]]</f>
        <v>#N/A</v>
      </c>
      <c r="I234" s="62"/>
    </row>
    <row r="235" spans="1:9" s="47" customFormat="1" ht="40.5" customHeight="1">
      <c r="A235" s="55"/>
      <c r="B235" s="56"/>
      <c r="C235" s="86"/>
      <c r="D235" s="83" t="str">
        <f>IFERROR(INDEX(Inventari_2[#All],MATCH(Salidas[[#This Row],[CODIGO ]],Inventari_2[[#Headers],[#Data],[CODIGO]],0),2),"")</f>
        <v/>
      </c>
      <c r="E235">
        <v>1</v>
      </c>
      <c r="F235" s="58" t="e">
        <f>VLOOKUP(Salidas[[#This Row],[CODIGO ]],Inventari_2[],8,FALSE)</f>
        <v>#N/A</v>
      </c>
      <c r="G235" s="44" t="e">
        <f>Salidas[[#This Row],[PRECIO]]*Salidas[[#This Row],[CANTIDAD]]</f>
        <v>#N/A</v>
      </c>
      <c r="H235" s="84" t="e">
        <f>VLOOKUP(Salidas[[#This Row],[CODIGO ]],Inventario[],10,FALSE)*Salidas[[#This Row],[CANTIDAD]]</f>
        <v>#N/A</v>
      </c>
      <c r="I235" s="62"/>
    </row>
    <row r="236" spans="1:9" s="47" customFormat="1" ht="40.5" customHeight="1">
      <c r="A236" s="60"/>
      <c r="B236" s="61"/>
      <c r="C236" s="86"/>
      <c r="D236" s="83" t="str">
        <f>IFERROR(INDEX(Inventari_2[#All],MATCH(Salidas[[#This Row],[CODIGO ]],Inventari_2[[#Headers],[#Data],[CODIGO]],0),2),"")</f>
        <v/>
      </c>
      <c r="E236">
        <v>1</v>
      </c>
      <c r="F236" s="63" t="e">
        <f>VLOOKUP(Salidas[[#This Row],[CODIGO ]],Inventari_2[],8,FALSE)</f>
        <v>#N/A</v>
      </c>
      <c r="G236" s="44" t="e">
        <f>Salidas[[#This Row],[PRECIO]]*Salidas[[#This Row],[CANTIDAD]]</f>
        <v>#N/A</v>
      </c>
      <c r="H236" s="84" t="e">
        <f>VLOOKUP(Salidas[[#This Row],[CODIGO ]],Inventario[],10,FALSE)*Salidas[[#This Row],[CANTIDAD]]</f>
        <v>#N/A</v>
      </c>
      <c r="I236" s="62"/>
    </row>
    <row r="237" spans="1:9" s="47" customFormat="1" ht="40.5" customHeight="1">
      <c r="A237" s="60"/>
      <c r="B237" s="61"/>
      <c r="C237" s="86"/>
      <c r="D237" s="83" t="str">
        <f>IFERROR(INDEX(Inventari_2[#All],MATCH(Salidas[[#This Row],[CODIGO ]],Inventari_2[[#Headers],[#Data],[CODIGO]],0),2),"")</f>
        <v/>
      </c>
      <c r="E237">
        <v>1</v>
      </c>
      <c r="F237" s="63" t="e">
        <f>VLOOKUP(Salidas[[#This Row],[CODIGO ]],Inventari_2[],8,FALSE)</f>
        <v>#N/A</v>
      </c>
      <c r="G237" s="44" t="e">
        <f>Salidas[[#This Row],[PRECIO]]*Salidas[[#This Row],[CANTIDAD]]</f>
        <v>#N/A</v>
      </c>
      <c r="H237" s="84" t="e">
        <f>VLOOKUP(Salidas[[#This Row],[CODIGO ]],Inventario[],10,FALSE)*Salidas[[#This Row],[CANTIDAD]]</f>
        <v>#N/A</v>
      </c>
      <c r="I237" s="62"/>
    </row>
    <row r="238" spans="1:9" s="47" customFormat="1" ht="40.5" customHeight="1">
      <c r="A238" s="60"/>
      <c r="B238" s="61"/>
      <c r="C238" s="86"/>
      <c r="D238" s="83" t="str">
        <f>IFERROR(INDEX(Inventari_2[#All],MATCH(Salidas[[#This Row],[CODIGO ]],Inventari_2[[#Headers],[#Data],[CODIGO]],0),2),"")</f>
        <v/>
      </c>
      <c r="E238">
        <v>1</v>
      </c>
      <c r="F238" s="63" t="e">
        <f>VLOOKUP(Salidas[[#This Row],[CODIGO ]],Inventari_2[],8,FALSE)</f>
        <v>#N/A</v>
      </c>
      <c r="G238" s="44" t="e">
        <f>Salidas[[#This Row],[PRECIO]]*Salidas[[#This Row],[CANTIDAD]]</f>
        <v>#N/A</v>
      </c>
      <c r="H238" s="84" t="e">
        <f>VLOOKUP(Salidas[[#This Row],[CODIGO ]],Inventario[],10,FALSE)*Salidas[[#This Row],[CANTIDAD]]</f>
        <v>#N/A</v>
      </c>
      <c r="I238" s="62"/>
    </row>
    <row r="239" spans="1:9" ht="40.5" customHeight="1">
      <c r="A239" s="60"/>
      <c r="B239" s="61"/>
      <c r="C239" s="86"/>
      <c r="D239" s="83" t="str">
        <f>IFERROR(INDEX(Inventari_2[#All],MATCH(Salidas[[#This Row],[CODIGO ]],Inventari_2[[#Headers],[#Data],[CODIGO]],0),2),"")</f>
        <v/>
      </c>
      <c r="E239">
        <v>1</v>
      </c>
      <c r="F239" s="63" t="e">
        <f>VLOOKUP(Salidas[[#This Row],[CODIGO ]],Inventari_2[],8,FALSE)</f>
        <v>#N/A</v>
      </c>
      <c r="G239" s="44" t="e">
        <f>Salidas[[#This Row],[PRECIO]]*Salidas[[#This Row],[CANTIDAD]]</f>
        <v>#N/A</v>
      </c>
      <c r="H239" s="84" t="e">
        <f>VLOOKUP(Salidas[[#This Row],[CODIGO ]],Inventario[],10,FALSE)*Salidas[[#This Row],[CANTIDAD]]</f>
        <v>#N/A</v>
      </c>
      <c r="I239" s="62"/>
    </row>
    <row r="240" spans="1:9" ht="40.5" customHeight="1">
      <c r="A240" s="60"/>
      <c r="B240" s="61"/>
      <c r="C240" s="86"/>
      <c r="D240" s="83" t="str">
        <f>IFERROR(INDEX(Inventari_2[#All],MATCH(Salidas[[#This Row],[CODIGO ]],Inventari_2[[#Headers],[#Data],[CODIGO]],0),2),"")</f>
        <v/>
      </c>
      <c r="E240">
        <v>1</v>
      </c>
      <c r="F240" s="63" t="e">
        <f>VLOOKUP(Salidas[[#This Row],[CODIGO ]],Inventari_2[],8,FALSE)</f>
        <v>#N/A</v>
      </c>
      <c r="G240" s="44" t="e">
        <f>Salidas[[#This Row],[PRECIO]]*Salidas[[#This Row],[CANTIDAD]]</f>
        <v>#N/A</v>
      </c>
      <c r="H240" s="84" t="e">
        <f>VLOOKUP(Salidas[[#This Row],[CODIGO ]],Inventario[],10,FALSE)*Salidas[[#This Row],[CANTIDAD]]</f>
        <v>#N/A</v>
      </c>
      <c r="I240" s="62"/>
    </row>
    <row r="241" spans="1:9" s="47" customFormat="1" ht="40.5" customHeight="1">
      <c r="A241" s="60"/>
      <c r="B241" s="61"/>
      <c r="C241" s="86"/>
      <c r="D241" s="83" t="str">
        <f>IFERROR(INDEX(Inventari_2[#All],MATCH(Salidas[[#This Row],[CODIGO ]],Inventari_2[[#Headers],[#Data],[CODIGO]],0),2),"")</f>
        <v/>
      </c>
      <c r="E241">
        <v>1</v>
      </c>
      <c r="F241" s="63" t="e">
        <f>VLOOKUP(Salidas[[#This Row],[CODIGO ]],Inventari_2[],8,FALSE)</f>
        <v>#N/A</v>
      </c>
      <c r="G241" s="44" t="e">
        <f>Salidas[[#This Row],[PRECIO]]*Salidas[[#This Row],[CANTIDAD]]</f>
        <v>#N/A</v>
      </c>
      <c r="H241" s="84" t="e">
        <f>VLOOKUP(Salidas[[#This Row],[CODIGO ]],Inventario[],10,FALSE)*Salidas[[#This Row],[CANTIDAD]]</f>
        <v>#N/A</v>
      </c>
      <c r="I241" s="62"/>
    </row>
    <row r="242" spans="1:9" s="47" customFormat="1" ht="40.5" customHeight="1">
      <c r="A242" s="60"/>
      <c r="B242" s="61"/>
      <c r="C242" s="86"/>
      <c r="D242" s="83" t="str">
        <f>IFERROR(INDEX(Inventari_2[#All],MATCH(Salidas[[#This Row],[CODIGO ]],Inventari_2[[#Headers],[#Data],[CODIGO]],0),2),"")</f>
        <v/>
      </c>
      <c r="E242">
        <v>1</v>
      </c>
      <c r="F242" s="63" t="e">
        <f>VLOOKUP(Salidas[[#This Row],[CODIGO ]],Inventari_2[],8,FALSE)</f>
        <v>#N/A</v>
      </c>
      <c r="G242" s="44" t="e">
        <f>Salidas[[#This Row],[PRECIO]]*Salidas[[#This Row],[CANTIDAD]]</f>
        <v>#N/A</v>
      </c>
      <c r="H242" s="84" t="e">
        <f>VLOOKUP(Salidas[[#This Row],[CODIGO ]],Inventario[],10,FALSE)*Salidas[[#This Row],[CANTIDAD]]</f>
        <v>#N/A</v>
      </c>
      <c r="I242" s="62"/>
    </row>
    <row r="243" spans="1:9" s="47" customFormat="1" ht="40.5" customHeight="1">
      <c r="A243" s="60"/>
      <c r="B243" s="61"/>
      <c r="C243" s="86"/>
      <c r="D243" s="83" t="str">
        <f>IFERROR(INDEX(Inventari_2[#All],MATCH(Salidas[[#This Row],[CODIGO ]],Inventari_2[[#Headers],[#Data],[CODIGO]],0),2),"")</f>
        <v/>
      </c>
      <c r="E243">
        <v>1</v>
      </c>
      <c r="F243" s="63" t="e">
        <f>VLOOKUP(Salidas[[#This Row],[CODIGO ]],Inventari_2[],8,FALSE)</f>
        <v>#N/A</v>
      </c>
      <c r="G243" s="44" t="e">
        <f>Salidas[[#This Row],[PRECIO]]*Salidas[[#This Row],[CANTIDAD]]</f>
        <v>#N/A</v>
      </c>
      <c r="H243" s="84" t="e">
        <f>VLOOKUP(Salidas[[#This Row],[CODIGO ]],Inventario[],10,FALSE)*Salidas[[#This Row],[CANTIDAD]]</f>
        <v>#N/A</v>
      </c>
      <c r="I243" s="62"/>
    </row>
    <row r="244" spans="1:9" s="47" customFormat="1" ht="40.5" customHeight="1">
      <c r="A244" s="60"/>
      <c r="B244" s="61"/>
      <c r="C244" s="86"/>
      <c r="D244" s="83" t="str">
        <f>IFERROR(INDEX(Inventari_2[#All],MATCH(Salidas[[#This Row],[CODIGO ]],Inventari_2[[#Headers],[#Data],[CODIGO]],0),2),"")</f>
        <v/>
      </c>
      <c r="E244">
        <v>1</v>
      </c>
      <c r="F244" s="63" t="e">
        <f>VLOOKUP(Salidas[[#This Row],[CODIGO ]],Inventari_2[],8,FALSE)</f>
        <v>#N/A</v>
      </c>
      <c r="G244" s="44" t="e">
        <f>Salidas[[#This Row],[PRECIO]]*Salidas[[#This Row],[CANTIDAD]]</f>
        <v>#N/A</v>
      </c>
      <c r="H244" s="84" t="e">
        <f>VLOOKUP(Salidas[[#This Row],[CODIGO ]],Inventario[],10,FALSE)*Salidas[[#This Row],[CANTIDAD]]</f>
        <v>#N/A</v>
      </c>
      <c r="I244" s="62"/>
    </row>
    <row r="245" spans="1:9" s="47" customFormat="1" ht="40.5" customHeight="1">
      <c r="A245" s="60"/>
      <c r="B245" s="61"/>
      <c r="C245" s="86"/>
      <c r="D245" s="83" t="str">
        <f>IFERROR(INDEX(Inventari_2[#All],MATCH(Salidas[[#This Row],[CODIGO ]],Inventari_2[[#Headers],[#Data],[CODIGO]],0),2),"")</f>
        <v/>
      </c>
      <c r="E245">
        <v>1</v>
      </c>
      <c r="F245" s="63" t="e">
        <f>VLOOKUP(Salidas[[#This Row],[CODIGO ]],Inventari_2[],8,FALSE)</f>
        <v>#N/A</v>
      </c>
      <c r="G245" s="44" t="e">
        <f>Salidas[[#This Row],[PRECIO]]*Salidas[[#This Row],[CANTIDAD]]</f>
        <v>#N/A</v>
      </c>
      <c r="H245" s="84" t="e">
        <f>VLOOKUP(Salidas[[#This Row],[CODIGO ]],Inventario[],10,FALSE)*Salidas[[#This Row],[CANTIDAD]]</f>
        <v>#N/A</v>
      </c>
      <c r="I245" s="62"/>
    </row>
    <row r="246" spans="1:9" s="47" customFormat="1" ht="40.5" customHeight="1">
      <c r="A246" s="60"/>
      <c r="B246" s="61"/>
      <c r="C246" s="86"/>
      <c r="D246" s="83" t="str">
        <f>IFERROR(INDEX(Inventari_2[#All],MATCH(Salidas[[#This Row],[CODIGO ]],Inventari_2[[#Headers],[#Data],[CODIGO]],0),2),"")</f>
        <v/>
      </c>
      <c r="E246">
        <v>1</v>
      </c>
      <c r="F246" s="63" t="e">
        <f>VLOOKUP(Salidas[[#This Row],[CODIGO ]],Inventari_2[],8,FALSE)</f>
        <v>#N/A</v>
      </c>
      <c r="G246" s="44" t="e">
        <f>Salidas[[#This Row],[PRECIO]]*Salidas[[#This Row],[CANTIDAD]]</f>
        <v>#N/A</v>
      </c>
      <c r="H246" s="84" t="e">
        <f>VLOOKUP(Salidas[[#This Row],[CODIGO ]],Inventario[],10,FALSE)*Salidas[[#This Row],[CANTIDAD]]</f>
        <v>#N/A</v>
      </c>
      <c r="I246" s="62"/>
    </row>
    <row r="247" spans="1:9" s="47" customFormat="1" ht="40.5" customHeight="1">
      <c r="A247" s="60"/>
      <c r="B247" s="61"/>
      <c r="C247" s="86"/>
      <c r="D247" s="83" t="str">
        <f>IFERROR(INDEX(Inventari_2[#All],MATCH(Salidas[[#This Row],[CODIGO ]],Inventari_2[[#Headers],[#Data],[CODIGO]],0),2),"")</f>
        <v/>
      </c>
      <c r="E247">
        <v>1</v>
      </c>
      <c r="F247" s="63" t="e">
        <f>VLOOKUP(Salidas[[#This Row],[CODIGO ]],Inventari_2[],8,FALSE)</f>
        <v>#N/A</v>
      </c>
      <c r="G247" s="44" t="e">
        <f>Salidas[[#This Row],[PRECIO]]*Salidas[[#This Row],[CANTIDAD]]</f>
        <v>#N/A</v>
      </c>
      <c r="H247" s="84" t="e">
        <f>VLOOKUP(Salidas[[#This Row],[CODIGO ]],Inventario[],10,FALSE)*Salidas[[#This Row],[CANTIDAD]]</f>
        <v>#N/A</v>
      </c>
      <c r="I247" s="62"/>
    </row>
    <row r="248" spans="1:9" s="47" customFormat="1" ht="40.5" customHeight="1">
      <c r="A248" s="60"/>
      <c r="B248" s="61"/>
      <c r="C248" s="86"/>
      <c r="D248" s="83" t="str">
        <f>IFERROR(INDEX(Inventari_2[#All],MATCH(Salidas[[#This Row],[CODIGO ]],Inventari_2[[#Headers],[#Data],[CODIGO]],0),2),"")</f>
        <v/>
      </c>
      <c r="E248">
        <v>1</v>
      </c>
      <c r="F248" s="63" t="e">
        <f>VLOOKUP(Salidas[[#This Row],[CODIGO ]],Inventari_2[],8,FALSE)</f>
        <v>#N/A</v>
      </c>
      <c r="G248" s="44" t="e">
        <f>Salidas[[#This Row],[PRECIO]]*Salidas[[#This Row],[CANTIDAD]]</f>
        <v>#N/A</v>
      </c>
      <c r="H248" s="84" t="e">
        <f>VLOOKUP(Salidas[[#This Row],[CODIGO ]],Inventario[],10,FALSE)*Salidas[[#This Row],[CANTIDAD]]</f>
        <v>#N/A</v>
      </c>
      <c r="I248" s="62"/>
    </row>
    <row r="249" spans="1:9" s="47" customFormat="1" ht="40.5" customHeight="1">
      <c r="A249" s="60"/>
      <c r="B249" s="61"/>
      <c r="C249" s="86"/>
      <c r="D249" s="83" t="str">
        <f>IFERROR(INDEX(Inventari_2[#All],MATCH(Salidas[[#This Row],[CODIGO ]],Inventari_2[[#Headers],[#Data],[CODIGO]],0),2),"")</f>
        <v/>
      </c>
      <c r="E249">
        <v>1</v>
      </c>
      <c r="F249" s="63" t="e">
        <f>VLOOKUP(Salidas[[#This Row],[CODIGO ]],Inventari_2[],8,FALSE)</f>
        <v>#N/A</v>
      </c>
      <c r="G249" s="44" t="e">
        <f>Salidas[[#This Row],[PRECIO]]*Salidas[[#This Row],[CANTIDAD]]</f>
        <v>#N/A</v>
      </c>
      <c r="H249" s="84" t="e">
        <f>VLOOKUP(Salidas[[#This Row],[CODIGO ]],Inventario[],10,FALSE)*Salidas[[#This Row],[CANTIDAD]]</f>
        <v>#N/A</v>
      </c>
      <c r="I249" s="62"/>
    </row>
    <row r="250" spans="1:9" s="47" customFormat="1" ht="40.5" customHeight="1">
      <c r="A250" s="60"/>
      <c r="B250" s="61"/>
      <c r="C250" s="86"/>
      <c r="D250" s="83" t="str">
        <f>IFERROR(INDEX(Inventari_2[#All],MATCH(Salidas[[#This Row],[CODIGO ]],Inventari_2[[#Headers],[#Data],[CODIGO]],0),2),"")</f>
        <v/>
      </c>
      <c r="E250">
        <v>1</v>
      </c>
      <c r="F250" s="63" t="e">
        <f>VLOOKUP(Salidas[[#This Row],[CODIGO ]],Inventari_2[],8,FALSE)</f>
        <v>#N/A</v>
      </c>
      <c r="G250" s="44" t="e">
        <f>Salidas[[#This Row],[PRECIO]]*Salidas[[#This Row],[CANTIDAD]]</f>
        <v>#N/A</v>
      </c>
      <c r="H250" s="84" t="e">
        <f>VLOOKUP(Salidas[[#This Row],[CODIGO ]],Inventario[],10,FALSE)*Salidas[[#This Row],[CANTIDAD]]</f>
        <v>#N/A</v>
      </c>
      <c r="I250" s="62"/>
    </row>
    <row r="251" spans="1:9" s="47" customFormat="1" ht="40.5" customHeight="1">
      <c r="A251" s="60"/>
      <c r="B251" s="61"/>
      <c r="C251" s="86"/>
      <c r="D251" s="83" t="str">
        <f>IFERROR(INDEX(Inventari_2[#All],MATCH(Salidas[[#This Row],[CODIGO ]],Inventari_2[[#Headers],[#Data],[CODIGO]],0),2),"")</f>
        <v/>
      </c>
      <c r="E251">
        <v>1</v>
      </c>
      <c r="F251" s="63" t="e">
        <f>VLOOKUP(Salidas[[#This Row],[CODIGO ]],Inventari_2[],8,FALSE)</f>
        <v>#N/A</v>
      </c>
      <c r="G251" s="44" t="e">
        <f>Salidas[[#This Row],[PRECIO]]*Salidas[[#This Row],[CANTIDAD]]</f>
        <v>#N/A</v>
      </c>
      <c r="H251" s="84" t="e">
        <f>VLOOKUP(Salidas[[#This Row],[CODIGO ]],Inventario[],10,FALSE)*Salidas[[#This Row],[CANTIDAD]]</f>
        <v>#N/A</v>
      </c>
      <c r="I251" s="62"/>
    </row>
    <row r="252" spans="1:9" s="47" customFormat="1" ht="40.5" customHeight="1">
      <c r="A252" s="60"/>
      <c r="B252" s="61"/>
      <c r="C252" s="86"/>
      <c r="D252" s="83" t="str">
        <f>IFERROR(INDEX(Inventari_2[#All],MATCH(Salidas[[#This Row],[CODIGO ]],Inventari_2[[#Headers],[#Data],[CODIGO]],0),2),"")</f>
        <v/>
      </c>
      <c r="E252">
        <v>1</v>
      </c>
      <c r="F252" s="63" t="e">
        <f>VLOOKUP(Salidas[[#This Row],[CODIGO ]],Inventari_2[],8,FALSE)</f>
        <v>#N/A</v>
      </c>
      <c r="G252" s="44" t="e">
        <f>Salidas[[#This Row],[PRECIO]]*Salidas[[#This Row],[CANTIDAD]]</f>
        <v>#N/A</v>
      </c>
      <c r="H252" s="84" t="e">
        <f>VLOOKUP(Salidas[[#This Row],[CODIGO ]],Inventario[],10,FALSE)*Salidas[[#This Row],[CANTIDAD]]</f>
        <v>#N/A</v>
      </c>
      <c r="I252" s="62"/>
    </row>
    <row r="253" spans="1:9" s="47" customFormat="1" ht="40.5" customHeight="1">
      <c r="A253" s="60"/>
      <c r="B253" s="61"/>
      <c r="C253" s="86"/>
      <c r="D253" s="83" t="str">
        <f>IFERROR(INDEX(Inventari_2[#All],MATCH(Salidas[[#This Row],[CODIGO ]],Inventari_2[[#Headers],[#Data],[CODIGO]],0),2),"")</f>
        <v/>
      </c>
      <c r="E253">
        <v>1</v>
      </c>
      <c r="F253" s="63" t="e">
        <f>VLOOKUP(Salidas[[#This Row],[CODIGO ]],Inventari_2[],8,FALSE)</f>
        <v>#N/A</v>
      </c>
      <c r="G253" s="44" t="e">
        <f>Salidas[[#This Row],[PRECIO]]*Salidas[[#This Row],[CANTIDAD]]</f>
        <v>#N/A</v>
      </c>
      <c r="H253" s="84" t="e">
        <f>VLOOKUP(Salidas[[#This Row],[CODIGO ]],Inventario[],10,FALSE)*Salidas[[#This Row],[CANTIDAD]]</f>
        <v>#N/A</v>
      </c>
      <c r="I253" s="62"/>
    </row>
    <row r="254" spans="1:9" s="47" customFormat="1" ht="40.5" customHeight="1">
      <c r="A254" s="60"/>
      <c r="B254" s="61"/>
      <c r="C254" s="86"/>
      <c r="D254" s="83" t="str">
        <f>IFERROR(INDEX(Inventari_2[#All],MATCH(Salidas[[#This Row],[CODIGO ]],Inventari_2[[#Headers],[#Data],[CODIGO]],0),2),"")</f>
        <v/>
      </c>
      <c r="E254">
        <v>1</v>
      </c>
      <c r="F254" s="63" t="e">
        <f>VLOOKUP(Salidas[[#This Row],[CODIGO ]],Inventari_2[],8,FALSE)</f>
        <v>#N/A</v>
      </c>
      <c r="G254" s="44" t="e">
        <f>Salidas[[#This Row],[PRECIO]]*Salidas[[#This Row],[CANTIDAD]]</f>
        <v>#N/A</v>
      </c>
      <c r="H254" s="84" t="e">
        <f>VLOOKUP(Salidas[[#This Row],[CODIGO ]],Inventario[],10,FALSE)*Salidas[[#This Row],[CANTIDAD]]</f>
        <v>#N/A</v>
      </c>
      <c r="I254" s="62"/>
    </row>
    <row r="255" spans="1:9" s="47" customFormat="1" ht="40.5" customHeight="1">
      <c r="A255" s="60"/>
      <c r="B255" s="61"/>
      <c r="C255" s="86"/>
      <c r="D255" s="83" t="str">
        <f>IFERROR(INDEX(Inventari_2[#All],MATCH(Salidas[[#This Row],[CODIGO ]],Inventari_2[[#Headers],[#Data],[CODIGO]],0),2),"")</f>
        <v/>
      </c>
      <c r="E255">
        <v>1</v>
      </c>
      <c r="F255" s="63" t="e">
        <f>VLOOKUP(Salidas[[#This Row],[CODIGO ]],Inventari_2[],8,FALSE)</f>
        <v>#N/A</v>
      </c>
      <c r="G255" s="44" t="e">
        <f>Salidas[[#This Row],[PRECIO]]*Salidas[[#This Row],[CANTIDAD]]</f>
        <v>#N/A</v>
      </c>
      <c r="H255" s="84" t="e">
        <f>VLOOKUP(Salidas[[#This Row],[CODIGO ]],Inventario[],10,FALSE)*Salidas[[#This Row],[CANTIDAD]]</f>
        <v>#N/A</v>
      </c>
      <c r="I255" s="62"/>
    </row>
    <row r="256" spans="1:9" ht="40.5" customHeight="1">
      <c r="A256" s="60"/>
      <c r="B256" s="61"/>
      <c r="C256" s="86"/>
      <c r="D256" s="83" t="str">
        <f>IFERROR(INDEX(Inventari_2[#All],MATCH(Salidas[[#This Row],[CODIGO ]],Inventari_2[[#Headers],[#Data],[CODIGO]],0),2),"")</f>
        <v/>
      </c>
      <c r="E256">
        <v>1</v>
      </c>
      <c r="F256" s="63" t="e">
        <f>VLOOKUP(Salidas[[#This Row],[CODIGO ]],Inventari_2[],8,FALSE)</f>
        <v>#N/A</v>
      </c>
      <c r="G256" s="44" t="e">
        <f>Salidas[[#This Row],[PRECIO]]*Salidas[[#This Row],[CANTIDAD]]</f>
        <v>#N/A</v>
      </c>
      <c r="H256" s="84" t="e">
        <f>VLOOKUP(Salidas[[#This Row],[CODIGO ]],Inventario[],10,FALSE)*Salidas[[#This Row],[CANTIDAD]]</f>
        <v>#N/A</v>
      </c>
      <c r="I256" s="62"/>
    </row>
    <row r="257" spans="1:9" ht="40.5" customHeight="1">
      <c r="A257" s="60"/>
      <c r="B257" s="61"/>
      <c r="C257" s="86"/>
      <c r="D257" s="83" t="str">
        <f>IFERROR(INDEX(Inventari_2[#All],MATCH(Salidas[[#This Row],[CODIGO ]],Inventari_2[[#Headers],[#Data],[CODIGO]],0),2),"")</f>
        <v/>
      </c>
      <c r="E257">
        <v>1</v>
      </c>
      <c r="F257" s="63" t="e">
        <f>VLOOKUP(Salidas[[#This Row],[CODIGO ]],Inventari_2[],8,FALSE)</f>
        <v>#N/A</v>
      </c>
      <c r="G257" s="44" t="e">
        <f>Salidas[[#This Row],[PRECIO]]*Salidas[[#This Row],[CANTIDAD]]</f>
        <v>#N/A</v>
      </c>
      <c r="H257" s="84" t="e">
        <f>VLOOKUP(Salidas[[#This Row],[CODIGO ]],Inventario[],10,FALSE)*Salidas[[#This Row],[CANTIDAD]]</f>
        <v>#N/A</v>
      </c>
      <c r="I257" s="62"/>
    </row>
    <row r="258" spans="1:9" ht="40.5" customHeight="1">
      <c r="A258" s="60"/>
      <c r="B258" s="61"/>
      <c r="C258" s="86"/>
      <c r="D258" s="83" t="str">
        <f>IFERROR(INDEX(Inventari_2[#All],MATCH(Salidas[[#This Row],[CODIGO ]],Inventari_2[[#Headers],[#Data],[CODIGO]],0),2),"")</f>
        <v/>
      </c>
      <c r="E258">
        <v>1</v>
      </c>
      <c r="F258" s="63" t="e">
        <f>VLOOKUP(Salidas[[#This Row],[CODIGO ]],Inventari_2[],8,FALSE)</f>
        <v>#N/A</v>
      </c>
      <c r="G258" s="44" t="e">
        <f>Salidas[[#This Row],[PRECIO]]*Salidas[[#This Row],[CANTIDAD]]</f>
        <v>#N/A</v>
      </c>
      <c r="H258" s="84" t="e">
        <f>VLOOKUP(Salidas[[#This Row],[CODIGO ]],Inventario[],10,FALSE)*Salidas[[#This Row],[CANTIDAD]]</f>
        <v>#N/A</v>
      </c>
      <c r="I258" s="62"/>
    </row>
    <row r="259" spans="1:9" s="57" customFormat="1" ht="40.5" customHeight="1">
      <c r="A259" s="60"/>
      <c r="B259" s="61"/>
      <c r="C259" s="86"/>
      <c r="D259" s="83" t="str">
        <f>IFERROR(INDEX(Inventari_2[#All],MATCH(Salidas[[#This Row],[CODIGO ]],Inventari_2[[#Headers],[#Data],[CODIGO]],0),2),"")</f>
        <v/>
      </c>
      <c r="E259">
        <v>1</v>
      </c>
      <c r="F259" s="63" t="e">
        <f>VLOOKUP(Salidas[[#This Row],[CODIGO ]],Inventari_2[],8,FALSE)</f>
        <v>#N/A</v>
      </c>
      <c r="G259" s="44" t="e">
        <f>Salidas[[#This Row],[PRECIO]]*Salidas[[#This Row],[CANTIDAD]]</f>
        <v>#N/A</v>
      </c>
      <c r="H259" s="84" t="e">
        <f>VLOOKUP(Salidas[[#This Row],[CODIGO ]],Inventario[],10,FALSE)*Salidas[[#This Row],[CANTIDAD]]</f>
        <v>#N/A</v>
      </c>
    </row>
    <row r="260" spans="1:9" ht="40.5" customHeight="1">
      <c r="A260" s="60"/>
      <c r="B260" s="61"/>
      <c r="C260" s="86"/>
      <c r="D260" s="83" t="str">
        <f>IFERROR(INDEX(Inventari_2[#All],MATCH(Salidas[[#This Row],[CODIGO ]],Inventari_2[[#Headers],[#Data],[CODIGO]],0),2),"")</f>
        <v/>
      </c>
      <c r="E260">
        <v>1</v>
      </c>
      <c r="F260" s="63" t="e">
        <f>VLOOKUP(Salidas[[#This Row],[CODIGO ]],Inventari_2[],8,FALSE)</f>
        <v>#N/A</v>
      </c>
      <c r="G260" s="44" t="e">
        <f>Salidas[[#This Row],[PRECIO]]*Salidas[[#This Row],[CANTIDAD]]</f>
        <v>#N/A</v>
      </c>
      <c r="H260" s="84" t="e">
        <f>VLOOKUP(Salidas[[#This Row],[CODIGO ]],Inventario[],10,FALSE)*Salidas[[#This Row],[CANTIDAD]]</f>
        <v>#N/A</v>
      </c>
    </row>
    <row r="261" spans="1:9" ht="40.5" customHeight="1">
      <c r="A261" s="60"/>
      <c r="B261" s="61"/>
      <c r="C261" s="86"/>
      <c r="D261" s="83" t="str">
        <f>IFERROR(INDEX(Inventari_2[#All],MATCH(Salidas[[#This Row],[CODIGO ]],Inventari_2[[#Headers],[#Data],[CODIGO]],0),2),"")</f>
        <v/>
      </c>
      <c r="E261">
        <v>1</v>
      </c>
      <c r="F261" s="63" t="e">
        <f>VLOOKUP(Salidas[[#This Row],[CODIGO ]],Inventari_2[],8,FALSE)</f>
        <v>#N/A</v>
      </c>
      <c r="G261" s="44" t="e">
        <f>Salidas[[#This Row],[PRECIO]]*Salidas[[#This Row],[CANTIDAD]]</f>
        <v>#N/A</v>
      </c>
      <c r="H261" s="84" t="e">
        <f>VLOOKUP(Salidas[[#This Row],[CODIGO ]],Inventario[],10,FALSE)*Salidas[[#This Row],[CANTIDAD]]</f>
        <v>#N/A</v>
      </c>
    </row>
    <row r="262" spans="1:9" s="57" customFormat="1" ht="40.5" customHeight="1">
      <c r="A262" s="60"/>
      <c r="B262" s="61"/>
      <c r="C262" s="86"/>
      <c r="D262" s="83" t="str">
        <f>IFERROR(INDEX(Inventari_2[#All],MATCH(Salidas[[#This Row],[CODIGO ]],Inventari_2[[#Headers],[#Data],[CODIGO]],0),2),"")</f>
        <v/>
      </c>
      <c r="E262">
        <v>1</v>
      </c>
      <c r="F262" s="63" t="e">
        <f>VLOOKUP(Salidas[[#This Row],[CODIGO ]],Inventari_2[],8,FALSE)</f>
        <v>#N/A</v>
      </c>
      <c r="G262" s="44" t="e">
        <f>Salidas[[#This Row],[PRECIO]]*Salidas[[#This Row],[CANTIDAD]]</f>
        <v>#N/A</v>
      </c>
      <c r="H262" s="84" t="e">
        <f>VLOOKUP(Salidas[[#This Row],[CODIGO ]],Inventario[],10,FALSE)*Salidas[[#This Row],[CANTIDAD]]</f>
        <v>#N/A</v>
      </c>
    </row>
    <row r="263" spans="1:9" ht="40.5" customHeight="1">
      <c r="A263" s="60"/>
      <c r="B263" s="61"/>
      <c r="C263" s="86"/>
      <c r="D263" s="83" t="str">
        <f>IFERROR(INDEX(Inventari_2[#All],MATCH(Salidas[[#This Row],[CODIGO ]],Inventari_2[[#Headers],[#Data],[CODIGO]],0),2),"")</f>
        <v/>
      </c>
      <c r="E263">
        <v>1</v>
      </c>
      <c r="F263" s="63" t="e">
        <f>VLOOKUP(Salidas[[#This Row],[CODIGO ]],Inventari_2[],8,FALSE)</f>
        <v>#N/A</v>
      </c>
      <c r="G263" s="44" t="e">
        <f>Salidas[[#This Row],[PRECIO]]*Salidas[[#This Row],[CANTIDAD]]</f>
        <v>#N/A</v>
      </c>
      <c r="H263" s="84" t="e">
        <f>VLOOKUP(Salidas[[#This Row],[CODIGO ]],Inventario[],10,FALSE)*Salidas[[#This Row],[CANTIDAD]]</f>
        <v>#N/A</v>
      </c>
    </row>
    <row r="264" spans="1:9" ht="40.5" customHeight="1">
      <c r="A264" s="60"/>
      <c r="B264" s="61"/>
      <c r="C264" s="86"/>
      <c r="D264" s="83" t="str">
        <f>IFERROR(INDEX(Inventari_2[#All],MATCH(Salidas[[#This Row],[CODIGO ]],Inventari_2[[#Headers],[#Data],[CODIGO]],0),2),"")</f>
        <v/>
      </c>
      <c r="E264">
        <v>1</v>
      </c>
      <c r="F264" s="63" t="e">
        <f>VLOOKUP(Salidas[[#This Row],[CODIGO ]],Inventari_2[],8,FALSE)</f>
        <v>#N/A</v>
      </c>
      <c r="G264" s="44" t="e">
        <f>Salidas[[#This Row],[PRECIO]]*Salidas[[#This Row],[CANTIDAD]]</f>
        <v>#N/A</v>
      </c>
      <c r="H264" s="84" t="e">
        <f>VLOOKUP(Salidas[[#This Row],[CODIGO ]],Inventario[],10,FALSE)*Salidas[[#This Row],[CANTIDAD]]</f>
        <v>#N/A</v>
      </c>
    </row>
    <row r="265" spans="1:9" ht="40.5" customHeight="1">
      <c r="A265" s="55"/>
      <c r="B265" s="56"/>
      <c r="C265" s="86"/>
      <c r="D265" s="83" t="str">
        <f>IFERROR(INDEX(Inventari_2[#All],MATCH(Salidas[[#This Row],[CODIGO ]],Inventari_2[[#Headers],[#Data],[CODIGO]],0),2),"")</f>
        <v/>
      </c>
      <c r="E265">
        <v>1</v>
      </c>
      <c r="F265" s="58" t="e">
        <f>VLOOKUP(Salidas[[#This Row],[CODIGO ]],Inventari_2[],8,FALSE)</f>
        <v>#N/A</v>
      </c>
      <c r="G265" s="44" t="e">
        <f>Salidas[[#This Row],[PRECIO]]*Salidas[[#This Row],[CANTIDAD]]</f>
        <v>#N/A</v>
      </c>
      <c r="H265" s="84" t="e">
        <f>VLOOKUP(Salidas[[#This Row],[CODIGO ]],Inventario[],10,FALSE)*Salidas[[#This Row],[CANTIDAD]]</f>
        <v>#N/A</v>
      </c>
    </row>
    <row r="266" spans="1:9" ht="40.5" customHeight="1">
      <c r="A266" s="18"/>
      <c r="B266" s="20"/>
      <c r="C266" s="86"/>
      <c r="D266" s="83" t="str">
        <f>IFERROR(INDEX(Inventari_2[#All],MATCH(Salidas[[#This Row],[CODIGO ]],Inventari_2[[#Headers],[#Data],[CODIGO]],0),2),"")</f>
        <v/>
      </c>
      <c r="E266">
        <v>1</v>
      </c>
      <c r="F266" s="43" t="e">
        <f>VLOOKUP(Salidas[[#This Row],[CODIGO ]],Inventari_2[],8,FALSE)</f>
        <v>#N/A</v>
      </c>
      <c r="G266" s="44" t="e">
        <f>Salidas[[#This Row],[PRECIO]]*Salidas[[#This Row],[CANTIDAD]]</f>
        <v>#N/A</v>
      </c>
      <c r="H266" s="84" t="e">
        <f>VLOOKUP(Salidas[[#This Row],[CODIGO ]],Inventario[],10,FALSE)*Salidas[[#This Row],[CANTIDAD]]</f>
        <v>#N/A</v>
      </c>
    </row>
    <row r="267" spans="1:9" ht="40.5" customHeight="1">
      <c r="A267" s="18"/>
      <c r="B267" s="20"/>
      <c r="C267" s="86"/>
      <c r="D267" s="83" t="str">
        <f>IFERROR(INDEX(Inventari_2[#All],MATCH(Salidas[[#This Row],[CODIGO ]],Inventari_2[[#Headers],[#Data],[CODIGO]],0),2),"")</f>
        <v/>
      </c>
      <c r="E267">
        <v>1</v>
      </c>
      <c r="F267" s="43" t="e">
        <f>VLOOKUP(Salidas[[#This Row],[CODIGO ]],Inventari_2[],8,FALSE)</f>
        <v>#N/A</v>
      </c>
      <c r="G267" s="44" t="e">
        <f>Salidas[[#This Row],[PRECIO]]*Salidas[[#This Row],[CANTIDAD]]</f>
        <v>#N/A</v>
      </c>
      <c r="H267" s="84" t="e">
        <f>VLOOKUP(Salidas[[#This Row],[CODIGO ]],Inventario[],10,FALSE)*Salidas[[#This Row],[CANTIDAD]]</f>
        <v>#N/A</v>
      </c>
    </row>
    <row r="268" spans="1:9" s="57" customFormat="1" ht="40.5" customHeight="1">
      <c r="A268" s="55"/>
      <c r="B268" s="56"/>
      <c r="C268" s="86"/>
      <c r="D268" s="83" t="str">
        <f>IFERROR(INDEX(Inventari_2[#All],MATCH(Salidas[[#This Row],[CODIGO ]],Inventari_2[[#Headers],[#Data],[CODIGO]],0),2),"")</f>
        <v/>
      </c>
      <c r="E268">
        <v>1</v>
      </c>
      <c r="F268" s="58" t="e">
        <f>VLOOKUP(Salidas[[#This Row],[CODIGO ]],Inventari_2[],8,FALSE)</f>
        <v>#N/A</v>
      </c>
      <c r="G268" s="44" t="e">
        <f>Salidas[[#This Row],[PRECIO]]*Salidas[[#This Row],[CANTIDAD]]</f>
        <v>#N/A</v>
      </c>
      <c r="H268" s="84" t="e">
        <f>VLOOKUP(Salidas[[#This Row],[CODIGO ]],Inventario[],10,FALSE)*Salidas[[#This Row],[CANTIDAD]]</f>
        <v>#N/A</v>
      </c>
    </row>
    <row r="269" spans="1:9" ht="40.5" customHeight="1">
      <c r="A269" s="18"/>
      <c r="B269" s="20"/>
      <c r="C269" s="86"/>
      <c r="D269" s="83" t="str">
        <f>IFERROR(INDEX(Inventari_2[#All],MATCH(Salidas[[#This Row],[CODIGO ]],Inventari_2[[#Headers],[#Data],[CODIGO]],0),2),"")</f>
        <v/>
      </c>
      <c r="E269">
        <v>1</v>
      </c>
      <c r="F269" s="43" t="e">
        <f>VLOOKUP(Salidas[[#This Row],[CODIGO ]],Inventari_2[],8,FALSE)</f>
        <v>#N/A</v>
      </c>
      <c r="G269" s="44" t="e">
        <f>Salidas[[#This Row],[PRECIO]]*Salidas[[#This Row],[CANTIDAD]]</f>
        <v>#N/A</v>
      </c>
      <c r="H269" s="84" t="e">
        <f>VLOOKUP(Salidas[[#This Row],[CODIGO ]],Inventario[],10,FALSE)*Salidas[[#This Row],[CANTIDAD]]</f>
        <v>#N/A</v>
      </c>
    </row>
    <row r="270" spans="1:9" ht="40.5" customHeight="1">
      <c r="A270" s="18"/>
      <c r="B270" s="20"/>
      <c r="C270" s="86"/>
      <c r="D270" s="83" t="str">
        <f>IFERROR(INDEX(Inventari_2[#All],MATCH(Salidas[[#This Row],[CODIGO ]],Inventari_2[[#Headers],[#Data],[CODIGO]],0),2),"")</f>
        <v/>
      </c>
      <c r="E270">
        <v>1</v>
      </c>
      <c r="F270" s="43" t="e">
        <f>VLOOKUP(Salidas[[#This Row],[CODIGO ]],Inventari_2[],8,FALSE)</f>
        <v>#N/A</v>
      </c>
      <c r="G270" s="44" t="e">
        <f>Salidas[[#This Row],[PRECIO]]*Salidas[[#This Row],[CANTIDAD]]</f>
        <v>#N/A</v>
      </c>
      <c r="H270" s="84" t="e">
        <f>VLOOKUP(Salidas[[#This Row],[CODIGO ]],Inventario[],10,FALSE)*Salidas[[#This Row],[CANTIDAD]]</f>
        <v>#N/A</v>
      </c>
    </row>
    <row r="271" spans="1:9" ht="40.5" customHeight="1">
      <c r="A271" s="18"/>
      <c r="B271" s="20"/>
      <c r="C271" s="86"/>
      <c r="D271" s="83" t="str">
        <f>IFERROR(INDEX(Inventari_2[#All],MATCH(Salidas[[#This Row],[CODIGO ]],Inventari_2[[#Headers],[#Data],[CODIGO]],0),2),"")</f>
        <v/>
      </c>
      <c r="E271">
        <v>1</v>
      </c>
      <c r="F271" s="43" t="e">
        <f>VLOOKUP(Salidas[[#This Row],[CODIGO ]],Inventari_2[],8,FALSE)</f>
        <v>#N/A</v>
      </c>
      <c r="G271" s="44" t="e">
        <f>Salidas[[#This Row],[PRECIO]]*Salidas[[#This Row],[CANTIDAD]]</f>
        <v>#N/A</v>
      </c>
      <c r="H271" s="84" t="e">
        <f>VLOOKUP(Salidas[[#This Row],[CODIGO ]],Inventario[],10,FALSE)*Salidas[[#This Row],[CANTIDAD]]</f>
        <v>#N/A</v>
      </c>
    </row>
    <row r="272" spans="1:9" ht="40.5" customHeight="1">
      <c r="A272" s="18"/>
      <c r="B272" s="20"/>
      <c r="C272" s="86"/>
      <c r="D272" s="83" t="str">
        <f>IFERROR(INDEX(Inventari_2[#All],MATCH(Salidas[[#This Row],[CODIGO ]],Inventari_2[[#Headers],[#Data],[CODIGO]],0),2),"")</f>
        <v/>
      </c>
      <c r="E272">
        <v>1</v>
      </c>
      <c r="F272" s="43" t="e">
        <f>VLOOKUP(Salidas[[#This Row],[CODIGO ]],Inventari_2[],8,FALSE)</f>
        <v>#N/A</v>
      </c>
      <c r="G272" s="44" t="e">
        <f>Salidas[[#This Row],[PRECIO]]*Salidas[[#This Row],[CANTIDAD]]</f>
        <v>#N/A</v>
      </c>
      <c r="H272" s="84" t="e">
        <f>VLOOKUP(Salidas[[#This Row],[CODIGO ]],Inventario[],10,FALSE)*Salidas[[#This Row],[CANTIDAD]]</f>
        <v>#N/A</v>
      </c>
    </row>
    <row r="273" spans="1:8" ht="40.5" customHeight="1">
      <c r="A273" s="18"/>
      <c r="B273" s="20"/>
      <c r="C273" s="86"/>
      <c r="D273" s="83" t="str">
        <f>IFERROR(INDEX(Inventari_2[#All],MATCH(Salidas[[#This Row],[CODIGO ]],Inventari_2[[#Headers],[#Data],[CODIGO]],0),2),"")</f>
        <v/>
      </c>
      <c r="E273">
        <v>1</v>
      </c>
      <c r="F273" s="43" t="e">
        <f>VLOOKUP(Salidas[[#This Row],[CODIGO ]],Inventari_2[],8,FALSE)</f>
        <v>#N/A</v>
      </c>
      <c r="G273" s="44" t="e">
        <f>Salidas[[#This Row],[PRECIO]]*Salidas[[#This Row],[CANTIDAD]]</f>
        <v>#N/A</v>
      </c>
      <c r="H273" s="84" t="e">
        <f>VLOOKUP(Salidas[[#This Row],[CODIGO ]],Inventario[],10,FALSE)*Salidas[[#This Row],[CANTIDAD]]</f>
        <v>#N/A</v>
      </c>
    </row>
    <row r="274" spans="1:8" ht="40.5" customHeight="1">
      <c r="A274" s="55"/>
      <c r="B274" s="56"/>
      <c r="C274" s="86"/>
      <c r="D274" s="83" t="str">
        <f>IFERROR(INDEX(Inventari_2[#All],MATCH(Salidas[[#This Row],[CODIGO ]],Inventari_2[[#Headers],[#Data],[CODIGO]],0),2),"")</f>
        <v/>
      </c>
      <c r="E274">
        <v>1</v>
      </c>
      <c r="F274" s="58" t="e">
        <f>VLOOKUP(Salidas[[#This Row],[CODIGO ]],Inventari_2[],8,FALSE)</f>
        <v>#N/A</v>
      </c>
      <c r="G274" s="44" t="e">
        <f>Salidas[[#This Row],[PRECIO]]*Salidas[[#This Row],[CANTIDAD]]</f>
        <v>#N/A</v>
      </c>
      <c r="H274" s="84" t="e">
        <f>VLOOKUP(Salidas[[#This Row],[CODIGO ]],Inventario[],10,FALSE)*Salidas[[#This Row],[CANTIDAD]]</f>
        <v>#N/A</v>
      </c>
    </row>
    <row r="275" spans="1:8" s="57" customFormat="1" ht="40.5" customHeight="1">
      <c r="A275" s="18"/>
      <c r="B275" s="20"/>
      <c r="C275" s="86"/>
      <c r="D275" s="83" t="str">
        <f>IFERROR(INDEX(Inventari_2[#All],MATCH(Salidas[[#This Row],[CODIGO ]],Inventari_2[[#Headers],[#Data],[CODIGO]],0),2),"")</f>
        <v/>
      </c>
      <c r="E275">
        <v>1</v>
      </c>
      <c r="F275" s="43" t="e">
        <f>VLOOKUP(Salidas[[#This Row],[CODIGO ]],Inventari_2[],8,FALSE)</f>
        <v>#N/A</v>
      </c>
      <c r="G275" s="44" t="e">
        <f>Salidas[[#This Row],[PRECIO]]*Salidas[[#This Row],[CANTIDAD]]</f>
        <v>#N/A</v>
      </c>
      <c r="H275" s="84" t="e">
        <f>VLOOKUP(Salidas[[#This Row],[CODIGO ]],Inventario[],10,FALSE)*Salidas[[#This Row],[CANTIDAD]]</f>
        <v>#N/A</v>
      </c>
    </row>
    <row r="276" spans="1:8" ht="40.5" customHeight="1">
      <c r="A276" s="18"/>
      <c r="B276" s="20"/>
      <c r="C276" s="86"/>
      <c r="D276" s="83" t="str">
        <f>IFERROR(INDEX(Inventari_2[#All],MATCH(Salidas[[#This Row],[CODIGO ]],Inventari_2[[#Headers],[#Data],[CODIGO]],0),2),"")</f>
        <v/>
      </c>
      <c r="E276">
        <v>1</v>
      </c>
      <c r="F276" s="43" t="e">
        <f>VLOOKUP(Salidas[[#This Row],[CODIGO ]],Inventari_2[],8,FALSE)</f>
        <v>#N/A</v>
      </c>
      <c r="G276" s="44" t="e">
        <f>Salidas[[#This Row],[PRECIO]]*Salidas[[#This Row],[CANTIDAD]]</f>
        <v>#N/A</v>
      </c>
      <c r="H276" s="84" t="e">
        <f>VLOOKUP(Salidas[[#This Row],[CODIGO ]],Inventario[],10,FALSE)*Salidas[[#This Row],[CANTIDAD]]</f>
        <v>#N/A</v>
      </c>
    </row>
    <row r="277" spans="1:8" ht="40.5" customHeight="1">
      <c r="A277" s="18"/>
      <c r="B277" s="20"/>
      <c r="C277" s="86"/>
      <c r="D277" s="83" t="str">
        <f>IFERROR(INDEX(Inventari_2[#All],MATCH(Salidas[[#This Row],[CODIGO ]],Inventari_2[[#Headers],[#Data],[CODIGO]],0),2),"")</f>
        <v/>
      </c>
      <c r="E277">
        <v>1</v>
      </c>
      <c r="F277" s="43" t="e">
        <f>VLOOKUP(Salidas[[#This Row],[CODIGO ]],Inventari_2[],8,FALSE)</f>
        <v>#N/A</v>
      </c>
      <c r="G277" s="44" t="e">
        <f>Salidas[[#This Row],[PRECIO]]*Salidas[[#This Row],[CANTIDAD]]</f>
        <v>#N/A</v>
      </c>
      <c r="H277" s="84" t="e">
        <f>VLOOKUP(Salidas[[#This Row],[CODIGO ]],Inventario[],10,FALSE)*Salidas[[#This Row],[CANTIDAD]]</f>
        <v>#N/A</v>
      </c>
    </row>
    <row r="278" spans="1:8" ht="40.5" customHeight="1">
      <c r="A278" s="18"/>
      <c r="B278" s="20"/>
      <c r="C278" s="86"/>
      <c r="D278" s="83" t="str">
        <f>IFERROR(INDEX(Inventari_2[#All],MATCH(Salidas[[#This Row],[CODIGO ]],Inventari_2[[#Headers],[#Data],[CODIGO]],0),2),"")</f>
        <v/>
      </c>
      <c r="E278">
        <v>1</v>
      </c>
      <c r="F278" s="43" t="e">
        <f>VLOOKUP(Salidas[[#This Row],[CODIGO ]],Inventari_2[],8,FALSE)</f>
        <v>#N/A</v>
      </c>
      <c r="G278" s="44" t="e">
        <f>Salidas[[#This Row],[PRECIO]]*Salidas[[#This Row],[CANTIDAD]]</f>
        <v>#N/A</v>
      </c>
      <c r="H278" s="84" t="e">
        <f>VLOOKUP(Salidas[[#This Row],[CODIGO ]],Inventario[],10,FALSE)*Salidas[[#This Row],[CANTIDAD]]</f>
        <v>#N/A</v>
      </c>
    </row>
    <row r="279" spans="1:8" ht="40.5" customHeight="1">
      <c r="A279" s="18"/>
      <c r="B279" s="20"/>
      <c r="C279" s="86"/>
      <c r="D279" s="83" t="str">
        <f>IFERROR(INDEX(Inventari_2[#All],MATCH(Salidas[[#This Row],[CODIGO ]],Inventari_2[[#Headers],[#Data],[CODIGO]],0),2),"")</f>
        <v/>
      </c>
      <c r="E279">
        <v>1</v>
      </c>
      <c r="F279" s="43" t="e">
        <f>VLOOKUP(Salidas[[#This Row],[CODIGO ]],Inventari_2[],8,FALSE)</f>
        <v>#N/A</v>
      </c>
      <c r="G279" s="44" t="e">
        <f>Salidas[[#This Row],[PRECIO]]*Salidas[[#This Row],[CANTIDAD]]</f>
        <v>#N/A</v>
      </c>
      <c r="H279" s="84" t="e">
        <f>VLOOKUP(Salidas[[#This Row],[CODIGO ]],Inventario[],10,FALSE)*Salidas[[#This Row],[CANTIDAD]]</f>
        <v>#N/A</v>
      </c>
    </row>
    <row r="280" spans="1:8" ht="40.5" customHeight="1">
      <c r="A280" s="18"/>
      <c r="B280" s="20"/>
      <c r="C280" s="86"/>
      <c r="D280" s="83" t="str">
        <f>IFERROR(INDEX(Inventari_2[#All],MATCH(Salidas[[#This Row],[CODIGO ]],Inventari_2[[#Headers],[#Data],[CODIGO]],0),2),"")</f>
        <v/>
      </c>
      <c r="E280">
        <v>1</v>
      </c>
      <c r="F280" s="43" t="e">
        <f>VLOOKUP(Salidas[[#This Row],[CODIGO ]],Inventari_2[],8,FALSE)</f>
        <v>#N/A</v>
      </c>
      <c r="G280" s="44" t="e">
        <f>Salidas[[#This Row],[PRECIO]]*Salidas[[#This Row],[CANTIDAD]]</f>
        <v>#N/A</v>
      </c>
      <c r="H280" s="84" t="e">
        <f>VLOOKUP(Salidas[[#This Row],[CODIGO ]],Inventario[],10,FALSE)*Salidas[[#This Row],[CANTIDAD]]</f>
        <v>#N/A</v>
      </c>
    </row>
    <row r="281" spans="1:8" ht="40.5" customHeight="1">
      <c r="A281" s="55"/>
      <c r="B281" s="56"/>
      <c r="C281" s="86"/>
      <c r="D281" s="83" t="str">
        <f>IFERROR(INDEX(Inventari_2[#All],MATCH(Salidas[[#This Row],[CODIGO ]],Inventari_2[[#Headers],[#Data],[CODIGO]],0),2),"")</f>
        <v/>
      </c>
      <c r="E281">
        <v>1</v>
      </c>
      <c r="F281" s="58" t="e">
        <f>VLOOKUP(Salidas[[#This Row],[CODIGO ]],Inventari_2[],8,FALSE)</f>
        <v>#N/A</v>
      </c>
      <c r="G281" s="44" t="e">
        <f>Salidas[[#This Row],[PRECIO]]*Salidas[[#This Row],[CANTIDAD]]</f>
        <v>#N/A</v>
      </c>
      <c r="H281" s="84" t="e">
        <f>VLOOKUP(Salidas[[#This Row],[CODIGO ]],Inventario[],10,FALSE)*Salidas[[#This Row],[CANTIDAD]]</f>
        <v>#N/A</v>
      </c>
    </row>
    <row r="282" spans="1:8" ht="40.5" customHeight="1">
      <c r="A282" s="18"/>
      <c r="B282" s="20"/>
      <c r="C282" s="86"/>
      <c r="D282" s="83" t="str">
        <f>IFERROR(INDEX(Inventari_2[#All],MATCH(Salidas[[#This Row],[CODIGO ]],Inventari_2[[#Headers],[#Data],[CODIGO]],0),2),"")</f>
        <v/>
      </c>
      <c r="E282">
        <v>1</v>
      </c>
      <c r="F282" s="43" t="e">
        <f>VLOOKUP(Salidas[[#This Row],[CODIGO ]],Inventari_2[],8,FALSE)</f>
        <v>#N/A</v>
      </c>
      <c r="G282" s="44" t="e">
        <f>Salidas[[#This Row],[PRECIO]]*Salidas[[#This Row],[CANTIDAD]]</f>
        <v>#N/A</v>
      </c>
      <c r="H282" s="84" t="e">
        <f>VLOOKUP(Salidas[[#This Row],[CODIGO ]],Inventario[],10,FALSE)*Salidas[[#This Row],[CANTIDAD]]</f>
        <v>#N/A</v>
      </c>
    </row>
    <row r="283" spans="1:8" ht="40.5" customHeight="1">
      <c r="A283" s="18"/>
      <c r="B283" s="20"/>
      <c r="C283" s="86"/>
      <c r="D283" s="83" t="str">
        <f>IFERROR(INDEX(Inventari_2[#All],MATCH(Salidas[[#This Row],[CODIGO ]],Inventari_2[[#Headers],[#Data],[CODIGO]],0),2),"")</f>
        <v/>
      </c>
      <c r="E283">
        <v>1</v>
      </c>
      <c r="F283" s="43" t="e">
        <f>VLOOKUP(Salidas[[#This Row],[CODIGO ]],Inventari_2[],8,FALSE)</f>
        <v>#N/A</v>
      </c>
      <c r="G283" s="44" t="e">
        <f>Salidas[[#This Row],[PRECIO]]*Salidas[[#This Row],[CANTIDAD]]</f>
        <v>#N/A</v>
      </c>
      <c r="H283" s="84" t="e">
        <f>VLOOKUP(Salidas[[#This Row],[CODIGO ]],Inventario[],10,FALSE)*Salidas[[#This Row],[CANTIDAD]]</f>
        <v>#N/A</v>
      </c>
    </row>
    <row r="284" spans="1:8" ht="40.5" customHeight="1">
      <c r="A284" s="18"/>
      <c r="B284" s="20"/>
      <c r="C284" s="86"/>
      <c r="D284" s="83" t="str">
        <f>IFERROR(INDEX(Inventari_2[#All],MATCH(Salidas[[#This Row],[CODIGO ]],Inventari_2[[#Headers],[#Data],[CODIGO]],0),2),"")</f>
        <v/>
      </c>
      <c r="E284">
        <v>1</v>
      </c>
      <c r="F284" s="43" t="e">
        <f>VLOOKUP(Salidas[[#This Row],[CODIGO ]],Inventari_2[],8,FALSE)</f>
        <v>#N/A</v>
      </c>
      <c r="G284" s="44" t="e">
        <f>Salidas[[#This Row],[PRECIO]]*Salidas[[#This Row],[CANTIDAD]]</f>
        <v>#N/A</v>
      </c>
      <c r="H284" s="84" t="e">
        <f>VLOOKUP(Salidas[[#This Row],[CODIGO ]],Inventario[],10,FALSE)*Salidas[[#This Row],[CANTIDAD]]</f>
        <v>#N/A</v>
      </c>
    </row>
    <row r="285" spans="1:8" ht="40.5" customHeight="1">
      <c r="A285" s="18"/>
      <c r="B285" s="20"/>
      <c r="C285" s="86"/>
      <c r="D285" s="83" t="str">
        <f>IFERROR(INDEX(Inventari_2[#All],MATCH(Salidas[[#This Row],[CODIGO ]],Inventari_2[[#Headers],[#Data],[CODIGO]],0),2),"")</f>
        <v/>
      </c>
      <c r="E285">
        <v>1</v>
      </c>
      <c r="F285" s="43" t="e">
        <f>VLOOKUP(Salidas[[#This Row],[CODIGO ]],Inventari_2[],8,FALSE)</f>
        <v>#N/A</v>
      </c>
      <c r="G285" s="44" t="e">
        <f>Salidas[[#This Row],[PRECIO]]*Salidas[[#This Row],[CANTIDAD]]</f>
        <v>#N/A</v>
      </c>
      <c r="H285" s="84" t="e">
        <f>VLOOKUP(Salidas[[#This Row],[CODIGO ]],Inventario[],10,FALSE)*Salidas[[#This Row],[CANTIDAD]]</f>
        <v>#N/A</v>
      </c>
    </row>
    <row r="286" spans="1:8" ht="40.5" customHeight="1">
      <c r="A286" s="18"/>
      <c r="B286" s="20"/>
      <c r="C286" s="86"/>
      <c r="D286" s="83" t="str">
        <f>IFERROR(INDEX(Inventari_2[#All],MATCH(Salidas[[#This Row],[CODIGO ]],Inventari_2[[#Headers],[#Data],[CODIGO]],0),2),"")</f>
        <v/>
      </c>
      <c r="E286">
        <v>1</v>
      </c>
      <c r="F286" s="43" t="e">
        <f>VLOOKUP(Salidas[[#This Row],[CODIGO ]],Inventari_2[],8,FALSE)</f>
        <v>#N/A</v>
      </c>
      <c r="G286" s="44" t="e">
        <f>Salidas[[#This Row],[PRECIO]]*Salidas[[#This Row],[CANTIDAD]]</f>
        <v>#N/A</v>
      </c>
      <c r="H286" s="84" t="e">
        <f>VLOOKUP(Salidas[[#This Row],[CODIGO ]],Inventario[],10,FALSE)*Salidas[[#This Row],[CANTIDAD]]</f>
        <v>#N/A</v>
      </c>
    </row>
    <row r="287" spans="1:8" ht="40.5" customHeight="1">
      <c r="A287" s="18"/>
      <c r="B287" s="20"/>
      <c r="C287" s="86"/>
      <c r="D287" s="83" t="str">
        <f>IFERROR(INDEX(Inventari_2[#All],MATCH(Salidas[[#This Row],[CODIGO ]],Inventari_2[[#Headers],[#Data],[CODIGO]],0),2),"")</f>
        <v/>
      </c>
      <c r="E287">
        <v>1</v>
      </c>
      <c r="F287" s="43" t="e">
        <f>VLOOKUP(Salidas[[#This Row],[CODIGO ]],Inventari_2[],8,FALSE)</f>
        <v>#N/A</v>
      </c>
      <c r="G287" s="44" t="e">
        <f>Salidas[[#This Row],[PRECIO]]*Salidas[[#This Row],[CANTIDAD]]</f>
        <v>#N/A</v>
      </c>
      <c r="H287" s="84" t="e">
        <f>VLOOKUP(Salidas[[#This Row],[CODIGO ]],Inventario[],10,FALSE)*Salidas[[#This Row],[CANTIDAD]]</f>
        <v>#N/A</v>
      </c>
    </row>
    <row r="288" spans="1:8" ht="40.5" customHeight="1">
      <c r="A288" s="18"/>
      <c r="B288" s="20"/>
      <c r="C288" s="86"/>
      <c r="D288" s="83" t="str">
        <f>IFERROR(INDEX(Inventari_2[#All],MATCH(Salidas[[#This Row],[CODIGO ]],Inventari_2[[#Headers],[#Data],[CODIGO]],0),2),"")</f>
        <v/>
      </c>
      <c r="E288">
        <v>1</v>
      </c>
      <c r="F288" s="43" t="e">
        <f>VLOOKUP(Salidas[[#This Row],[CODIGO ]],Inventari_2[],8,FALSE)</f>
        <v>#N/A</v>
      </c>
      <c r="G288" s="44" t="e">
        <f>Salidas[[#This Row],[PRECIO]]*Salidas[[#This Row],[CANTIDAD]]</f>
        <v>#N/A</v>
      </c>
      <c r="H288" s="84" t="e">
        <f>VLOOKUP(Salidas[[#This Row],[CODIGO ]],Inventario[],10,FALSE)*Salidas[[#This Row],[CANTIDAD]]</f>
        <v>#N/A</v>
      </c>
    </row>
    <row r="289" spans="1:8" ht="40.5" customHeight="1">
      <c r="A289" s="18"/>
      <c r="B289" s="20"/>
      <c r="C289" s="86"/>
      <c r="D289" s="83" t="str">
        <f>IFERROR(INDEX(Inventari_2[#All],MATCH(Salidas[[#This Row],[CODIGO ]],Inventari_2[[#Headers],[#Data],[CODIGO]],0),2),"")</f>
        <v/>
      </c>
      <c r="E289">
        <v>1</v>
      </c>
      <c r="F289" s="43" t="e">
        <f>VLOOKUP(Salidas[[#This Row],[CODIGO ]],Inventari_2[],8,FALSE)</f>
        <v>#N/A</v>
      </c>
      <c r="G289" s="44" t="e">
        <f>Salidas[[#This Row],[PRECIO]]*Salidas[[#This Row],[CANTIDAD]]</f>
        <v>#N/A</v>
      </c>
      <c r="H289" s="84" t="e">
        <f>VLOOKUP(Salidas[[#This Row],[CODIGO ]],Inventario[],10,FALSE)*Salidas[[#This Row],[CANTIDAD]]</f>
        <v>#N/A</v>
      </c>
    </row>
    <row r="290" spans="1:8" ht="40.5" customHeight="1">
      <c r="A290" s="18"/>
      <c r="B290" s="20"/>
      <c r="C290" s="86"/>
      <c r="D290" s="83" t="str">
        <f>IFERROR(INDEX(Inventari_2[#All],MATCH(Salidas[[#This Row],[CODIGO ]],Inventari_2[[#Headers],[#Data],[CODIGO]],0),2),"")</f>
        <v/>
      </c>
      <c r="E290">
        <v>1</v>
      </c>
      <c r="F290" s="43" t="e">
        <f>VLOOKUP(Salidas[[#This Row],[CODIGO ]],Inventari_2[],8,FALSE)</f>
        <v>#N/A</v>
      </c>
      <c r="G290" s="44" t="e">
        <f>Salidas[[#This Row],[PRECIO]]*Salidas[[#This Row],[CANTIDAD]]</f>
        <v>#N/A</v>
      </c>
      <c r="H290" s="84" t="e">
        <f>VLOOKUP(Salidas[[#This Row],[CODIGO ]],Inventario[],10,FALSE)*Salidas[[#This Row],[CANTIDAD]]</f>
        <v>#N/A</v>
      </c>
    </row>
    <row r="291" spans="1:8" ht="40.5" customHeight="1">
      <c r="A291" s="18"/>
      <c r="B291" s="20"/>
      <c r="C291" s="86"/>
      <c r="D291" s="83" t="str">
        <f>IFERROR(INDEX(Inventari_2[#All],MATCH(Salidas[[#This Row],[CODIGO ]],Inventari_2[[#Headers],[#Data],[CODIGO]],0),2),"")</f>
        <v/>
      </c>
      <c r="E291">
        <v>1</v>
      </c>
      <c r="F291" s="43" t="e">
        <f>VLOOKUP(Salidas[[#This Row],[CODIGO ]],Inventari_2[],8,FALSE)</f>
        <v>#N/A</v>
      </c>
      <c r="G291" s="44" t="e">
        <f>Salidas[[#This Row],[PRECIO]]*Salidas[[#This Row],[CANTIDAD]]</f>
        <v>#N/A</v>
      </c>
      <c r="H291" s="84" t="e">
        <f>VLOOKUP(Salidas[[#This Row],[CODIGO ]],Inventario[],10,FALSE)*Salidas[[#This Row],[CANTIDAD]]</f>
        <v>#N/A</v>
      </c>
    </row>
    <row r="292" spans="1:8" ht="40.5" customHeight="1">
      <c r="A292" s="18"/>
      <c r="B292" s="20"/>
      <c r="C292" s="86"/>
      <c r="D292" s="83" t="str">
        <f>IFERROR(INDEX(Inventari_2[#All],MATCH(Salidas[[#This Row],[CODIGO ]],Inventari_2[[#Headers],[#Data],[CODIGO]],0),2),"")</f>
        <v/>
      </c>
      <c r="E292">
        <v>1</v>
      </c>
      <c r="F292" s="43" t="e">
        <f>VLOOKUP(Salidas[[#This Row],[CODIGO ]],Inventari_2[],8,FALSE)</f>
        <v>#N/A</v>
      </c>
      <c r="G292" s="44" t="e">
        <f>Salidas[[#This Row],[PRECIO]]*Salidas[[#This Row],[CANTIDAD]]</f>
        <v>#N/A</v>
      </c>
      <c r="H292" s="84" t="e">
        <f>VLOOKUP(Salidas[[#This Row],[CODIGO ]],Inventario[],10,FALSE)*Salidas[[#This Row],[CANTIDAD]]</f>
        <v>#N/A</v>
      </c>
    </row>
    <row r="293" spans="1:8" ht="40.5" customHeight="1">
      <c r="A293" s="18"/>
      <c r="B293" s="20"/>
      <c r="C293" s="86"/>
      <c r="D293" s="83" t="str">
        <f>IFERROR(INDEX(Inventari_2[#All],MATCH(Salidas[[#This Row],[CODIGO ]],Inventari_2[[#Headers],[#Data],[CODIGO]],0),2),"")</f>
        <v/>
      </c>
      <c r="E293">
        <v>1</v>
      </c>
      <c r="F293" s="43" t="e">
        <f>VLOOKUP(Salidas[[#This Row],[CODIGO ]],Inventari_2[],8,FALSE)</f>
        <v>#N/A</v>
      </c>
      <c r="G293" s="44" t="e">
        <f>Salidas[[#This Row],[PRECIO]]*Salidas[[#This Row],[CANTIDAD]]</f>
        <v>#N/A</v>
      </c>
      <c r="H293" s="84" t="e">
        <f>VLOOKUP(Salidas[[#This Row],[CODIGO ]],Inventario[],10,FALSE)*Salidas[[#This Row],[CANTIDAD]]</f>
        <v>#N/A</v>
      </c>
    </row>
    <row r="294" spans="1:8" ht="40.5" customHeight="1">
      <c r="A294" s="18"/>
      <c r="B294" s="20"/>
      <c r="C294" s="86"/>
      <c r="D294" s="83" t="str">
        <f>IFERROR(INDEX(Inventari_2[#All],MATCH(Salidas[[#This Row],[CODIGO ]],Inventari_2[[#Headers],[#Data],[CODIGO]],0),2),"")</f>
        <v/>
      </c>
      <c r="E294">
        <v>1</v>
      </c>
      <c r="F294" s="43" t="e">
        <f>VLOOKUP(Salidas[[#This Row],[CODIGO ]],Inventari_2[],8,FALSE)</f>
        <v>#N/A</v>
      </c>
      <c r="G294" s="44" t="e">
        <f>Salidas[[#This Row],[PRECIO]]*Salidas[[#This Row],[CANTIDAD]]</f>
        <v>#N/A</v>
      </c>
      <c r="H294" s="84" t="e">
        <f>VLOOKUP(Salidas[[#This Row],[CODIGO ]],Inventario[],10,FALSE)*Salidas[[#This Row],[CANTIDAD]]</f>
        <v>#N/A</v>
      </c>
    </row>
    <row r="295" spans="1:8" ht="40.5" customHeight="1">
      <c r="A295" s="18"/>
      <c r="B295" s="20"/>
      <c r="C295" s="86"/>
      <c r="D295" s="83" t="str">
        <f>IFERROR(INDEX(Inventari_2[#All],MATCH(Salidas[[#This Row],[CODIGO ]],Inventari_2[[#Headers],[#Data],[CODIGO]],0),2),"")</f>
        <v/>
      </c>
      <c r="E295">
        <v>1</v>
      </c>
      <c r="F295" s="43" t="e">
        <f>VLOOKUP(Salidas[[#This Row],[CODIGO ]],Inventari_2[],8,FALSE)</f>
        <v>#N/A</v>
      </c>
      <c r="G295" s="44" t="e">
        <f>Salidas[[#This Row],[PRECIO]]*Salidas[[#This Row],[CANTIDAD]]</f>
        <v>#N/A</v>
      </c>
      <c r="H295" s="84" t="e">
        <f>VLOOKUP(Salidas[[#This Row],[CODIGO ]],Inventario[],10,FALSE)*Salidas[[#This Row],[CANTIDAD]]</f>
        <v>#N/A</v>
      </c>
    </row>
    <row r="296" spans="1:8" ht="40.5" customHeight="1">
      <c r="A296" s="18"/>
      <c r="B296" s="20"/>
      <c r="C296" s="86"/>
      <c r="D296" s="83" t="str">
        <f>IFERROR(INDEX(Inventari_2[#All],MATCH(Salidas[[#This Row],[CODIGO ]],Inventari_2[[#Headers],[#Data],[CODIGO]],0),2),"")</f>
        <v/>
      </c>
      <c r="E296">
        <v>1</v>
      </c>
      <c r="F296" s="43" t="e">
        <f>VLOOKUP(Salidas[[#This Row],[CODIGO ]],Inventari_2[],8,FALSE)</f>
        <v>#N/A</v>
      </c>
      <c r="G296" s="44" t="e">
        <f>Salidas[[#This Row],[PRECIO]]*Salidas[[#This Row],[CANTIDAD]]</f>
        <v>#N/A</v>
      </c>
      <c r="H296" s="84" t="e">
        <f>VLOOKUP(Salidas[[#This Row],[CODIGO ]],Inventario[],10,FALSE)*Salidas[[#This Row],[CANTIDAD]]</f>
        <v>#N/A</v>
      </c>
    </row>
    <row r="297" spans="1:8" ht="40.5" customHeight="1">
      <c r="A297" s="18"/>
      <c r="B297" s="20"/>
      <c r="C297" s="86"/>
      <c r="D297" s="83" t="str">
        <f>IFERROR(INDEX(Inventari_2[#All],MATCH(Salidas[[#This Row],[CODIGO ]],Inventari_2[[#Headers],[#Data],[CODIGO]],0),2),"")</f>
        <v/>
      </c>
      <c r="E297">
        <v>1</v>
      </c>
      <c r="F297" s="43" t="e">
        <f>VLOOKUP(Salidas[[#This Row],[CODIGO ]],Inventari_2[],8,FALSE)</f>
        <v>#N/A</v>
      </c>
      <c r="G297" s="44" t="e">
        <f>Salidas[[#This Row],[PRECIO]]*Salidas[[#This Row],[CANTIDAD]]</f>
        <v>#N/A</v>
      </c>
      <c r="H297" s="84" t="e">
        <f>VLOOKUP(Salidas[[#This Row],[CODIGO ]],Inventario[],10,FALSE)*Salidas[[#This Row],[CANTIDAD]]</f>
        <v>#N/A</v>
      </c>
    </row>
    <row r="298" spans="1:8" ht="40.5" customHeight="1">
      <c r="A298" s="18"/>
      <c r="B298" s="20"/>
      <c r="C298" s="86"/>
      <c r="D298" s="83" t="str">
        <f>IFERROR(INDEX(Inventari_2[#All],MATCH(Salidas[[#This Row],[CODIGO ]],Inventari_2[[#Headers],[#Data],[CODIGO]],0),2),"")</f>
        <v/>
      </c>
      <c r="E298">
        <v>1</v>
      </c>
      <c r="F298" s="43" t="e">
        <f>VLOOKUP(Salidas[[#This Row],[CODIGO ]],Inventari_2[],8,FALSE)</f>
        <v>#N/A</v>
      </c>
      <c r="G298" s="44" t="e">
        <f>Salidas[[#This Row],[PRECIO]]*Salidas[[#This Row],[CANTIDAD]]</f>
        <v>#N/A</v>
      </c>
      <c r="H298" s="84" t="e">
        <f>VLOOKUP(Salidas[[#This Row],[CODIGO ]],Inventario[],10,FALSE)*Salidas[[#This Row],[CANTIDAD]]</f>
        <v>#N/A</v>
      </c>
    </row>
    <row r="299" spans="1:8" ht="40.5" customHeight="1">
      <c r="A299" s="18"/>
      <c r="B299" s="20"/>
      <c r="C299" s="86"/>
      <c r="D299" s="83" t="str">
        <f>IFERROR(INDEX(Inventari_2[#All],MATCH(Salidas[[#This Row],[CODIGO ]],Inventari_2[[#Headers],[#Data],[CODIGO]],0),2),"")</f>
        <v/>
      </c>
      <c r="E299">
        <v>1</v>
      </c>
      <c r="F299" s="43" t="e">
        <f>VLOOKUP(Salidas[[#This Row],[CODIGO ]],Inventari_2[],8,FALSE)</f>
        <v>#N/A</v>
      </c>
      <c r="G299" s="44" t="e">
        <f>Salidas[[#This Row],[PRECIO]]*Salidas[[#This Row],[CANTIDAD]]</f>
        <v>#N/A</v>
      </c>
      <c r="H299" s="84" t="e">
        <f>VLOOKUP(Salidas[[#This Row],[CODIGO ]],Inventario[],10,FALSE)*Salidas[[#This Row],[CANTIDAD]]</f>
        <v>#N/A</v>
      </c>
    </row>
    <row r="300" spans="1:8" ht="40.5" customHeight="1">
      <c r="A300" s="18"/>
      <c r="B300" s="20"/>
      <c r="C300" s="86"/>
      <c r="D300" s="83" t="str">
        <f>IFERROR(INDEX(Inventari_2[#All],MATCH(Salidas[[#This Row],[CODIGO ]],Inventari_2[[#Headers],[#Data],[CODIGO]],0),2),"")</f>
        <v/>
      </c>
      <c r="E300">
        <v>1</v>
      </c>
      <c r="F300" s="43" t="e">
        <f>VLOOKUP(Salidas[[#This Row],[CODIGO ]],Inventari_2[],8,FALSE)</f>
        <v>#N/A</v>
      </c>
      <c r="G300" s="44" t="e">
        <f>Salidas[[#This Row],[PRECIO]]*Salidas[[#This Row],[CANTIDAD]]</f>
        <v>#N/A</v>
      </c>
      <c r="H300" s="84" t="e">
        <f>VLOOKUP(Salidas[[#This Row],[CODIGO ]],Inventario[],10,FALSE)*Salidas[[#This Row],[CANTIDAD]]</f>
        <v>#N/A</v>
      </c>
    </row>
    <row r="301" spans="1:8" ht="40.5" customHeight="1">
      <c r="A301" s="18"/>
      <c r="B301" s="20"/>
      <c r="C301" s="86"/>
      <c r="D301" s="83" t="str">
        <f>IFERROR(INDEX(Inventari_2[#All],MATCH(Salidas[[#This Row],[CODIGO ]],Inventari_2[[#Headers],[#Data],[CODIGO]],0),2),"")</f>
        <v/>
      </c>
      <c r="E301">
        <v>1</v>
      </c>
      <c r="F301" s="43" t="e">
        <f>VLOOKUP(Salidas[[#This Row],[CODIGO ]],Inventari_2[],8,FALSE)</f>
        <v>#N/A</v>
      </c>
      <c r="G301" s="44" t="e">
        <f>Salidas[[#This Row],[PRECIO]]*Salidas[[#This Row],[CANTIDAD]]</f>
        <v>#N/A</v>
      </c>
      <c r="H301" s="84" t="e">
        <f>VLOOKUP(Salidas[[#This Row],[CODIGO ]],Inventario[],10,FALSE)*Salidas[[#This Row],[CANTIDAD]]</f>
        <v>#N/A</v>
      </c>
    </row>
    <row r="302" spans="1:8" ht="40.5" customHeight="1">
      <c r="A302" s="18"/>
      <c r="B302" s="20"/>
      <c r="C302" s="86"/>
      <c r="D302" s="83" t="str">
        <f>IFERROR(INDEX(Inventari_2[#All],MATCH(Salidas[[#This Row],[CODIGO ]],Inventari_2[[#Headers],[#Data],[CODIGO]],0),2),"")</f>
        <v/>
      </c>
      <c r="E302">
        <v>1</v>
      </c>
      <c r="F302" s="43" t="e">
        <f>VLOOKUP(Salidas[[#This Row],[CODIGO ]],Inventari_2[],8,FALSE)</f>
        <v>#N/A</v>
      </c>
      <c r="G302" s="44" t="e">
        <f>Salidas[[#This Row],[PRECIO]]*Salidas[[#This Row],[CANTIDAD]]</f>
        <v>#N/A</v>
      </c>
      <c r="H302" s="84" t="e">
        <f>VLOOKUP(Salidas[[#This Row],[CODIGO ]],Inventario[],10,FALSE)*Salidas[[#This Row],[CANTIDAD]]</f>
        <v>#N/A</v>
      </c>
    </row>
    <row r="303" spans="1:8" ht="40.5" customHeight="1">
      <c r="A303" s="18"/>
      <c r="B303" s="20"/>
      <c r="C303" s="86"/>
      <c r="D303" s="83" t="str">
        <f>IFERROR(INDEX(Inventari_2[#All],MATCH(Salidas[[#This Row],[CODIGO ]],Inventari_2[[#Headers],[#Data],[CODIGO]],0),2),"")</f>
        <v/>
      </c>
      <c r="E303">
        <v>1</v>
      </c>
      <c r="F303" s="43" t="e">
        <f>VLOOKUP(Salidas[[#This Row],[CODIGO ]],Inventari_2[],8,FALSE)</f>
        <v>#N/A</v>
      </c>
      <c r="G303" s="44" t="e">
        <f>Salidas[[#This Row],[PRECIO]]*Salidas[[#This Row],[CANTIDAD]]</f>
        <v>#N/A</v>
      </c>
      <c r="H303" s="84" t="e">
        <f>VLOOKUP(Salidas[[#This Row],[CODIGO ]],Inventario[],10,FALSE)*Salidas[[#This Row],[CANTIDAD]]</f>
        <v>#N/A</v>
      </c>
    </row>
    <row r="304" spans="1:8" ht="40.5" customHeight="1">
      <c r="A304" s="18"/>
      <c r="B304" s="20"/>
      <c r="C304" s="86"/>
      <c r="D304" s="83" t="str">
        <f>IFERROR(INDEX(Inventari_2[#All],MATCH(Salidas[[#This Row],[CODIGO ]],Inventari_2[[#Headers],[#Data],[CODIGO]],0),2),"")</f>
        <v/>
      </c>
      <c r="E304">
        <v>1</v>
      </c>
      <c r="F304" s="43" t="e">
        <f>VLOOKUP(Salidas[[#This Row],[CODIGO ]],Inventari_2[],8,FALSE)</f>
        <v>#N/A</v>
      </c>
      <c r="G304" s="44" t="e">
        <f>Salidas[[#This Row],[PRECIO]]*Salidas[[#This Row],[CANTIDAD]]</f>
        <v>#N/A</v>
      </c>
      <c r="H304" s="84" t="e">
        <f>VLOOKUP(Salidas[[#This Row],[CODIGO ]],Inventario[],10,FALSE)*Salidas[[#This Row],[CANTIDAD]]</f>
        <v>#N/A</v>
      </c>
    </row>
    <row r="305" spans="1:8" ht="40.5" customHeight="1">
      <c r="A305" s="18"/>
      <c r="B305" s="20"/>
      <c r="C305" s="86"/>
      <c r="D305" s="83" t="str">
        <f>IFERROR(INDEX(Inventari_2[#All],MATCH(Salidas[[#This Row],[CODIGO ]],Inventari_2[[#Headers],[#Data],[CODIGO]],0),2),"")</f>
        <v/>
      </c>
      <c r="E305">
        <v>1</v>
      </c>
      <c r="F305" s="43" t="e">
        <f>VLOOKUP(Salidas[[#This Row],[CODIGO ]],Inventari_2[],8,FALSE)</f>
        <v>#N/A</v>
      </c>
      <c r="G305" s="44" t="e">
        <f>Salidas[[#This Row],[PRECIO]]*Salidas[[#This Row],[CANTIDAD]]</f>
        <v>#N/A</v>
      </c>
      <c r="H305" s="84" t="e">
        <f>VLOOKUP(Salidas[[#This Row],[CODIGO ]],Inventario[],10,FALSE)*Salidas[[#This Row],[CANTIDAD]]</f>
        <v>#N/A</v>
      </c>
    </row>
    <row r="306" spans="1:8" ht="40.5" customHeight="1">
      <c r="A306" s="18"/>
      <c r="B306" s="20"/>
      <c r="C306" s="86"/>
      <c r="D306" s="83" t="str">
        <f>IFERROR(INDEX(Inventari_2[#All],MATCH(Salidas[[#This Row],[CODIGO ]],Inventari_2[[#Headers],[#Data],[CODIGO]],0),2),"")</f>
        <v/>
      </c>
      <c r="E306">
        <v>1</v>
      </c>
      <c r="F306" s="43" t="e">
        <f>VLOOKUP(Salidas[[#This Row],[CODIGO ]],Inventari_2[],8,FALSE)</f>
        <v>#N/A</v>
      </c>
      <c r="G306" s="44" t="e">
        <f>Salidas[[#This Row],[PRECIO]]*Salidas[[#This Row],[CANTIDAD]]</f>
        <v>#N/A</v>
      </c>
      <c r="H306" s="84" t="e">
        <f>VLOOKUP(Salidas[[#This Row],[CODIGO ]],Inventario[],10,FALSE)*Salidas[[#This Row],[CANTIDAD]]</f>
        <v>#N/A</v>
      </c>
    </row>
    <row r="307" spans="1:8" ht="40.5" customHeight="1">
      <c r="A307" s="18"/>
      <c r="B307" s="20"/>
      <c r="C307" s="86"/>
      <c r="D307" s="83" t="str">
        <f>IFERROR(INDEX(Inventari_2[#All],MATCH(Salidas[[#This Row],[CODIGO ]],Inventari_2[[#Headers],[#Data],[CODIGO]],0),2),"")</f>
        <v/>
      </c>
      <c r="E307">
        <v>1</v>
      </c>
      <c r="F307" s="43" t="e">
        <f>VLOOKUP(Salidas[[#This Row],[CODIGO ]],Inventari_2[],8,FALSE)</f>
        <v>#N/A</v>
      </c>
      <c r="G307" s="44" t="e">
        <f>Salidas[[#This Row],[PRECIO]]*Salidas[[#This Row],[CANTIDAD]]</f>
        <v>#N/A</v>
      </c>
      <c r="H307" s="84" t="e">
        <f>VLOOKUP(Salidas[[#This Row],[CODIGO ]],Inventario[],10,FALSE)*Salidas[[#This Row],[CANTIDAD]]</f>
        <v>#N/A</v>
      </c>
    </row>
    <row r="308" spans="1:8" ht="40.5" customHeight="1">
      <c r="A308" s="18"/>
      <c r="B308" s="20"/>
      <c r="C308" s="86"/>
      <c r="D308" s="83" t="str">
        <f>IFERROR(INDEX(Inventari_2[#All],MATCH(Salidas[[#This Row],[CODIGO ]],Inventari_2[[#Headers],[#Data],[CODIGO]],0),2),"")</f>
        <v/>
      </c>
      <c r="E308">
        <v>1</v>
      </c>
      <c r="F308" s="43" t="e">
        <f>VLOOKUP(Salidas[[#This Row],[CODIGO ]],Inventari_2[],8,FALSE)</f>
        <v>#N/A</v>
      </c>
      <c r="G308" s="44" t="e">
        <f>Salidas[[#This Row],[PRECIO]]*Salidas[[#This Row],[CANTIDAD]]</f>
        <v>#N/A</v>
      </c>
      <c r="H308" s="84" t="e">
        <f>VLOOKUP(Salidas[[#This Row],[CODIGO ]],Inventario[],10,FALSE)*Salidas[[#This Row],[CANTIDAD]]</f>
        <v>#N/A</v>
      </c>
    </row>
    <row r="309" spans="1:8" ht="40.5" customHeight="1">
      <c r="A309" s="18"/>
      <c r="B309" s="20"/>
      <c r="C309" s="86"/>
      <c r="D309" s="83" t="str">
        <f>IFERROR(INDEX(Inventari_2[#All],MATCH(Salidas[[#This Row],[CODIGO ]],Inventari_2[[#Headers],[#Data],[CODIGO]],0),2),"")</f>
        <v/>
      </c>
      <c r="E309">
        <v>1</v>
      </c>
      <c r="F309" s="43" t="e">
        <f>VLOOKUP(Salidas[[#This Row],[CODIGO ]],Inventari_2[],8,FALSE)</f>
        <v>#N/A</v>
      </c>
      <c r="G309" s="44" t="e">
        <f>Salidas[[#This Row],[PRECIO]]*Salidas[[#This Row],[CANTIDAD]]</f>
        <v>#N/A</v>
      </c>
      <c r="H309" s="84" t="e">
        <f>VLOOKUP(Salidas[[#This Row],[CODIGO ]],Inventario[],10,FALSE)*Salidas[[#This Row],[CANTIDAD]]</f>
        <v>#N/A</v>
      </c>
    </row>
    <row r="310" spans="1:8" ht="40.5" customHeight="1">
      <c r="A310" s="18"/>
      <c r="B310" s="20"/>
      <c r="C310" s="86"/>
      <c r="D310" s="83" t="str">
        <f>IFERROR(INDEX(Inventari_2[#All],MATCH(Salidas[[#This Row],[CODIGO ]],Inventari_2[[#Headers],[#Data],[CODIGO]],0),2),"")</f>
        <v/>
      </c>
      <c r="E310">
        <v>1</v>
      </c>
      <c r="F310" s="43" t="e">
        <f>VLOOKUP(Salidas[[#This Row],[CODIGO ]],Inventari_2[],8,FALSE)</f>
        <v>#N/A</v>
      </c>
      <c r="G310" s="44" t="e">
        <f>Salidas[[#This Row],[PRECIO]]*Salidas[[#This Row],[CANTIDAD]]</f>
        <v>#N/A</v>
      </c>
      <c r="H310" s="84" t="e">
        <f>VLOOKUP(Salidas[[#This Row],[CODIGO ]],Inventario[],10,FALSE)*Salidas[[#This Row],[CANTIDAD]]</f>
        <v>#N/A</v>
      </c>
    </row>
    <row r="311" spans="1:8" ht="40.5" customHeight="1">
      <c r="A311" s="18"/>
      <c r="B311" s="20"/>
      <c r="C311" s="86"/>
      <c r="D311" s="83" t="str">
        <f>IFERROR(INDEX(Inventari_2[#All],MATCH(Salidas[[#This Row],[CODIGO ]],Inventari_2[[#Headers],[#Data],[CODIGO]],0),2),"")</f>
        <v/>
      </c>
      <c r="E311">
        <v>1</v>
      </c>
      <c r="F311" s="43" t="e">
        <f>VLOOKUP(Salidas[[#This Row],[CODIGO ]],Inventari_2[],8,FALSE)</f>
        <v>#N/A</v>
      </c>
      <c r="G311" s="44" t="e">
        <f>Salidas[[#This Row],[PRECIO]]*Salidas[[#This Row],[CANTIDAD]]</f>
        <v>#N/A</v>
      </c>
      <c r="H311" s="84" t="e">
        <f>VLOOKUP(Salidas[[#This Row],[CODIGO ]],Inventario[],10,FALSE)*Salidas[[#This Row],[CANTIDAD]]</f>
        <v>#N/A</v>
      </c>
    </row>
    <row r="312" spans="1:8" ht="40.5" customHeight="1">
      <c r="A312" s="18"/>
      <c r="B312" s="20"/>
      <c r="C312" s="86"/>
      <c r="D312" s="83" t="str">
        <f>IFERROR(INDEX(Inventari_2[#All],MATCH(Salidas[[#This Row],[CODIGO ]],Inventari_2[[#Headers],[#Data],[CODIGO]],0),2),"")</f>
        <v/>
      </c>
      <c r="E312">
        <v>1</v>
      </c>
      <c r="F312" s="43" t="e">
        <f>VLOOKUP(Salidas[[#This Row],[CODIGO ]],Inventari_2[],8,FALSE)</f>
        <v>#N/A</v>
      </c>
      <c r="G312" s="44" t="e">
        <f>Salidas[[#This Row],[PRECIO]]*Salidas[[#This Row],[CANTIDAD]]</f>
        <v>#N/A</v>
      </c>
      <c r="H312" s="84" t="e">
        <f>VLOOKUP(Salidas[[#This Row],[CODIGO ]],Inventario[],10,FALSE)*Salidas[[#This Row],[CANTIDAD]]</f>
        <v>#N/A</v>
      </c>
    </row>
    <row r="313" spans="1:8" ht="40.5" customHeight="1">
      <c r="A313" s="18"/>
      <c r="B313" s="20"/>
      <c r="C313" s="86"/>
      <c r="D313" s="83" t="str">
        <f>IFERROR(INDEX(Inventari_2[#All],MATCH(Salidas[[#This Row],[CODIGO ]],Inventari_2[[#Headers],[#Data],[CODIGO]],0),2),"")</f>
        <v/>
      </c>
      <c r="E313">
        <v>1</v>
      </c>
      <c r="F313" s="43" t="e">
        <f>VLOOKUP(Salidas[[#This Row],[CODIGO ]],Inventari_2[],8,FALSE)</f>
        <v>#N/A</v>
      </c>
      <c r="G313" s="44" t="e">
        <f>Salidas[[#This Row],[PRECIO]]*Salidas[[#This Row],[CANTIDAD]]</f>
        <v>#N/A</v>
      </c>
      <c r="H313" s="84" t="e">
        <f>VLOOKUP(Salidas[[#This Row],[CODIGO ]],Inventario[],10,FALSE)*Salidas[[#This Row],[CANTIDAD]]</f>
        <v>#N/A</v>
      </c>
    </row>
    <row r="314" spans="1:8" ht="40.5" customHeight="1">
      <c r="A314" s="18"/>
      <c r="B314" s="20"/>
      <c r="C314" s="86"/>
      <c r="D314" s="83" t="str">
        <f>IFERROR(INDEX(Inventari_2[#All],MATCH(Salidas[[#This Row],[CODIGO ]],Inventari_2[[#Headers],[#Data],[CODIGO]],0),2),"")</f>
        <v/>
      </c>
      <c r="E314">
        <v>1</v>
      </c>
      <c r="F314" s="43" t="e">
        <f>VLOOKUP(Salidas[[#This Row],[CODIGO ]],Inventari_2[],8,FALSE)</f>
        <v>#N/A</v>
      </c>
      <c r="G314" s="44" t="e">
        <f>Salidas[[#This Row],[PRECIO]]*Salidas[[#This Row],[CANTIDAD]]</f>
        <v>#N/A</v>
      </c>
      <c r="H314" s="84" t="e">
        <f>VLOOKUP(Salidas[[#This Row],[CODIGO ]],Inventario[],10,FALSE)*Salidas[[#This Row],[CANTIDAD]]</f>
        <v>#N/A</v>
      </c>
    </row>
    <row r="315" spans="1:8" ht="40.5" customHeight="1">
      <c r="A315" s="18"/>
      <c r="B315" s="20"/>
      <c r="C315" s="86"/>
      <c r="D315" s="83" t="str">
        <f>IFERROR(INDEX(Inventari_2[#All],MATCH(Salidas[[#This Row],[CODIGO ]],Inventari_2[[#Headers],[#Data],[CODIGO]],0),2),"")</f>
        <v/>
      </c>
      <c r="E315">
        <v>1</v>
      </c>
      <c r="F315" s="43" t="e">
        <f>VLOOKUP(Salidas[[#This Row],[CODIGO ]],Inventari_2[],8,FALSE)</f>
        <v>#N/A</v>
      </c>
      <c r="G315" s="44" t="e">
        <f>Salidas[[#This Row],[PRECIO]]*Salidas[[#This Row],[CANTIDAD]]</f>
        <v>#N/A</v>
      </c>
      <c r="H315" s="84" t="e">
        <f>VLOOKUP(Salidas[[#This Row],[CODIGO ]],Inventario[],10,FALSE)*Salidas[[#This Row],[CANTIDAD]]</f>
        <v>#N/A</v>
      </c>
    </row>
    <row r="316" spans="1:8" ht="40.5" customHeight="1">
      <c r="A316" s="18"/>
      <c r="B316" s="20"/>
      <c r="C316" s="86"/>
      <c r="D316" s="83" t="str">
        <f>IFERROR(INDEX(Inventari_2[#All],MATCH(Salidas[[#This Row],[CODIGO ]],Inventari_2[[#Headers],[#Data],[CODIGO]],0),2),"")</f>
        <v/>
      </c>
      <c r="E316">
        <v>1</v>
      </c>
      <c r="F316" s="43" t="e">
        <f>VLOOKUP(Salidas[[#This Row],[CODIGO ]],Inventari_2[],8,FALSE)</f>
        <v>#N/A</v>
      </c>
      <c r="G316" s="44" t="e">
        <f>Salidas[[#This Row],[PRECIO]]*Salidas[[#This Row],[CANTIDAD]]</f>
        <v>#N/A</v>
      </c>
      <c r="H316" s="84" t="e">
        <f>VLOOKUP(Salidas[[#This Row],[CODIGO ]],Inventario[],10,FALSE)*Salidas[[#This Row],[CANTIDAD]]</f>
        <v>#N/A</v>
      </c>
    </row>
    <row r="317" spans="1:8" ht="40.5" customHeight="1">
      <c r="A317" s="18"/>
      <c r="B317" s="20"/>
      <c r="C317" s="86"/>
      <c r="D317" s="83" t="str">
        <f>IFERROR(INDEX(Inventari_2[#All],MATCH(Salidas[[#This Row],[CODIGO ]],Inventari_2[[#Headers],[#Data],[CODIGO]],0),2),"")</f>
        <v/>
      </c>
      <c r="E317">
        <v>1</v>
      </c>
      <c r="F317" s="43" t="e">
        <f>VLOOKUP(Salidas[[#This Row],[CODIGO ]],Inventari_2[],8,FALSE)</f>
        <v>#N/A</v>
      </c>
      <c r="G317" s="44" t="e">
        <f>Salidas[[#This Row],[PRECIO]]*Salidas[[#This Row],[CANTIDAD]]</f>
        <v>#N/A</v>
      </c>
      <c r="H317" s="84" t="e">
        <f>VLOOKUP(Salidas[[#This Row],[CODIGO ]],Inventario[],10,FALSE)*Salidas[[#This Row],[CANTIDAD]]</f>
        <v>#N/A</v>
      </c>
    </row>
    <row r="318" spans="1:8" ht="40.5" customHeight="1">
      <c r="A318" s="18"/>
      <c r="B318" s="20"/>
      <c r="C318" s="86"/>
      <c r="D318" s="83" t="str">
        <f>IFERROR(INDEX(Inventari_2[#All],MATCH(Salidas[[#This Row],[CODIGO ]],Inventari_2[[#Headers],[#Data],[CODIGO]],0),2),"")</f>
        <v/>
      </c>
      <c r="E318">
        <v>1</v>
      </c>
      <c r="F318" s="43" t="e">
        <f>VLOOKUP(Salidas[[#This Row],[CODIGO ]],Inventari_2[],8,FALSE)</f>
        <v>#N/A</v>
      </c>
      <c r="G318" s="44" t="e">
        <f>Salidas[[#This Row],[PRECIO]]*Salidas[[#This Row],[CANTIDAD]]</f>
        <v>#N/A</v>
      </c>
      <c r="H318" s="84" t="e">
        <f>VLOOKUP(Salidas[[#This Row],[CODIGO ]],Inventario[],10,FALSE)*Salidas[[#This Row],[CANTIDAD]]</f>
        <v>#N/A</v>
      </c>
    </row>
    <row r="319" spans="1:8" ht="40.5" customHeight="1">
      <c r="A319" s="18"/>
      <c r="B319" s="20"/>
      <c r="C319" s="86"/>
      <c r="D319" s="83" t="str">
        <f>IFERROR(INDEX(Inventari_2[#All],MATCH(Salidas[[#This Row],[CODIGO ]],Inventari_2[[#Headers],[#Data],[CODIGO]],0),2),"")</f>
        <v/>
      </c>
      <c r="E319">
        <v>1</v>
      </c>
      <c r="F319" s="43" t="e">
        <f>VLOOKUP(Salidas[[#This Row],[CODIGO ]],Inventari_2[],8,FALSE)</f>
        <v>#N/A</v>
      </c>
      <c r="G319" s="44" t="e">
        <f>Salidas[[#This Row],[PRECIO]]*Salidas[[#This Row],[CANTIDAD]]</f>
        <v>#N/A</v>
      </c>
      <c r="H319" s="84" t="e">
        <f>VLOOKUP(Salidas[[#This Row],[CODIGO ]],Inventario[],10,FALSE)*Salidas[[#This Row],[CANTIDAD]]</f>
        <v>#N/A</v>
      </c>
    </row>
    <row r="320" spans="1:8" ht="40.5" customHeight="1">
      <c r="A320" s="18"/>
      <c r="B320" s="20"/>
      <c r="C320" s="86"/>
      <c r="D320" s="83" t="str">
        <f>IFERROR(INDEX(Inventari_2[#All],MATCH(Salidas[[#This Row],[CODIGO ]],Inventari_2[[#Headers],[#Data],[CODIGO]],0),2),"")</f>
        <v/>
      </c>
      <c r="E320">
        <v>1</v>
      </c>
      <c r="F320" s="43" t="e">
        <f>VLOOKUP(Salidas[[#This Row],[CODIGO ]],Inventari_2[],8,FALSE)</f>
        <v>#N/A</v>
      </c>
      <c r="G320" s="44" t="e">
        <f>Salidas[[#This Row],[PRECIO]]*Salidas[[#This Row],[CANTIDAD]]</f>
        <v>#N/A</v>
      </c>
      <c r="H320" s="84" t="e">
        <f>VLOOKUP(Salidas[[#This Row],[CODIGO ]],Inventario[],10,FALSE)*Salidas[[#This Row],[CANTIDAD]]</f>
        <v>#N/A</v>
      </c>
    </row>
    <row r="321" spans="1:8" ht="40.5" customHeight="1">
      <c r="A321" s="18"/>
      <c r="B321" s="20"/>
      <c r="C321" s="86"/>
      <c r="D321" s="83" t="str">
        <f>IFERROR(INDEX(Inventari_2[#All],MATCH(Salidas[[#This Row],[CODIGO ]],Inventari_2[[#Headers],[#Data],[CODIGO]],0),2),"")</f>
        <v/>
      </c>
      <c r="E321">
        <v>1</v>
      </c>
      <c r="F321" s="43" t="e">
        <f>VLOOKUP(Salidas[[#This Row],[CODIGO ]],Inventari_2[],8,FALSE)</f>
        <v>#N/A</v>
      </c>
      <c r="G321" s="44" t="e">
        <f>Salidas[[#This Row],[PRECIO]]*Salidas[[#This Row],[CANTIDAD]]</f>
        <v>#N/A</v>
      </c>
      <c r="H321" s="84" t="e">
        <f>VLOOKUP(Salidas[[#This Row],[CODIGO ]],Inventario[],10,FALSE)*Salidas[[#This Row],[CANTIDAD]]</f>
        <v>#N/A</v>
      </c>
    </row>
    <row r="322" spans="1:8" ht="40.5" customHeight="1">
      <c r="A322" s="18"/>
      <c r="B322" s="20"/>
      <c r="C322" s="86"/>
      <c r="D322" s="83" t="str">
        <f>IFERROR(INDEX(Inventari_2[#All],MATCH(Salidas[[#This Row],[CODIGO ]],Inventari_2[[#Headers],[#Data],[CODIGO]],0),2),"")</f>
        <v/>
      </c>
      <c r="E322">
        <v>1</v>
      </c>
      <c r="F322" s="43" t="e">
        <f>VLOOKUP(Salidas[[#This Row],[CODIGO ]],Inventari_2[],8,FALSE)</f>
        <v>#N/A</v>
      </c>
      <c r="G322" s="44" t="e">
        <f>Salidas[[#This Row],[PRECIO]]*Salidas[[#This Row],[CANTIDAD]]</f>
        <v>#N/A</v>
      </c>
      <c r="H322" s="84" t="e">
        <f>VLOOKUP(Salidas[[#This Row],[CODIGO ]],Inventario[],10,FALSE)*Salidas[[#This Row],[CANTIDAD]]</f>
        <v>#N/A</v>
      </c>
    </row>
    <row r="323" spans="1:8" s="57" customFormat="1" ht="40.5" customHeight="1">
      <c r="A323" s="18"/>
      <c r="B323" s="20"/>
      <c r="C323" s="86"/>
      <c r="D323" s="83" t="str">
        <f>IFERROR(INDEX(Inventari_2[#All],MATCH(Salidas[[#This Row],[CODIGO ]],Inventari_2[[#Headers],[#Data],[CODIGO]],0),2),"")</f>
        <v/>
      </c>
      <c r="E323">
        <v>1</v>
      </c>
      <c r="F323" s="43" t="e">
        <f>VLOOKUP(Salidas[[#This Row],[CODIGO ]],Inventari_2[],8,FALSE)</f>
        <v>#N/A</v>
      </c>
      <c r="G323" s="44" t="e">
        <f>Salidas[[#This Row],[PRECIO]]*Salidas[[#This Row],[CANTIDAD]]</f>
        <v>#N/A</v>
      </c>
      <c r="H323" s="84" t="e">
        <f>VLOOKUP(Salidas[[#This Row],[CODIGO ]],Inventario[],10,FALSE)*Salidas[[#This Row],[CANTIDAD]]</f>
        <v>#N/A</v>
      </c>
    </row>
    <row r="324" spans="1:8" ht="40.5" customHeight="1">
      <c r="A324" s="18"/>
      <c r="B324" s="20"/>
      <c r="C324" s="86"/>
      <c r="D324" s="83" t="str">
        <f>IFERROR(INDEX(Inventari_2[#All],MATCH(Salidas[[#This Row],[CODIGO ]],Inventari_2[[#Headers],[#Data],[CODIGO]],0),2),"")</f>
        <v/>
      </c>
      <c r="E324">
        <v>1</v>
      </c>
      <c r="F324" s="43" t="e">
        <f>VLOOKUP(Salidas[[#This Row],[CODIGO ]],Inventari_2[],8,FALSE)</f>
        <v>#N/A</v>
      </c>
      <c r="G324" s="44" t="e">
        <f>Salidas[[#This Row],[PRECIO]]*Salidas[[#This Row],[CANTIDAD]]</f>
        <v>#N/A</v>
      </c>
      <c r="H324" s="84" t="e">
        <f>VLOOKUP(Salidas[[#This Row],[CODIGO ]],Inventario[],10,FALSE)*Salidas[[#This Row],[CANTIDAD]]</f>
        <v>#N/A</v>
      </c>
    </row>
    <row r="325" spans="1:8" ht="40.5" customHeight="1">
      <c r="A325" s="18"/>
      <c r="B325" s="20"/>
      <c r="C325" s="86"/>
      <c r="D325" s="83" t="str">
        <f>IFERROR(INDEX(Inventari_2[#All],MATCH(Salidas[[#This Row],[CODIGO ]],Inventari_2[[#Headers],[#Data],[CODIGO]],0),2),"")</f>
        <v/>
      </c>
      <c r="E325">
        <v>1</v>
      </c>
      <c r="F325" s="43" t="e">
        <f>VLOOKUP(Salidas[[#This Row],[CODIGO ]],Inventari_2[],8,FALSE)</f>
        <v>#N/A</v>
      </c>
      <c r="G325" s="44" t="e">
        <f>Salidas[[#This Row],[PRECIO]]*Salidas[[#This Row],[CANTIDAD]]</f>
        <v>#N/A</v>
      </c>
      <c r="H325" s="84" t="e">
        <f>VLOOKUP(Salidas[[#This Row],[CODIGO ]],Inventario[],10,FALSE)*Salidas[[#This Row],[CANTIDAD]]</f>
        <v>#N/A</v>
      </c>
    </row>
    <row r="326" spans="1:8" ht="40.5" customHeight="1">
      <c r="A326" s="55"/>
      <c r="B326" s="56"/>
      <c r="C326" s="86"/>
      <c r="D326" s="83" t="str">
        <f>IFERROR(INDEX(Inventari_2[#All],MATCH(Salidas[[#This Row],[CODIGO ]],Inventari_2[[#Headers],[#Data],[CODIGO]],0),2),"")</f>
        <v/>
      </c>
      <c r="E326">
        <v>1</v>
      </c>
      <c r="F326" s="58" t="e">
        <f>VLOOKUP(Salidas[[#This Row],[CODIGO ]],Inventari_2[],8,FALSE)</f>
        <v>#N/A</v>
      </c>
      <c r="G326" s="44" t="e">
        <f>Salidas[[#This Row],[PRECIO]]*Salidas[[#This Row],[CANTIDAD]]</f>
        <v>#N/A</v>
      </c>
      <c r="H326" s="84" t="e">
        <f>VLOOKUP(Salidas[[#This Row],[CODIGO ]],Inventario[],10,FALSE)*Salidas[[#This Row],[CANTIDAD]]</f>
        <v>#N/A</v>
      </c>
    </row>
    <row r="327" spans="1:8" ht="40.5" customHeight="1">
      <c r="A327" s="18"/>
      <c r="B327" s="20"/>
      <c r="C327" s="86"/>
      <c r="D327" s="83" t="str">
        <f>IFERROR(INDEX(Inventari_2[#All],MATCH(Salidas[[#This Row],[CODIGO ]],Inventari_2[[#Headers],[#Data],[CODIGO]],0),2),"")</f>
        <v/>
      </c>
      <c r="E327">
        <v>1</v>
      </c>
      <c r="F327" s="43" t="e">
        <f>VLOOKUP(Salidas[[#This Row],[CODIGO ]],Inventari_2[],8,FALSE)</f>
        <v>#N/A</v>
      </c>
      <c r="G327" s="44" t="e">
        <f>Salidas[[#This Row],[PRECIO]]*Salidas[[#This Row],[CANTIDAD]]</f>
        <v>#N/A</v>
      </c>
      <c r="H327" s="84" t="e">
        <f>VLOOKUP(Salidas[[#This Row],[CODIGO ]],Inventario[],10,FALSE)*Salidas[[#This Row],[CANTIDAD]]</f>
        <v>#N/A</v>
      </c>
    </row>
    <row r="328" spans="1:8" ht="40.5" customHeight="1">
      <c r="A328" s="18"/>
      <c r="B328" s="20"/>
      <c r="C328" s="86"/>
      <c r="D328" s="83" t="str">
        <f>IFERROR(INDEX(Inventari_2[#All],MATCH(Salidas[[#This Row],[CODIGO ]],Inventari_2[[#Headers],[#Data],[CODIGO]],0),2),"")</f>
        <v/>
      </c>
      <c r="E328">
        <v>1</v>
      </c>
      <c r="F328" s="43" t="e">
        <f>VLOOKUP(Salidas[[#This Row],[CODIGO ]],Inventari_2[],8,FALSE)</f>
        <v>#N/A</v>
      </c>
      <c r="G328" s="44" t="e">
        <f>Salidas[[#This Row],[PRECIO]]*Salidas[[#This Row],[CANTIDAD]]</f>
        <v>#N/A</v>
      </c>
      <c r="H328" s="84" t="e">
        <f>VLOOKUP(Salidas[[#This Row],[CODIGO ]],Inventario[],10,FALSE)*Salidas[[#This Row],[CANTIDAD]]</f>
        <v>#N/A</v>
      </c>
    </row>
    <row r="329" spans="1:8" ht="40.5" customHeight="1">
      <c r="A329" s="18"/>
      <c r="B329" s="20"/>
      <c r="C329" s="86"/>
      <c r="D329" s="83" t="str">
        <f>IFERROR(INDEX(Inventari_2[#All],MATCH(Salidas[[#This Row],[CODIGO ]],Inventari_2[[#Headers],[#Data],[CODIGO]],0),2),"")</f>
        <v/>
      </c>
      <c r="E329">
        <v>1</v>
      </c>
      <c r="F329" s="43" t="e">
        <f>VLOOKUP(Salidas[[#This Row],[CODIGO ]],Inventari_2[],8,FALSE)</f>
        <v>#N/A</v>
      </c>
      <c r="G329" s="44" t="e">
        <f>Salidas[[#This Row],[PRECIO]]*Salidas[[#This Row],[CANTIDAD]]</f>
        <v>#N/A</v>
      </c>
      <c r="H329" s="84" t="e">
        <f>VLOOKUP(Salidas[[#This Row],[CODIGO ]],Inventario[],10,FALSE)*Salidas[[#This Row],[CANTIDAD]]</f>
        <v>#N/A</v>
      </c>
    </row>
    <row r="330" spans="1:8" ht="40.5" customHeight="1">
      <c r="A330" s="18"/>
      <c r="B330" s="20"/>
      <c r="C330" s="86"/>
      <c r="D330" s="83" t="str">
        <f>IFERROR(INDEX(Inventari_2[#All],MATCH(Salidas[[#This Row],[CODIGO ]],Inventari_2[[#Headers],[#Data],[CODIGO]],0),2),"")</f>
        <v/>
      </c>
      <c r="E330">
        <v>1</v>
      </c>
      <c r="F330" s="43" t="e">
        <f>VLOOKUP(Salidas[[#This Row],[CODIGO ]],Inventari_2[],8,FALSE)</f>
        <v>#N/A</v>
      </c>
      <c r="G330" s="44" t="e">
        <f>Salidas[[#This Row],[PRECIO]]*Salidas[[#This Row],[CANTIDAD]]</f>
        <v>#N/A</v>
      </c>
      <c r="H330" s="84" t="e">
        <f>VLOOKUP(Salidas[[#This Row],[CODIGO ]],Inventario[],10,FALSE)*Salidas[[#This Row],[CANTIDAD]]</f>
        <v>#N/A</v>
      </c>
    </row>
    <row r="331" spans="1:8" ht="40.5" customHeight="1">
      <c r="A331" s="18"/>
      <c r="B331" s="20"/>
      <c r="C331" s="86"/>
      <c r="D331" s="83" t="str">
        <f>IFERROR(INDEX(Inventari_2[#All],MATCH(Salidas[[#This Row],[CODIGO ]],Inventari_2[[#Headers],[#Data],[CODIGO]],0),2),"")</f>
        <v/>
      </c>
      <c r="E331">
        <v>1</v>
      </c>
      <c r="F331" s="43" t="e">
        <f>VLOOKUP(Salidas[[#This Row],[CODIGO ]],Inventari_2[],8,FALSE)</f>
        <v>#N/A</v>
      </c>
      <c r="G331" s="44" t="e">
        <f>Salidas[[#This Row],[PRECIO]]*Salidas[[#This Row],[CANTIDAD]]</f>
        <v>#N/A</v>
      </c>
      <c r="H331" s="84" t="e">
        <f>VLOOKUP(Salidas[[#This Row],[CODIGO ]],Inventario[],10,FALSE)*Salidas[[#This Row],[CANTIDAD]]</f>
        <v>#N/A</v>
      </c>
    </row>
    <row r="332" spans="1:8" ht="40.5" customHeight="1">
      <c r="A332" s="18"/>
      <c r="B332" s="20"/>
      <c r="C332" s="86"/>
      <c r="D332" s="83" t="str">
        <f>IFERROR(INDEX(Inventari_2[#All],MATCH(Salidas[[#This Row],[CODIGO ]],Inventari_2[[#Headers],[#Data],[CODIGO]],0),2),"")</f>
        <v/>
      </c>
      <c r="E332">
        <v>1</v>
      </c>
      <c r="F332" s="43" t="e">
        <f>VLOOKUP(Salidas[[#This Row],[CODIGO ]],Inventari_2[],8,FALSE)</f>
        <v>#N/A</v>
      </c>
      <c r="G332" s="44" t="e">
        <f>Salidas[[#This Row],[PRECIO]]*Salidas[[#This Row],[CANTIDAD]]</f>
        <v>#N/A</v>
      </c>
      <c r="H332" s="84" t="e">
        <f>VLOOKUP(Salidas[[#This Row],[CODIGO ]],Inventario[],10,FALSE)*Salidas[[#This Row],[CANTIDAD]]</f>
        <v>#N/A</v>
      </c>
    </row>
    <row r="333" spans="1:8" ht="40.5" customHeight="1">
      <c r="A333" s="18"/>
      <c r="B333" s="20"/>
      <c r="C333" s="86"/>
      <c r="D333" s="83" t="str">
        <f>IFERROR(INDEX(Inventari_2[#All],MATCH(Salidas[[#This Row],[CODIGO ]],Inventari_2[[#Headers],[#Data],[CODIGO]],0),2),"")</f>
        <v/>
      </c>
      <c r="E333">
        <v>1</v>
      </c>
      <c r="F333" s="43" t="e">
        <f>VLOOKUP(Salidas[[#This Row],[CODIGO ]],Inventari_2[],8,FALSE)</f>
        <v>#N/A</v>
      </c>
      <c r="G333" s="44" t="e">
        <f>Salidas[[#This Row],[PRECIO]]*Salidas[[#This Row],[CANTIDAD]]</f>
        <v>#N/A</v>
      </c>
      <c r="H333" s="84" t="e">
        <f>VLOOKUP(Salidas[[#This Row],[CODIGO ]],Inventario[],10,FALSE)*Salidas[[#This Row],[CANTIDAD]]</f>
        <v>#N/A</v>
      </c>
    </row>
    <row r="334" spans="1:8" ht="40.5" customHeight="1">
      <c r="A334" s="18"/>
      <c r="B334" s="20"/>
      <c r="C334" s="86"/>
      <c r="D334" s="83" t="str">
        <f>IFERROR(INDEX(Inventari_2[#All],MATCH(Salidas[[#This Row],[CODIGO ]],Inventari_2[[#Headers],[#Data],[CODIGO]],0),2),"")</f>
        <v/>
      </c>
      <c r="E334">
        <v>1</v>
      </c>
      <c r="F334" s="43" t="e">
        <f>VLOOKUP(Salidas[[#This Row],[CODIGO ]],Inventari_2[],8,FALSE)</f>
        <v>#N/A</v>
      </c>
      <c r="G334" s="44" t="e">
        <f>Salidas[[#This Row],[PRECIO]]*Salidas[[#This Row],[CANTIDAD]]</f>
        <v>#N/A</v>
      </c>
      <c r="H334" s="84" t="e">
        <f>VLOOKUP(Salidas[[#This Row],[CODIGO ]],Inventario[],10,FALSE)*Salidas[[#This Row],[CANTIDAD]]</f>
        <v>#N/A</v>
      </c>
    </row>
    <row r="335" spans="1:8" ht="40.5" customHeight="1">
      <c r="A335" s="18"/>
      <c r="B335" s="20"/>
      <c r="C335" s="86"/>
      <c r="D335" s="83" t="str">
        <f>IFERROR(INDEX(Inventari_2[#All],MATCH(Salidas[[#This Row],[CODIGO ]],Inventari_2[[#Headers],[#Data],[CODIGO]],0),2),"")</f>
        <v/>
      </c>
      <c r="E335">
        <v>1</v>
      </c>
      <c r="F335" s="43" t="e">
        <f>VLOOKUP(Salidas[[#This Row],[CODIGO ]],Inventari_2[],8,FALSE)</f>
        <v>#N/A</v>
      </c>
      <c r="G335" s="44" t="e">
        <f>Salidas[[#This Row],[PRECIO]]*Salidas[[#This Row],[CANTIDAD]]</f>
        <v>#N/A</v>
      </c>
      <c r="H335" s="84" t="e">
        <f>VLOOKUP(Salidas[[#This Row],[CODIGO ]],Inventario[],10,FALSE)*Salidas[[#This Row],[CANTIDAD]]</f>
        <v>#N/A</v>
      </c>
    </row>
    <row r="336" spans="1:8" ht="40.5" customHeight="1">
      <c r="A336" s="18"/>
      <c r="B336" s="20"/>
      <c r="C336" s="86"/>
      <c r="D336" s="83" t="str">
        <f>IFERROR(INDEX(Inventari_2[#All],MATCH(Salidas[[#This Row],[CODIGO ]],Inventari_2[[#Headers],[#Data],[CODIGO]],0),2),"")</f>
        <v/>
      </c>
      <c r="E336">
        <v>1</v>
      </c>
      <c r="F336" s="43" t="e">
        <f>VLOOKUP(Salidas[[#This Row],[CODIGO ]],Inventari_2[],8,FALSE)</f>
        <v>#N/A</v>
      </c>
      <c r="G336" s="44" t="e">
        <f>Salidas[[#This Row],[PRECIO]]*Salidas[[#This Row],[CANTIDAD]]</f>
        <v>#N/A</v>
      </c>
      <c r="H336" s="84" t="e">
        <f>VLOOKUP(Salidas[[#This Row],[CODIGO ]],Inventario[],10,FALSE)*Salidas[[#This Row],[CANTIDAD]]</f>
        <v>#N/A</v>
      </c>
    </row>
    <row r="337" spans="1:8" ht="40.5" customHeight="1">
      <c r="A337" s="18"/>
      <c r="B337" s="20"/>
      <c r="C337" s="86"/>
      <c r="D337" s="83" t="str">
        <f>IFERROR(INDEX(Inventari_2[#All],MATCH(Salidas[[#This Row],[CODIGO ]],Inventari_2[[#Headers],[#Data],[CODIGO]],0),2),"")</f>
        <v/>
      </c>
      <c r="E337">
        <v>1</v>
      </c>
      <c r="F337" s="43" t="e">
        <f>VLOOKUP(Salidas[[#This Row],[CODIGO ]],Inventari_2[],8,FALSE)</f>
        <v>#N/A</v>
      </c>
      <c r="G337" s="44" t="e">
        <f>Salidas[[#This Row],[PRECIO]]*Salidas[[#This Row],[CANTIDAD]]</f>
        <v>#N/A</v>
      </c>
      <c r="H337" s="84" t="e">
        <f>VLOOKUP(Salidas[[#This Row],[CODIGO ]],Inventario[],10,FALSE)*Salidas[[#This Row],[CANTIDAD]]</f>
        <v>#N/A</v>
      </c>
    </row>
    <row r="338" spans="1:8" ht="40.5" customHeight="1">
      <c r="A338" s="18"/>
      <c r="B338" s="20"/>
      <c r="C338" s="86"/>
      <c r="D338" s="83" t="str">
        <f>IFERROR(INDEX(Inventari_2[#All],MATCH(Salidas[[#This Row],[CODIGO ]],Inventari_2[[#Headers],[#Data],[CODIGO]],0),2),"")</f>
        <v/>
      </c>
      <c r="E338">
        <v>1</v>
      </c>
      <c r="F338" s="43" t="e">
        <f>VLOOKUP(Salidas[[#This Row],[CODIGO ]],Inventari_2[],8,FALSE)</f>
        <v>#N/A</v>
      </c>
      <c r="G338" s="44" t="e">
        <f>Salidas[[#This Row],[PRECIO]]*Salidas[[#This Row],[CANTIDAD]]</f>
        <v>#N/A</v>
      </c>
      <c r="H338" s="84" t="e">
        <f>VLOOKUP(Salidas[[#This Row],[CODIGO ]],Inventario[],10,FALSE)*Salidas[[#This Row],[CANTIDAD]]</f>
        <v>#N/A</v>
      </c>
    </row>
    <row r="339" spans="1:8" s="67" customFormat="1" ht="40.5" customHeight="1">
      <c r="A339" s="18"/>
      <c r="B339" s="20"/>
      <c r="C339" s="86"/>
      <c r="D339" s="83" t="str">
        <f>IFERROR(INDEX(Inventari_2[#All],MATCH(Salidas[[#This Row],[CODIGO ]],Inventari_2[[#Headers],[#Data],[CODIGO]],0),2),"")</f>
        <v/>
      </c>
      <c r="E339">
        <v>1</v>
      </c>
      <c r="F339" s="43" t="e">
        <f>VLOOKUP(Salidas[[#This Row],[CODIGO ]],Inventari_2[],8,FALSE)</f>
        <v>#N/A</v>
      </c>
      <c r="G339" s="44" t="e">
        <f>Salidas[[#This Row],[PRECIO]]*Salidas[[#This Row],[CANTIDAD]]</f>
        <v>#N/A</v>
      </c>
      <c r="H339" s="84" t="e">
        <f>VLOOKUP(Salidas[[#This Row],[CODIGO ]],Inventario[],10,FALSE)*Salidas[[#This Row],[CANTIDAD]]</f>
        <v>#N/A</v>
      </c>
    </row>
    <row r="340" spans="1:8" ht="40.5" customHeight="1">
      <c r="A340" s="65"/>
      <c r="B340" s="66"/>
      <c r="C340" s="86"/>
      <c r="D340" s="83" t="str">
        <f>IFERROR(INDEX(Inventari_2[#All],MATCH(Salidas[[#This Row],[CODIGO ]],Inventari_2[[#Headers],[#Data],[CODIGO]],0),2),"")</f>
        <v/>
      </c>
      <c r="E340">
        <v>1</v>
      </c>
      <c r="F340" s="68" t="e">
        <f>VLOOKUP(Salidas[[#This Row],[CODIGO ]],Inventari_2[],8,FALSE)</f>
        <v>#N/A</v>
      </c>
      <c r="G340" s="44" t="e">
        <f>Salidas[[#This Row],[PRECIO]]*Salidas[[#This Row],[CANTIDAD]]</f>
        <v>#N/A</v>
      </c>
      <c r="H340" s="84" t="e">
        <f>VLOOKUP(Salidas[[#This Row],[CODIGO ]],Inventario[],10,FALSE)*Salidas[[#This Row],[CANTIDAD]]</f>
        <v>#N/A</v>
      </c>
    </row>
    <row r="341" spans="1:8" ht="40.5" customHeight="1">
      <c r="A341" s="18"/>
      <c r="B341" s="20"/>
      <c r="C341" s="86"/>
      <c r="D341" s="83" t="str">
        <f>IFERROR(INDEX(Inventari_2[#All],MATCH(Salidas[[#This Row],[CODIGO ]],Inventari_2[[#Headers],[#Data],[CODIGO]],0),2),"")</f>
        <v/>
      </c>
      <c r="E341">
        <v>1</v>
      </c>
      <c r="F341" s="43" t="e">
        <f>VLOOKUP(Salidas[[#This Row],[CODIGO ]],Inventari_2[],8,FALSE)</f>
        <v>#N/A</v>
      </c>
      <c r="G341" s="44" t="e">
        <f>Salidas[[#This Row],[PRECIO]]*Salidas[[#This Row],[CANTIDAD]]</f>
        <v>#N/A</v>
      </c>
      <c r="H341" s="84" t="e">
        <f>VLOOKUP(Salidas[[#This Row],[CODIGO ]],Inventario[],10,FALSE)*Salidas[[#This Row],[CANTIDAD]]</f>
        <v>#N/A</v>
      </c>
    </row>
    <row r="342" spans="1:8" ht="40.5" customHeight="1">
      <c r="A342" s="18"/>
      <c r="B342" s="20"/>
      <c r="C342" s="86"/>
      <c r="D342" s="83" t="str">
        <f>IFERROR(INDEX(Inventari_2[#All],MATCH(Salidas[[#This Row],[CODIGO ]],Inventari_2[[#Headers],[#Data],[CODIGO]],0),2),"")</f>
        <v/>
      </c>
      <c r="E342">
        <v>1</v>
      </c>
      <c r="F342" s="43" t="e">
        <f>VLOOKUP(Salidas[[#This Row],[CODIGO ]],Inventari_2[],8,FALSE)</f>
        <v>#N/A</v>
      </c>
      <c r="G342" s="44" t="e">
        <f>Salidas[[#This Row],[PRECIO]]*Salidas[[#This Row],[CANTIDAD]]</f>
        <v>#N/A</v>
      </c>
      <c r="H342" s="84" t="e">
        <f>VLOOKUP(Salidas[[#This Row],[CODIGO ]],Inventario[],10,FALSE)*Salidas[[#This Row],[CANTIDAD]]</f>
        <v>#N/A</v>
      </c>
    </row>
    <row r="343" spans="1:8" ht="40.5" customHeight="1">
      <c r="A343" s="18"/>
      <c r="B343" s="20"/>
      <c r="C343" s="86"/>
      <c r="D343" s="83" t="str">
        <f>IFERROR(INDEX(Inventari_2[#All],MATCH(Salidas[[#This Row],[CODIGO ]],Inventari_2[[#Headers],[#Data],[CODIGO]],0),2),"")</f>
        <v/>
      </c>
      <c r="E343">
        <v>1</v>
      </c>
      <c r="F343" s="43" t="e">
        <f>VLOOKUP(Salidas[[#This Row],[CODIGO ]],Inventari_2[],8,FALSE)</f>
        <v>#N/A</v>
      </c>
      <c r="G343" s="44" t="e">
        <f>Salidas[[#This Row],[PRECIO]]*Salidas[[#This Row],[CANTIDAD]]</f>
        <v>#N/A</v>
      </c>
      <c r="H343" s="84" t="e">
        <f>VLOOKUP(Salidas[[#This Row],[CODIGO ]],Inventario[],10,FALSE)*Salidas[[#This Row],[CANTIDAD]]</f>
        <v>#N/A</v>
      </c>
    </row>
    <row r="344" spans="1:8" ht="40.5" customHeight="1">
      <c r="A344" s="18"/>
      <c r="B344" s="20"/>
      <c r="C344" s="86"/>
      <c r="D344" s="83" t="str">
        <f>IFERROR(INDEX(Inventari_2[#All],MATCH(Salidas[[#This Row],[CODIGO ]],Inventari_2[[#Headers],[#Data],[CODIGO]],0),2),"")</f>
        <v/>
      </c>
      <c r="E344">
        <v>1</v>
      </c>
      <c r="F344" s="43" t="e">
        <f>VLOOKUP(Salidas[[#This Row],[CODIGO ]],Inventari_2[],8,FALSE)</f>
        <v>#N/A</v>
      </c>
      <c r="G344" s="44" t="e">
        <f>Salidas[[#This Row],[PRECIO]]*Salidas[[#This Row],[CANTIDAD]]</f>
        <v>#N/A</v>
      </c>
      <c r="H344" s="84" t="e">
        <f>VLOOKUP(Salidas[[#This Row],[CODIGO ]],Inventario[],10,FALSE)*Salidas[[#This Row],[CANTIDAD]]</f>
        <v>#N/A</v>
      </c>
    </row>
    <row r="345" spans="1:8" ht="40.5" customHeight="1">
      <c r="A345" s="18"/>
      <c r="B345" s="20"/>
      <c r="C345" s="86"/>
      <c r="D345" s="83" t="str">
        <f>IFERROR(INDEX(Inventari_2[#All],MATCH(Salidas[[#This Row],[CODIGO ]],Inventari_2[[#Headers],[#Data],[CODIGO]],0),2),"")</f>
        <v/>
      </c>
      <c r="E345">
        <v>1</v>
      </c>
      <c r="F345" s="43" t="e">
        <f>VLOOKUP(Salidas[[#This Row],[CODIGO ]],Inventari_2[],8,FALSE)</f>
        <v>#N/A</v>
      </c>
      <c r="G345" s="44" t="e">
        <f>Salidas[[#This Row],[PRECIO]]*Salidas[[#This Row],[CANTIDAD]]</f>
        <v>#N/A</v>
      </c>
      <c r="H345" s="84" t="e">
        <f>VLOOKUP(Salidas[[#This Row],[CODIGO ]],Inventario[],10,FALSE)*Salidas[[#This Row],[CANTIDAD]]</f>
        <v>#N/A</v>
      </c>
    </row>
    <row r="346" spans="1:8" ht="40.5" customHeight="1">
      <c r="A346" s="18"/>
      <c r="B346" s="20"/>
      <c r="C346" s="86"/>
      <c r="D346" s="83" t="str">
        <f>IFERROR(INDEX(Inventari_2[#All],MATCH(Salidas[[#This Row],[CODIGO ]],Inventari_2[[#Headers],[#Data],[CODIGO]],0),2),"")</f>
        <v/>
      </c>
      <c r="E346">
        <v>1</v>
      </c>
      <c r="F346" s="43" t="e">
        <f>VLOOKUP(Salidas[[#This Row],[CODIGO ]],Inventari_2[],8,FALSE)</f>
        <v>#N/A</v>
      </c>
      <c r="G346" s="44" t="e">
        <f>Salidas[[#This Row],[PRECIO]]*Salidas[[#This Row],[CANTIDAD]]</f>
        <v>#N/A</v>
      </c>
      <c r="H346" s="84" t="e">
        <f>VLOOKUP(Salidas[[#This Row],[CODIGO ]],Inventario[],10,FALSE)*Salidas[[#This Row],[CANTIDAD]]</f>
        <v>#N/A</v>
      </c>
    </row>
    <row r="347" spans="1:8" ht="40.5" customHeight="1">
      <c r="A347" s="18"/>
      <c r="B347" s="20"/>
      <c r="C347" s="86"/>
      <c r="D347" s="83" t="str">
        <f>IFERROR(INDEX(Inventari_2[#All],MATCH(Salidas[[#This Row],[CODIGO ]],Inventari_2[[#Headers],[#Data],[CODIGO]],0),2),"")</f>
        <v/>
      </c>
      <c r="E347">
        <v>1</v>
      </c>
      <c r="F347" s="43" t="e">
        <f>VLOOKUP(Salidas[[#This Row],[CODIGO ]],Inventari_2[],8,FALSE)</f>
        <v>#N/A</v>
      </c>
      <c r="G347" s="44" t="e">
        <f>Salidas[[#This Row],[PRECIO]]*Salidas[[#This Row],[CANTIDAD]]</f>
        <v>#N/A</v>
      </c>
      <c r="H347" s="84" t="e">
        <f>VLOOKUP(Salidas[[#This Row],[CODIGO ]],Inventario[],10,FALSE)*Salidas[[#This Row],[CANTIDAD]]</f>
        <v>#N/A</v>
      </c>
    </row>
    <row r="348" spans="1:8" ht="40.5" customHeight="1">
      <c r="A348" s="18"/>
      <c r="B348" s="20"/>
      <c r="C348" s="86"/>
      <c r="D348" s="83" t="str">
        <f>IFERROR(INDEX(Inventari_2[#All],MATCH(Salidas[[#This Row],[CODIGO ]],Inventari_2[[#Headers],[#Data],[CODIGO]],0),2),"")</f>
        <v/>
      </c>
      <c r="E348">
        <v>1</v>
      </c>
      <c r="F348" s="43" t="e">
        <f>VLOOKUP(Salidas[[#This Row],[CODIGO ]],Inventari_2[],8,FALSE)</f>
        <v>#N/A</v>
      </c>
      <c r="G348" s="44" t="e">
        <f>Salidas[[#This Row],[PRECIO]]*Salidas[[#This Row],[CANTIDAD]]</f>
        <v>#N/A</v>
      </c>
      <c r="H348" s="84" t="e">
        <f>VLOOKUP(Salidas[[#This Row],[CODIGO ]],Inventario[],10,FALSE)*Salidas[[#This Row],[CANTIDAD]]</f>
        <v>#N/A</v>
      </c>
    </row>
    <row r="349" spans="1:8" ht="40.5" customHeight="1">
      <c r="A349" s="18"/>
      <c r="B349" s="20"/>
      <c r="C349" s="86"/>
      <c r="D349" s="83" t="str">
        <f>IFERROR(INDEX(Inventari_2[#All],MATCH(Salidas[[#This Row],[CODIGO ]],Inventari_2[[#Headers],[#Data],[CODIGO]],0),2),"")</f>
        <v/>
      </c>
      <c r="E349">
        <v>1</v>
      </c>
      <c r="F349" s="43" t="e">
        <f>VLOOKUP(Salidas[[#This Row],[CODIGO ]],Inventari_2[],8,FALSE)</f>
        <v>#N/A</v>
      </c>
      <c r="G349" s="44" t="e">
        <f>Salidas[[#This Row],[PRECIO]]*Salidas[[#This Row],[CANTIDAD]]</f>
        <v>#N/A</v>
      </c>
      <c r="H349" s="84" t="e">
        <f>VLOOKUP(Salidas[[#This Row],[CODIGO ]],Inventario[],10,FALSE)*Salidas[[#This Row],[CANTIDAD]]</f>
        <v>#N/A</v>
      </c>
    </row>
    <row r="350" spans="1:8" ht="40.5" customHeight="1">
      <c r="A350" s="18"/>
      <c r="B350" s="20"/>
      <c r="C350" s="86"/>
      <c r="D350" s="83" t="str">
        <f>IFERROR(INDEX(Inventari_2[#All],MATCH(Salidas[[#This Row],[CODIGO ]],Inventari_2[[#Headers],[#Data],[CODIGO]],0),2),"")</f>
        <v/>
      </c>
      <c r="E350">
        <v>1</v>
      </c>
      <c r="F350" s="43" t="e">
        <f>VLOOKUP(Salidas[[#This Row],[CODIGO ]],Inventari_2[],8,FALSE)</f>
        <v>#N/A</v>
      </c>
      <c r="G350" s="44" t="e">
        <f>Salidas[[#This Row],[PRECIO]]*Salidas[[#This Row],[CANTIDAD]]</f>
        <v>#N/A</v>
      </c>
      <c r="H350" s="84" t="e">
        <f>VLOOKUP(Salidas[[#This Row],[CODIGO ]],Inventario[],10,FALSE)*Salidas[[#This Row],[CANTIDAD]]</f>
        <v>#N/A</v>
      </c>
    </row>
    <row r="351" spans="1:8" ht="40.5" customHeight="1">
      <c r="A351" s="18"/>
      <c r="B351" s="20"/>
      <c r="C351" s="86"/>
      <c r="D351" s="83" t="str">
        <f>IFERROR(INDEX(Inventari_2[#All],MATCH(Salidas[[#This Row],[CODIGO ]],Inventari_2[[#Headers],[#Data],[CODIGO]],0),2),"")</f>
        <v/>
      </c>
      <c r="E351">
        <v>1</v>
      </c>
      <c r="F351" s="43" t="e">
        <f>VLOOKUP(Salidas[[#This Row],[CODIGO ]],Inventari_2[],8,FALSE)</f>
        <v>#N/A</v>
      </c>
      <c r="G351" s="44" t="e">
        <f>Salidas[[#This Row],[PRECIO]]*Salidas[[#This Row],[CANTIDAD]]</f>
        <v>#N/A</v>
      </c>
      <c r="H351" s="84" t="e">
        <f>VLOOKUP(Salidas[[#This Row],[CODIGO ]],Inventario[],10,FALSE)*Salidas[[#This Row],[CANTIDAD]]</f>
        <v>#N/A</v>
      </c>
    </row>
    <row r="352" spans="1:8" ht="40.5" customHeight="1">
      <c r="A352" s="18"/>
      <c r="B352" s="20"/>
      <c r="C352" s="86"/>
      <c r="D352" s="83" t="str">
        <f>IFERROR(INDEX(Inventari_2[#All],MATCH(Salidas[[#This Row],[CODIGO ]],Inventari_2[[#Headers],[#Data],[CODIGO]],0),2),"")</f>
        <v/>
      </c>
      <c r="E352">
        <v>1</v>
      </c>
      <c r="F352" s="43" t="e">
        <f>VLOOKUP(Salidas[[#This Row],[CODIGO ]],Inventari_2[],8,FALSE)</f>
        <v>#N/A</v>
      </c>
      <c r="G352" s="44" t="e">
        <f>Salidas[[#This Row],[PRECIO]]*Salidas[[#This Row],[CANTIDAD]]</f>
        <v>#N/A</v>
      </c>
      <c r="H352" s="84" t="e">
        <f>VLOOKUP(Salidas[[#This Row],[CODIGO ]],Inventario[],10,FALSE)*Salidas[[#This Row],[CANTIDAD]]</f>
        <v>#N/A</v>
      </c>
    </row>
    <row r="353" spans="1:8" ht="40.5" customHeight="1">
      <c r="A353" s="18"/>
      <c r="B353" s="20"/>
      <c r="C353" s="86"/>
      <c r="D353" s="83" t="str">
        <f>IFERROR(INDEX(Inventari_2[#All],MATCH(Salidas[[#This Row],[CODIGO ]],Inventari_2[[#Headers],[#Data],[CODIGO]],0),2),"")</f>
        <v/>
      </c>
      <c r="E353">
        <v>1</v>
      </c>
      <c r="F353" s="43" t="e">
        <f>VLOOKUP(Salidas[[#This Row],[CODIGO ]],Inventari_2[],8,FALSE)</f>
        <v>#N/A</v>
      </c>
      <c r="G353" s="44" t="e">
        <f>Salidas[[#This Row],[PRECIO]]*Salidas[[#This Row],[CANTIDAD]]</f>
        <v>#N/A</v>
      </c>
      <c r="H353" s="84" t="e">
        <f>VLOOKUP(Salidas[[#This Row],[CODIGO ]],Inventario[],10,FALSE)*Salidas[[#This Row],[CANTIDAD]]</f>
        <v>#N/A</v>
      </c>
    </row>
    <row r="354" spans="1:8" ht="40.5" customHeight="1">
      <c r="A354" s="18"/>
      <c r="B354" s="20"/>
      <c r="C354" s="86"/>
      <c r="D354" s="83" t="str">
        <f>IFERROR(INDEX(Inventari_2[#All],MATCH(Salidas[[#This Row],[CODIGO ]],Inventari_2[[#Headers],[#Data],[CODIGO]],0),2),"")</f>
        <v/>
      </c>
      <c r="E354">
        <v>1</v>
      </c>
      <c r="F354" s="43" t="e">
        <f>VLOOKUP(Salidas[[#This Row],[CODIGO ]],Inventari_2[],8,FALSE)</f>
        <v>#N/A</v>
      </c>
      <c r="G354" s="44" t="e">
        <f>Salidas[[#This Row],[PRECIO]]*Salidas[[#This Row],[CANTIDAD]]</f>
        <v>#N/A</v>
      </c>
      <c r="H354" s="84" t="e">
        <f>VLOOKUP(Salidas[[#This Row],[CODIGO ]],Inventario[],10,FALSE)*Salidas[[#This Row],[CANTIDAD]]</f>
        <v>#N/A</v>
      </c>
    </row>
    <row r="355" spans="1:8" ht="40.5" customHeight="1">
      <c r="A355" s="18"/>
      <c r="B355" s="20"/>
      <c r="C355" s="86"/>
      <c r="D355" s="83" t="str">
        <f>IFERROR(INDEX(Inventari_2[#All],MATCH(Salidas[[#This Row],[CODIGO ]],Inventari_2[[#Headers],[#Data],[CODIGO]],0),2),"")</f>
        <v/>
      </c>
      <c r="E355">
        <v>1</v>
      </c>
      <c r="F355" s="43" t="e">
        <f>VLOOKUP(Salidas[[#This Row],[CODIGO ]],Inventari_2[],8,FALSE)</f>
        <v>#N/A</v>
      </c>
      <c r="G355" s="44" t="e">
        <f>Salidas[[#This Row],[PRECIO]]*Salidas[[#This Row],[CANTIDAD]]</f>
        <v>#N/A</v>
      </c>
      <c r="H355" s="84" t="e">
        <f>VLOOKUP(Salidas[[#This Row],[CODIGO ]],Inventario[],10,FALSE)*Salidas[[#This Row],[CANTIDAD]]</f>
        <v>#N/A</v>
      </c>
    </row>
    <row r="356" spans="1:8" ht="40.5" customHeight="1">
      <c r="A356" s="18"/>
      <c r="B356" s="20"/>
      <c r="C356" s="86"/>
      <c r="D356" s="83" t="str">
        <f>IFERROR(INDEX(Inventari_2[#All],MATCH(Salidas[[#This Row],[CODIGO ]],Inventari_2[[#Headers],[#Data],[CODIGO]],0),2),"")</f>
        <v/>
      </c>
      <c r="E356">
        <v>1</v>
      </c>
      <c r="F356" s="43" t="e">
        <f>VLOOKUP(Salidas[[#This Row],[CODIGO ]],Inventari_2[],8,FALSE)</f>
        <v>#N/A</v>
      </c>
      <c r="G356" s="44" t="e">
        <f>Salidas[[#This Row],[PRECIO]]*Salidas[[#This Row],[CANTIDAD]]</f>
        <v>#N/A</v>
      </c>
      <c r="H356" s="84" t="e">
        <f>VLOOKUP(Salidas[[#This Row],[CODIGO ]],Inventario[],10,FALSE)*Salidas[[#This Row],[CANTIDAD]]</f>
        <v>#N/A</v>
      </c>
    </row>
    <row r="357" spans="1:8" ht="40.5" customHeight="1">
      <c r="A357" s="18"/>
      <c r="B357" s="20"/>
      <c r="C357" s="86"/>
      <c r="D357" s="83" t="str">
        <f>IFERROR(INDEX(Inventari_2[#All],MATCH(Salidas[[#This Row],[CODIGO ]],Inventari_2[[#Headers],[#Data],[CODIGO]],0),2),"")</f>
        <v/>
      </c>
      <c r="E357">
        <v>1</v>
      </c>
      <c r="F357" s="43" t="e">
        <f>VLOOKUP(Salidas[[#This Row],[CODIGO ]],Inventari_2[],8,FALSE)</f>
        <v>#N/A</v>
      </c>
      <c r="G357" s="44" t="e">
        <f>Salidas[[#This Row],[PRECIO]]*Salidas[[#This Row],[CANTIDAD]]</f>
        <v>#N/A</v>
      </c>
      <c r="H357" s="84" t="e">
        <f>VLOOKUP(Salidas[[#This Row],[CODIGO ]],Inventario[],10,FALSE)*Salidas[[#This Row],[CANTIDAD]]</f>
        <v>#N/A</v>
      </c>
    </row>
    <row r="358" spans="1:8" ht="40.5" customHeight="1">
      <c r="A358" s="18"/>
      <c r="B358" s="20"/>
      <c r="C358" s="86"/>
      <c r="D358" s="83" t="str">
        <f>IFERROR(INDEX(Inventari_2[#All],MATCH(Salidas[[#This Row],[CODIGO ]],Inventari_2[[#Headers],[#Data],[CODIGO]],0),2),"")</f>
        <v/>
      </c>
      <c r="E358">
        <v>1</v>
      </c>
      <c r="F358" s="43" t="e">
        <f>VLOOKUP(Salidas[[#This Row],[CODIGO ]],Inventari_2[],8,FALSE)</f>
        <v>#N/A</v>
      </c>
      <c r="G358" s="44" t="e">
        <f>Salidas[[#This Row],[PRECIO]]*Salidas[[#This Row],[CANTIDAD]]</f>
        <v>#N/A</v>
      </c>
      <c r="H358" s="84" t="e">
        <f>VLOOKUP(Salidas[[#This Row],[CODIGO ]],Inventario[],10,FALSE)*Salidas[[#This Row],[CANTIDAD]]</f>
        <v>#N/A</v>
      </c>
    </row>
    <row r="359" spans="1:8" ht="40.5" customHeight="1">
      <c r="A359" s="18"/>
      <c r="B359" s="20"/>
      <c r="C359" s="86"/>
      <c r="D359" s="83" t="str">
        <f>IFERROR(INDEX(Inventari_2[#All],MATCH(Salidas[[#This Row],[CODIGO ]],Inventari_2[[#Headers],[#Data],[CODIGO]],0),2),"")</f>
        <v/>
      </c>
      <c r="E359">
        <v>1</v>
      </c>
      <c r="F359" s="43" t="e">
        <f>VLOOKUP(Salidas[[#This Row],[CODIGO ]],Inventari_2[],8,FALSE)</f>
        <v>#N/A</v>
      </c>
      <c r="G359" s="44" t="e">
        <f>Salidas[[#This Row],[PRECIO]]*Salidas[[#This Row],[CANTIDAD]]</f>
        <v>#N/A</v>
      </c>
      <c r="H359" s="84" t="e">
        <f>VLOOKUP(Salidas[[#This Row],[CODIGO ]],Inventario[],10,FALSE)*Salidas[[#This Row],[CANTIDAD]]</f>
        <v>#N/A</v>
      </c>
    </row>
    <row r="360" spans="1:8" ht="40.5" customHeight="1">
      <c r="A360" s="18"/>
      <c r="B360" s="20"/>
      <c r="C360" s="86"/>
      <c r="D360" s="83" t="str">
        <f>IFERROR(INDEX(Inventari_2[#All],MATCH(Salidas[[#This Row],[CODIGO ]],Inventari_2[[#Headers],[#Data],[CODIGO]],0),2),"")</f>
        <v/>
      </c>
      <c r="E360">
        <v>1</v>
      </c>
      <c r="F360" s="43" t="e">
        <f>VLOOKUP(Salidas[[#This Row],[CODIGO ]],Inventari_2[],8,FALSE)</f>
        <v>#N/A</v>
      </c>
      <c r="G360" s="44" t="e">
        <f>Salidas[[#This Row],[PRECIO]]*Salidas[[#This Row],[CANTIDAD]]</f>
        <v>#N/A</v>
      </c>
      <c r="H360" s="84" t="e">
        <f>VLOOKUP(Salidas[[#This Row],[CODIGO ]],Inventario[],10,FALSE)*Salidas[[#This Row],[CANTIDAD]]</f>
        <v>#N/A</v>
      </c>
    </row>
    <row r="361" spans="1:8" ht="40.5" customHeight="1">
      <c r="A361" s="18"/>
      <c r="B361" s="20"/>
      <c r="C361" s="86"/>
      <c r="D361" s="83" t="str">
        <f>IFERROR(INDEX(Inventari_2[#All],MATCH(Salidas[[#This Row],[CODIGO ]],Inventari_2[[#Headers],[#Data],[CODIGO]],0),2),"")</f>
        <v/>
      </c>
      <c r="E361">
        <v>1</v>
      </c>
      <c r="F361" s="43" t="e">
        <f>VLOOKUP(Salidas[[#This Row],[CODIGO ]],Inventari_2[],8,FALSE)</f>
        <v>#N/A</v>
      </c>
      <c r="G361" s="44" t="e">
        <f>Salidas[[#This Row],[PRECIO]]*Salidas[[#This Row],[CANTIDAD]]</f>
        <v>#N/A</v>
      </c>
      <c r="H361" s="84" t="e">
        <f>VLOOKUP(Salidas[[#This Row],[CODIGO ]],Inventario[],10,FALSE)*Salidas[[#This Row],[CANTIDAD]]</f>
        <v>#N/A</v>
      </c>
    </row>
    <row r="362" spans="1:8" ht="40.5" customHeight="1">
      <c r="A362" s="18"/>
      <c r="B362" s="20"/>
      <c r="C362" s="86"/>
      <c r="D362" s="83" t="str">
        <f>IFERROR(INDEX(Inventari_2[#All],MATCH(Salidas[[#This Row],[CODIGO ]],Inventari_2[[#Headers],[#Data],[CODIGO]],0),2),"")</f>
        <v/>
      </c>
      <c r="E362">
        <v>1</v>
      </c>
      <c r="F362" s="43" t="e">
        <f>VLOOKUP(Salidas[[#This Row],[CODIGO ]],Inventari_2[],8,FALSE)</f>
        <v>#N/A</v>
      </c>
      <c r="G362" s="44" t="e">
        <f>Salidas[[#This Row],[PRECIO]]*Salidas[[#This Row],[CANTIDAD]]</f>
        <v>#N/A</v>
      </c>
      <c r="H362" s="84" t="e">
        <f>VLOOKUP(Salidas[[#This Row],[CODIGO ]],Inventario[],10,FALSE)*Salidas[[#This Row],[CANTIDAD]]</f>
        <v>#N/A</v>
      </c>
    </row>
    <row r="363" spans="1:8" ht="40.5" customHeight="1">
      <c r="A363" s="18"/>
      <c r="B363" s="20"/>
      <c r="C363" s="86"/>
      <c r="D363" s="83" t="str">
        <f>IFERROR(INDEX(Inventari_2[#All],MATCH(Salidas[[#This Row],[CODIGO ]],Inventari_2[[#Headers],[#Data],[CODIGO]],0),2),"")</f>
        <v/>
      </c>
      <c r="E363">
        <v>1</v>
      </c>
      <c r="F363" s="43" t="e">
        <f>VLOOKUP(Salidas[[#This Row],[CODIGO ]],Inventari_2[],8,FALSE)</f>
        <v>#N/A</v>
      </c>
      <c r="G363" s="44" t="e">
        <f>Salidas[[#This Row],[PRECIO]]*Salidas[[#This Row],[CANTIDAD]]</f>
        <v>#N/A</v>
      </c>
      <c r="H363" s="84" t="e">
        <f>VLOOKUP(Salidas[[#This Row],[CODIGO ]],Inventario[],10,FALSE)*Salidas[[#This Row],[CANTIDAD]]</f>
        <v>#N/A</v>
      </c>
    </row>
    <row r="364" spans="1:8" ht="40.5" customHeight="1">
      <c r="A364" s="18"/>
      <c r="B364" s="20"/>
      <c r="C364" s="86"/>
      <c r="D364" s="83" t="str">
        <f>IFERROR(INDEX(Inventari_2[#All],MATCH(Salidas[[#This Row],[CODIGO ]],Inventari_2[[#Headers],[#Data],[CODIGO]],0),2),"")</f>
        <v/>
      </c>
      <c r="E364">
        <v>1</v>
      </c>
      <c r="F364" s="43" t="e">
        <f>VLOOKUP(Salidas[[#This Row],[CODIGO ]],Inventari_2[],8,FALSE)</f>
        <v>#N/A</v>
      </c>
      <c r="G364" s="44" t="e">
        <f>Salidas[[#This Row],[PRECIO]]*Salidas[[#This Row],[CANTIDAD]]</f>
        <v>#N/A</v>
      </c>
      <c r="H364" s="84" t="e">
        <f>VLOOKUP(Salidas[[#This Row],[CODIGO ]],Inventario[],10,FALSE)*Salidas[[#This Row],[CANTIDAD]]</f>
        <v>#N/A</v>
      </c>
    </row>
    <row r="365" spans="1:8" ht="40.5" customHeight="1">
      <c r="A365" s="18"/>
      <c r="B365" s="20"/>
      <c r="C365" s="86"/>
      <c r="D365" s="83" t="str">
        <f>IFERROR(INDEX(Inventari_2[#All],MATCH(Salidas[[#This Row],[CODIGO ]],Inventari_2[[#Headers],[#Data],[CODIGO]],0),2),"")</f>
        <v/>
      </c>
      <c r="E365">
        <v>1</v>
      </c>
      <c r="F365" s="43" t="e">
        <f>VLOOKUP(Salidas[[#This Row],[CODIGO ]],Inventari_2[],8,FALSE)</f>
        <v>#N/A</v>
      </c>
      <c r="G365" s="44" t="e">
        <f>Salidas[[#This Row],[PRECIO]]*Salidas[[#This Row],[CANTIDAD]]</f>
        <v>#N/A</v>
      </c>
      <c r="H365" s="84" t="e">
        <f>VLOOKUP(Salidas[[#This Row],[CODIGO ]],Inventario[],10,FALSE)*Salidas[[#This Row],[CANTIDAD]]</f>
        <v>#N/A</v>
      </c>
    </row>
    <row r="366" spans="1:8" ht="40.5" customHeight="1">
      <c r="A366" s="18"/>
      <c r="B366" s="20"/>
      <c r="C366" s="86"/>
      <c r="D366" s="83" t="str">
        <f>IFERROR(INDEX(Inventari_2[#All],MATCH(Salidas[[#This Row],[CODIGO ]],Inventari_2[[#Headers],[#Data],[CODIGO]],0),2),"")</f>
        <v/>
      </c>
      <c r="E366">
        <v>1</v>
      </c>
      <c r="F366" s="43" t="e">
        <f>VLOOKUP(Salidas[[#This Row],[CODIGO ]],Inventari_2[],8,FALSE)</f>
        <v>#N/A</v>
      </c>
      <c r="G366" s="44" t="e">
        <f>Salidas[[#This Row],[PRECIO]]*Salidas[[#This Row],[CANTIDAD]]</f>
        <v>#N/A</v>
      </c>
      <c r="H366" s="84" t="e">
        <f>VLOOKUP(Salidas[[#This Row],[CODIGO ]],Inventario[],10,FALSE)*Salidas[[#This Row],[CANTIDAD]]</f>
        <v>#N/A</v>
      </c>
    </row>
    <row r="367" spans="1:8" ht="40.5" customHeight="1">
      <c r="A367" s="18"/>
      <c r="B367" s="20"/>
      <c r="C367" s="86"/>
      <c r="D367" s="83" t="str">
        <f>IFERROR(INDEX(Inventari_2[#All],MATCH(Salidas[[#This Row],[CODIGO ]],Inventari_2[[#Headers],[#Data],[CODIGO]],0),2),"")</f>
        <v/>
      </c>
      <c r="E367">
        <v>1</v>
      </c>
      <c r="F367" s="43" t="e">
        <f>VLOOKUP(Salidas[[#This Row],[CODIGO ]],Inventari_2[],8,FALSE)</f>
        <v>#N/A</v>
      </c>
      <c r="G367" s="44" t="e">
        <f>Salidas[[#This Row],[PRECIO]]*Salidas[[#This Row],[CANTIDAD]]</f>
        <v>#N/A</v>
      </c>
      <c r="H367" s="84" t="e">
        <f>VLOOKUP(Salidas[[#This Row],[CODIGO ]],Inventario[],10,FALSE)*Salidas[[#This Row],[CANTIDAD]]</f>
        <v>#N/A</v>
      </c>
    </row>
    <row r="368" spans="1:8" ht="40.5" customHeight="1">
      <c r="A368" s="18"/>
      <c r="B368" s="20"/>
      <c r="C368" s="86"/>
      <c r="D368" s="83" t="str">
        <f>IFERROR(INDEX(Inventari_2[#All],MATCH(Salidas[[#This Row],[CODIGO ]],Inventari_2[[#Headers],[#Data],[CODIGO]],0),2),"")</f>
        <v/>
      </c>
      <c r="E368">
        <v>1</v>
      </c>
      <c r="F368" s="43" t="e">
        <f>VLOOKUP(Salidas[[#This Row],[CODIGO ]],Inventari_2[],8,FALSE)</f>
        <v>#N/A</v>
      </c>
      <c r="G368" s="44" t="e">
        <f>Salidas[[#This Row],[PRECIO]]*Salidas[[#This Row],[CANTIDAD]]</f>
        <v>#N/A</v>
      </c>
      <c r="H368" s="84" t="e">
        <f>VLOOKUP(Salidas[[#This Row],[CODIGO ]],Inventario[],10,FALSE)*Salidas[[#This Row],[CANTIDAD]]</f>
        <v>#N/A</v>
      </c>
    </row>
    <row r="369" spans="1:8" ht="40.5" customHeight="1">
      <c r="A369" s="18"/>
      <c r="B369" s="20"/>
      <c r="C369" s="86"/>
      <c r="D369" s="83" t="str">
        <f>IFERROR(INDEX(Inventari_2[#All],MATCH(Salidas[[#This Row],[CODIGO ]],Inventari_2[[#Headers],[#Data],[CODIGO]],0),2),"")</f>
        <v/>
      </c>
      <c r="E369">
        <v>1</v>
      </c>
      <c r="F369" s="43" t="e">
        <f>VLOOKUP(Salidas[[#This Row],[CODIGO ]],Inventari_2[],8,FALSE)</f>
        <v>#N/A</v>
      </c>
      <c r="G369" s="44" t="e">
        <f>Salidas[[#This Row],[PRECIO]]*Salidas[[#This Row],[CANTIDAD]]</f>
        <v>#N/A</v>
      </c>
      <c r="H369" s="84" t="e">
        <f>VLOOKUP(Salidas[[#This Row],[CODIGO ]],Inventario[],10,FALSE)*Salidas[[#This Row],[CANTIDAD]]</f>
        <v>#N/A</v>
      </c>
    </row>
    <row r="370" spans="1:8" ht="40.5" customHeight="1">
      <c r="A370" s="18"/>
      <c r="B370" s="20"/>
      <c r="C370" s="86"/>
      <c r="D370" s="83" t="str">
        <f>IFERROR(INDEX(Inventari_2[#All],MATCH(Salidas[[#This Row],[CODIGO ]],Inventari_2[[#Headers],[#Data],[CODIGO]],0),2),"")</f>
        <v/>
      </c>
      <c r="E370">
        <v>1</v>
      </c>
      <c r="F370" s="43" t="e">
        <f>VLOOKUP(Salidas[[#This Row],[CODIGO ]],Inventari_2[],8,FALSE)</f>
        <v>#N/A</v>
      </c>
      <c r="G370" s="44" t="e">
        <f>Salidas[[#This Row],[PRECIO]]*Salidas[[#This Row],[CANTIDAD]]</f>
        <v>#N/A</v>
      </c>
      <c r="H370" s="84" t="e">
        <f>VLOOKUP(Salidas[[#This Row],[CODIGO ]],Inventario[],10,FALSE)*Salidas[[#This Row],[CANTIDAD]]</f>
        <v>#N/A</v>
      </c>
    </row>
    <row r="371" spans="1:8" ht="40.5" customHeight="1">
      <c r="A371" s="18"/>
      <c r="B371" s="20"/>
      <c r="C371" s="86"/>
      <c r="D371" s="83" t="str">
        <f>IFERROR(INDEX(Inventari_2[#All],MATCH(Salidas[[#This Row],[CODIGO ]],Inventari_2[[#Headers],[#Data],[CODIGO]],0),2),"")</f>
        <v/>
      </c>
      <c r="E371">
        <v>1</v>
      </c>
      <c r="F371" s="43" t="e">
        <f>VLOOKUP(Salidas[[#This Row],[CODIGO ]],Inventari_2[],8,FALSE)</f>
        <v>#N/A</v>
      </c>
      <c r="G371" s="44" t="e">
        <f>Salidas[[#This Row],[PRECIO]]*Salidas[[#This Row],[CANTIDAD]]</f>
        <v>#N/A</v>
      </c>
      <c r="H371" s="84" t="e">
        <f>VLOOKUP(Salidas[[#This Row],[CODIGO ]],Inventario[],10,FALSE)*Salidas[[#This Row],[CANTIDAD]]</f>
        <v>#N/A</v>
      </c>
    </row>
    <row r="372" spans="1:8" ht="40.5" customHeight="1">
      <c r="A372" s="18"/>
      <c r="B372" s="20"/>
      <c r="C372" s="86"/>
      <c r="D372" s="83" t="str">
        <f>IFERROR(INDEX(Inventari_2[#All],MATCH(Salidas[[#This Row],[CODIGO ]],Inventari_2[[#Headers],[#Data],[CODIGO]],0),2),"")</f>
        <v/>
      </c>
      <c r="E372">
        <v>1</v>
      </c>
      <c r="F372" s="43" t="e">
        <f>VLOOKUP(Salidas[[#This Row],[CODIGO ]],Inventari_2[],8,FALSE)</f>
        <v>#N/A</v>
      </c>
      <c r="G372" s="44" t="e">
        <f>Salidas[[#This Row],[PRECIO]]*Salidas[[#This Row],[CANTIDAD]]</f>
        <v>#N/A</v>
      </c>
      <c r="H372" s="84" t="e">
        <f>VLOOKUP(Salidas[[#This Row],[CODIGO ]],Inventario[],10,FALSE)*Salidas[[#This Row],[CANTIDAD]]</f>
        <v>#N/A</v>
      </c>
    </row>
    <row r="373" spans="1:8" ht="40.5" customHeight="1">
      <c r="A373" s="18"/>
      <c r="B373" s="20"/>
      <c r="C373" s="86"/>
      <c r="D373" s="83" t="str">
        <f>IFERROR(INDEX(Inventari_2[#All],MATCH(Salidas[[#This Row],[CODIGO ]],Inventari_2[[#Headers],[#Data],[CODIGO]],0),2),"")</f>
        <v/>
      </c>
      <c r="E373">
        <v>1</v>
      </c>
      <c r="F373" s="43" t="e">
        <f>VLOOKUP(Salidas[[#This Row],[CODIGO ]],Inventari_2[],8,FALSE)</f>
        <v>#N/A</v>
      </c>
      <c r="G373" s="44" t="e">
        <f>Salidas[[#This Row],[PRECIO]]*Salidas[[#This Row],[CANTIDAD]]</f>
        <v>#N/A</v>
      </c>
      <c r="H373" s="84" t="e">
        <f>VLOOKUP(Salidas[[#This Row],[CODIGO ]],Inventario[],10,FALSE)*Salidas[[#This Row],[CANTIDAD]]</f>
        <v>#N/A</v>
      </c>
    </row>
    <row r="374" spans="1:8" ht="40.5" customHeight="1">
      <c r="A374" s="18"/>
      <c r="B374" s="20"/>
      <c r="C374" s="86"/>
      <c r="D374" s="83" t="str">
        <f>IFERROR(INDEX(Inventari_2[#All],MATCH(Salidas[[#This Row],[CODIGO ]],Inventari_2[[#Headers],[#Data],[CODIGO]],0),2),"")</f>
        <v/>
      </c>
      <c r="E374">
        <v>1</v>
      </c>
      <c r="F374" s="43" t="e">
        <f>VLOOKUP(Salidas[[#This Row],[CODIGO ]],Inventari_2[],8,FALSE)</f>
        <v>#N/A</v>
      </c>
      <c r="G374" s="44" t="e">
        <f>Salidas[[#This Row],[PRECIO]]*Salidas[[#This Row],[CANTIDAD]]</f>
        <v>#N/A</v>
      </c>
      <c r="H374" s="84" t="e">
        <f>VLOOKUP(Salidas[[#This Row],[CODIGO ]],Inventario[],10,FALSE)*Salidas[[#This Row],[CANTIDAD]]</f>
        <v>#N/A</v>
      </c>
    </row>
    <row r="375" spans="1:8" s="57" customFormat="1" ht="40.5" customHeight="1">
      <c r="A375" s="55"/>
      <c r="B375" s="56"/>
      <c r="C375" s="86"/>
      <c r="D375" s="83" t="str">
        <f>IFERROR(INDEX(Inventari_2[#All],MATCH(Salidas[[#This Row],[CODIGO ]],Inventari_2[[#Headers],[#Data],[CODIGO]],0),2),"")</f>
        <v/>
      </c>
      <c r="E375">
        <v>1</v>
      </c>
      <c r="F375" s="58" t="e">
        <f>VLOOKUP(Salidas[[#This Row],[CODIGO ]],Inventari_2[],8,FALSE)</f>
        <v>#N/A</v>
      </c>
      <c r="G375" s="44" t="e">
        <f>Salidas[[#This Row],[PRECIO]]*Salidas[[#This Row],[CANTIDAD]]</f>
        <v>#N/A</v>
      </c>
      <c r="H375" s="84" t="e">
        <f>VLOOKUP(Salidas[[#This Row],[CODIGO ]],Inventario[],10,FALSE)*Salidas[[#This Row],[CANTIDAD]]</f>
        <v>#N/A</v>
      </c>
    </row>
    <row r="376" spans="1:8" ht="40.5" customHeight="1">
      <c r="A376" s="18"/>
      <c r="B376" s="20"/>
      <c r="C376" s="86"/>
      <c r="D376" s="83" t="str">
        <f>IFERROR(INDEX(Inventari_2[#All],MATCH(Salidas[[#This Row],[CODIGO ]],Inventari_2[[#Headers],[#Data],[CODIGO]],0),2),"")</f>
        <v/>
      </c>
      <c r="E376">
        <v>1</v>
      </c>
      <c r="F376" s="43" t="e">
        <f>VLOOKUP(Salidas[[#This Row],[CODIGO ]],Inventari_2[],8,FALSE)</f>
        <v>#N/A</v>
      </c>
      <c r="G376" s="44" t="e">
        <f>Salidas[[#This Row],[PRECIO]]*Salidas[[#This Row],[CANTIDAD]]</f>
        <v>#N/A</v>
      </c>
      <c r="H376" s="84" t="e">
        <f>VLOOKUP(Salidas[[#This Row],[CODIGO ]],Inventario[],10,FALSE)*Salidas[[#This Row],[CANTIDAD]]</f>
        <v>#N/A</v>
      </c>
    </row>
    <row r="377" spans="1:8" ht="40.5" customHeight="1">
      <c r="A377" s="18"/>
      <c r="B377" s="20"/>
      <c r="C377" s="86"/>
      <c r="D377" s="83" t="str">
        <f>IFERROR(INDEX(Inventari_2[#All],MATCH(Salidas[[#This Row],[CODIGO ]],Inventari_2[[#Headers],[#Data],[CODIGO]],0),2),"")</f>
        <v/>
      </c>
      <c r="E377">
        <v>1</v>
      </c>
      <c r="F377" s="43" t="e">
        <f>VLOOKUP(Salidas[[#This Row],[CODIGO ]],Inventari_2[],8,FALSE)</f>
        <v>#N/A</v>
      </c>
      <c r="G377" s="44" t="e">
        <f>Salidas[[#This Row],[PRECIO]]*Salidas[[#This Row],[CANTIDAD]]</f>
        <v>#N/A</v>
      </c>
      <c r="H377" s="84" t="e">
        <f>VLOOKUP(Salidas[[#This Row],[CODIGO ]],Inventario[],10,FALSE)*Salidas[[#This Row],[CANTIDAD]]</f>
        <v>#N/A</v>
      </c>
    </row>
    <row r="378" spans="1:8" ht="40.5" customHeight="1">
      <c r="A378" s="18"/>
      <c r="B378" s="20"/>
      <c r="C378" s="86"/>
      <c r="D378" s="83" t="str">
        <f>IFERROR(INDEX(Inventari_2[#All],MATCH(Salidas[[#This Row],[CODIGO ]],Inventari_2[[#Headers],[#Data],[CODIGO]],0),2),"")</f>
        <v/>
      </c>
      <c r="E378">
        <v>1</v>
      </c>
      <c r="F378" s="43" t="e">
        <f>VLOOKUP(Salidas[[#This Row],[CODIGO ]],Inventari_2[],8,FALSE)</f>
        <v>#N/A</v>
      </c>
      <c r="G378" s="44" t="e">
        <f>Salidas[[#This Row],[PRECIO]]*Salidas[[#This Row],[CANTIDAD]]</f>
        <v>#N/A</v>
      </c>
      <c r="H378" s="84" t="e">
        <f>VLOOKUP(Salidas[[#This Row],[CODIGO ]],Inventario[],10,FALSE)*Salidas[[#This Row],[CANTIDAD]]</f>
        <v>#N/A</v>
      </c>
    </row>
    <row r="379" spans="1:8" ht="40.5" customHeight="1">
      <c r="A379" s="18"/>
      <c r="B379" s="20"/>
      <c r="C379" s="86"/>
      <c r="D379" s="83" t="str">
        <f>IFERROR(INDEX(Inventari_2[#All],MATCH(Salidas[[#This Row],[CODIGO ]],Inventari_2[[#Headers],[#Data],[CODIGO]],0),2),"")</f>
        <v/>
      </c>
      <c r="E379">
        <v>1</v>
      </c>
      <c r="F379" s="43" t="e">
        <f>VLOOKUP(Salidas[[#This Row],[CODIGO ]],Inventari_2[],8,FALSE)</f>
        <v>#N/A</v>
      </c>
      <c r="G379" s="44" t="e">
        <f>Salidas[[#This Row],[PRECIO]]*Salidas[[#This Row],[CANTIDAD]]</f>
        <v>#N/A</v>
      </c>
      <c r="H379" s="84" t="e">
        <f>VLOOKUP(Salidas[[#This Row],[CODIGO ]],Inventario[],10,FALSE)*Salidas[[#This Row],[CANTIDAD]]</f>
        <v>#N/A</v>
      </c>
    </row>
    <row r="380" spans="1:8" ht="40.5" customHeight="1">
      <c r="A380" s="18"/>
      <c r="B380" s="20"/>
      <c r="C380" s="86"/>
      <c r="D380" s="83" t="str">
        <f>IFERROR(INDEX(Inventari_2[#All],MATCH(Salidas[[#This Row],[CODIGO ]],Inventari_2[[#Headers],[#Data],[CODIGO]],0),2),"")</f>
        <v/>
      </c>
      <c r="E380">
        <v>1</v>
      </c>
      <c r="F380" s="43" t="e">
        <f>VLOOKUP(Salidas[[#This Row],[CODIGO ]],Inventari_2[],8,FALSE)</f>
        <v>#N/A</v>
      </c>
      <c r="G380" s="44" t="e">
        <f>Salidas[[#This Row],[PRECIO]]*Salidas[[#This Row],[CANTIDAD]]</f>
        <v>#N/A</v>
      </c>
      <c r="H380" s="84" t="e">
        <f>VLOOKUP(Salidas[[#This Row],[CODIGO ]],Inventario[],10,FALSE)*Salidas[[#This Row],[CANTIDAD]]</f>
        <v>#N/A</v>
      </c>
    </row>
    <row r="381" spans="1:8" ht="40.5" customHeight="1">
      <c r="A381" s="18"/>
      <c r="B381" s="20"/>
      <c r="C381" s="86"/>
      <c r="D381" s="83" t="str">
        <f>IFERROR(INDEX(Inventari_2[#All],MATCH(Salidas[[#This Row],[CODIGO ]],Inventari_2[[#Headers],[#Data],[CODIGO]],0),2),"")</f>
        <v/>
      </c>
      <c r="E381">
        <v>1</v>
      </c>
      <c r="F381" s="43" t="e">
        <f>VLOOKUP(Salidas[[#This Row],[CODIGO ]],Inventari_2[],8,FALSE)</f>
        <v>#N/A</v>
      </c>
      <c r="G381" s="44" t="e">
        <f>Salidas[[#This Row],[PRECIO]]*Salidas[[#This Row],[CANTIDAD]]</f>
        <v>#N/A</v>
      </c>
      <c r="H381" s="84" t="e">
        <f>VLOOKUP(Salidas[[#This Row],[CODIGO ]],Inventario[],10,FALSE)*Salidas[[#This Row],[CANTIDAD]]</f>
        <v>#N/A</v>
      </c>
    </row>
    <row r="382" spans="1:8" ht="40.5" customHeight="1">
      <c r="A382" s="18"/>
      <c r="B382" s="20"/>
      <c r="C382" s="86"/>
      <c r="D382" s="83" t="str">
        <f>IFERROR(INDEX(Inventari_2[#All],MATCH(Salidas[[#This Row],[CODIGO ]],Inventari_2[[#Headers],[#Data],[CODIGO]],0),2),"")</f>
        <v/>
      </c>
      <c r="E382">
        <v>1</v>
      </c>
      <c r="F382" s="43" t="e">
        <f>VLOOKUP(Salidas[[#This Row],[CODIGO ]],Inventari_2[],8,FALSE)</f>
        <v>#N/A</v>
      </c>
      <c r="G382" s="44" t="e">
        <f>Salidas[[#This Row],[PRECIO]]*Salidas[[#This Row],[CANTIDAD]]</f>
        <v>#N/A</v>
      </c>
      <c r="H382" s="84" t="e">
        <f>VLOOKUP(Salidas[[#This Row],[CODIGO ]],Inventario[],10,FALSE)*Salidas[[#This Row],[CANTIDAD]]</f>
        <v>#N/A</v>
      </c>
    </row>
    <row r="383" spans="1:8" ht="40.5" customHeight="1">
      <c r="A383" s="18"/>
      <c r="B383" s="20"/>
      <c r="C383" s="86"/>
      <c r="D383" s="83" t="str">
        <f>IFERROR(INDEX(Inventari_2[#All],MATCH(Salidas[[#This Row],[CODIGO ]],Inventari_2[[#Headers],[#Data],[CODIGO]],0),2),"")</f>
        <v/>
      </c>
      <c r="E383">
        <v>1</v>
      </c>
      <c r="F383" s="43" t="e">
        <f>VLOOKUP(Salidas[[#This Row],[CODIGO ]],Inventari_2[],8,FALSE)</f>
        <v>#N/A</v>
      </c>
      <c r="G383" s="44" t="e">
        <f>Salidas[[#This Row],[PRECIO]]*Salidas[[#This Row],[CANTIDAD]]</f>
        <v>#N/A</v>
      </c>
      <c r="H383" s="84" t="e">
        <f>VLOOKUP(Salidas[[#This Row],[CODIGO ]],Inventario[],10,FALSE)*Salidas[[#This Row],[CANTIDAD]]</f>
        <v>#N/A</v>
      </c>
    </row>
    <row r="384" spans="1:8" ht="40.5" customHeight="1">
      <c r="A384" s="18"/>
      <c r="B384" s="20"/>
      <c r="C384" s="86"/>
      <c r="D384" s="83" t="str">
        <f>IFERROR(INDEX(Inventari_2[#All],MATCH(Salidas[[#This Row],[CODIGO ]],Inventari_2[[#Headers],[#Data],[CODIGO]],0),2),"")</f>
        <v/>
      </c>
      <c r="E384">
        <v>1</v>
      </c>
      <c r="F384" s="43" t="e">
        <f>VLOOKUP(Salidas[[#This Row],[CODIGO ]],Inventari_2[],8,FALSE)</f>
        <v>#N/A</v>
      </c>
      <c r="G384" s="44" t="e">
        <f>Salidas[[#This Row],[PRECIO]]*Salidas[[#This Row],[CANTIDAD]]</f>
        <v>#N/A</v>
      </c>
      <c r="H384" s="84" t="e">
        <f>VLOOKUP(Salidas[[#This Row],[CODIGO ]],Inventario[],10,FALSE)*Salidas[[#This Row],[CANTIDAD]]</f>
        <v>#N/A</v>
      </c>
    </row>
    <row r="385" spans="1:8" ht="40.5" customHeight="1">
      <c r="A385" s="18"/>
      <c r="B385" s="20"/>
      <c r="C385" s="86"/>
      <c r="D385" s="83" t="str">
        <f>IFERROR(INDEX(Inventari_2[#All],MATCH(Salidas[[#This Row],[CODIGO ]],Inventari_2[[#Headers],[#Data],[CODIGO]],0),2),"")</f>
        <v/>
      </c>
      <c r="E385">
        <v>1</v>
      </c>
      <c r="F385" s="43" t="e">
        <f>VLOOKUP(Salidas[[#This Row],[CODIGO ]],Inventari_2[],8,FALSE)</f>
        <v>#N/A</v>
      </c>
      <c r="G385" s="44" t="e">
        <f>Salidas[[#This Row],[PRECIO]]*Salidas[[#This Row],[CANTIDAD]]</f>
        <v>#N/A</v>
      </c>
      <c r="H385" s="84" t="e">
        <f>VLOOKUP(Salidas[[#This Row],[CODIGO ]],Inventario[],10,FALSE)*Salidas[[#This Row],[CANTIDAD]]</f>
        <v>#N/A</v>
      </c>
    </row>
    <row r="386" spans="1:8" ht="40.5" customHeight="1">
      <c r="A386" s="18"/>
      <c r="B386" s="20"/>
      <c r="C386" s="86"/>
      <c r="D386" s="83" t="str">
        <f>IFERROR(INDEX(Inventari_2[#All],MATCH(Salidas[[#This Row],[CODIGO ]],Inventari_2[[#Headers],[#Data],[CODIGO]],0),2),"")</f>
        <v/>
      </c>
      <c r="E386">
        <v>1</v>
      </c>
      <c r="F386" s="43" t="e">
        <f>VLOOKUP(Salidas[[#This Row],[CODIGO ]],Inventari_2[],8,FALSE)</f>
        <v>#N/A</v>
      </c>
      <c r="G386" s="44" t="e">
        <f>Salidas[[#This Row],[PRECIO]]*Salidas[[#This Row],[CANTIDAD]]</f>
        <v>#N/A</v>
      </c>
      <c r="H386" s="84" t="e">
        <f>VLOOKUP(Salidas[[#This Row],[CODIGO ]],Inventario[],10,FALSE)*Salidas[[#This Row],[CANTIDAD]]</f>
        <v>#N/A</v>
      </c>
    </row>
    <row r="387" spans="1:8" ht="40.5" customHeight="1">
      <c r="A387" s="18"/>
      <c r="B387" s="20"/>
      <c r="C387" s="86"/>
      <c r="D387" s="83" t="str">
        <f>IFERROR(INDEX(Inventari_2[#All],MATCH(Salidas[[#This Row],[CODIGO ]],Inventari_2[[#Headers],[#Data],[CODIGO]],0),2),"")</f>
        <v/>
      </c>
      <c r="E387">
        <v>1</v>
      </c>
      <c r="F387" s="43" t="e">
        <f>VLOOKUP(Salidas[[#This Row],[CODIGO ]],Inventari_2[],8,FALSE)</f>
        <v>#N/A</v>
      </c>
      <c r="G387" s="44" t="e">
        <f>Salidas[[#This Row],[PRECIO]]*Salidas[[#This Row],[CANTIDAD]]</f>
        <v>#N/A</v>
      </c>
      <c r="H387" s="84" t="e">
        <f>VLOOKUP(Salidas[[#This Row],[CODIGO ]],Inventario[],10,FALSE)*Salidas[[#This Row],[CANTIDAD]]</f>
        <v>#N/A</v>
      </c>
    </row>
    <row r="388" spans="1:8" ht="40.5" customHeight="1">
      <c r="A388" s="18"/>
      <c r="B388" s="20"/>
      <c r="C388" s="86"/>
      <c r="D388" s="83" t="str">
        <f>IFERROR(INDEX(Inventari_2[#All],MATCH(Salidas[[#This Row],[CODIGO ]],Inventari_2[[#Headers],[#Data],[CODIGO]],0),2),"")</f>
        <v/>
      </c>
      <c r="E388">
        <v>1</v>
      </c>
      <c r="F388" s="43" t="e">
        <f>VLOOKUP(Salidas[[#This Row],[CODIGO ]],Inventari_2[],8,FALSE)</f>
        <v>#N/A</v>
      </c>
      <c r="G388" s="44" t="e">
        <f>Salidas[[#This Row],[PRECIO]]*Salidas[[#This Row],[CANTIDAD]]</f>
        <v>#N/A</v>
      </c>
      <c r="H388" s="84" t="e">
        <f>VLOOKUP(Salidas[[#This Row],[CODIGO ]],Inventario[],10,FALSE)*Salidas[[#This Row],[CANTIDAD]]</f>
        <v>#N/A</v>
      </c>
    </row>
    <row r="389" spans="1:8" ht="40.5" customHeight="1">
      <c r="A389" s="18"/>
      <c r="B389" s="20"/>
      <c r="C389" s="86"/>
      <c r="D389" s="83" t="str">
        <f>IFERROR(INDEX(Inventari_2[#All],MATCH(Salidas[[#This Row],[CODIGO ]],Inventari_2[[#Headers],[#Data],[CODIGO]],0),2),"")</f>
        <v/>
      </c>
      <c r="E389">
        <v>1</v>
      </c>
      <c r="F389" s="43" t="e">
        <f>VLOOKUP(Salidas[[#This Row],[CODIGO ]],Inventari_2[],8,FALSE)</f>
        <v>#N/A</v>
      </c>
      <c r="G389" s="44" t="e">
        <f>Salidas[[#This Row],[PRECIO]]*Salidas[[#This Row],[CANTIDAD]]</f>
        <v>#N/A</v>
      </c>
      <c r="H389" s="84" t="e">
        <f>VLOOKUP(Salidas[[#This Row],[CODIGO ]],Inventario[],10,FALSE)*Salidas[[#This Row],[CANTIDAD]]</f>
        <v>#N/A</v>
      </c>
    </row>
    <row r="390" spans="1:8" ht="40.5" customHeight="1">
      <c r="A390" s="18"/>
      <c r="B390" s="20"/>
      <c r="C390" s="86"/>
      <c r="D390" s="83" t="str">
        <f>IFERROR(INDEX(Inventari_2[#All],MATCH(Salidas[[#This Row],[CODIGO ]],Inventari_2[[#Headers],[#Data],[CODIGO]],0),2),"")</f>
        <v/>
      </c>
      <c r="E390">
        <v>1</v>
      </c>
      <c r="F390" s="43" t="e">
        <f>VLOOKUP(Salidas[[#This Row],[CODIGO ]],Inventari_2[],8,FALSE)</f>
        <v>#N/A</v>
      </c>
      <c r="G390" s="44" t="e">
        <f>Salidas[[#This Row],[PRECIO]]*Salidas[[#This Row],[CANTIDAD]]</f>
        <v>#N/A</v>
      </c>
      <c r="H390" s="84" t="e">
        <f>VLOOKUP(Salidas[[#This Row],[CODIGO ]],Inventario[],10,FALSE)*Salidas[[#This Row],[CANTIDAD]]</f>
        <v>#N/A</v>
      </c>
    </row>
    <row r="391" spans="1:8" ht="40.5" customHeight="1">
      <c r="A391" s="18"/>
      <c r="B391" s="20"/>
      <c r="C391" s="86"/>
      <c r="D391" s="83" t="str">
        <f>IFERROR(INDEX(Inventari_2[#All],MATCH(Salidas[[#This Row],[CODIGO ]],Inventari_2[[#Headers],[#Data],[CODIGO]],0),2),"")</f>
        <v/>
      </c>
      <c r="E391">
        <v>1</v>
      </c>
      <c r="F391" s="43" t="e">
        <f>VLOOKUP(Salidas[[#This Row],[CODIGO ]],Inventari_2[],8,FALSE)</f>
        <v>#N/A</v>
      </c>
      <c r="G391" s="44" t="e">
        <f>Salidas[[#This Row],[PRECIO]]*Salidas[[#This Row],[CANTIDAD]]</f>
        <v>#N/A</v>
      </c>
      <c r="H391" s="84" t="e">
        <f>VLOOKUP(Salidas[[#This Row],[CODIGO ]],Inventario[],10,FALSE)*Salidas[[#This Row],[CANTIDAD]]</f>
        <v>#N/A</v>
      </c>
    </row>
    <row r="392" spans="1:8" ht="40.5" customHeight="1">
      <c r="A392" s="18"/>
      <c r="B392" s="20"/>
      <c r="C392" s="86"/>
      <c r="D392" s="83" t="str">
        <f>IFERROR(INDEX(Inventari_2[#All],MATCH(Salidas[[#This Row],[CODIGO ]],Inventari_2[[#Headers],[#Data],[CODIGO]],0),2),"")</f>
        <v/>
      </c>
      <c r="E392">
        <v>1</v>
      </c>
      <c r="F392" s="43" t="e">
        <f>VLOOKUP(Salidas[[#This Row],[CODIGO ]],Inventari_2[],8,FALSE)</f>
        <v>#N/A</v>
      </c>
      <c r="G392" s="44" t="e">
        <f>Salidas[[#This Row],[PRECIO]]*Salidas[[#This Row],[CANTIDAD]]</f>
        <v>#N/A</v>
      </c>
      <c r="H392" s="84" t="e">
        <f>VLOOKUP(Salidas[[#This Row],[CODIGO ]],Inventario[],10,FALSE)*Salidas[[#This Row],[CANTIDAD]]</f>
        <v>#N/A</v>
      </c>
    </row>
    <row r="393" spans="1:8" ht="40.5" customHeight="1">
      <c r="A393" s="18"/>
      <c r="B393" s="20"/>
      <c r="C393" s="86"/>
      <c r="D393" s="83" t="str">
        <f>IFERROR(INDEX(Inventari_2[#All],MATCH(Salidas[[#This Row],[CODIGO ]],Inventari_2[[#Headers],[#Data],[CODIGO]],0),2),"")</f>
        <v/>
      </c>
      <c r="E393">
        <v>1</v>
      </c>
      <c r="F393" s="43" t="e">
        <f>VLOOKUP(Salidas[[#This Row],[CODIGO ]],Inventari_2[],8,FALSE)</f>
        <v>#N/A</v>
      </c>
      <c r="G393" s="44" t="e">
        <f>Salidas[[#This Row],[PRECIO]]*Salidas[[#This Row],[CANTIDAD]]</f>
        <v>#N/A</v>
      </c>
      <c r="H393" s="84" t="e">
        <f>VLOOKUP(Salidas[[#This Row],[CODIGO ]],Inventario[],10,FALSE)*Salidas[[#This Row],[CANTIDAD]]</f>
        <v>#N/A</v>
      </c>
    </row>
    <row r="394" spans="1:8" ht="40.5" customHeight="1">
      <c r="A394" s="18"/>
      <c r="B394" s="20"/>
      <c r="C394" s="86"/>
      <c r="D394" s="83" t="str">
        <f>IFERROR(INDEX(Inventari_2[#All],MATCH(Salidas[[#This Row],[CODIGO ]],Inventari_2[[#Headers],[#Data],[CODIGO]],0),2),"")</f>
        <v/>
      </c>
      <c r="E394">
        <v>1</v>
      </c>
      <c r="F394" s="43" t="e">
        <f>VLOOKUP(Salidas[[#This Row],[CODIGO ]],Inventari_2[],8,FALSE)</f>
        <v>#N/A</v>
      </c>
      <c r="G394" s="44" t="e">
        <f>Salidas[[#This Row],[PRECIO]]*Salidas[[#This Row],[CANTIDAD]]</f>
        <v>#N/A</v>
      </c>
      <c r="H394" s="84" t="e">
        <f>VLOOKUP(Salidas[[#This Row],[CODIGO ]],Inventario[],10,FALSE)*Salidas[[#This Row],[CANTIDAD]]</f>
        <v>#N/A</v>
      </c>
    </row>
    <row r="395" spans="1:8" ht="40.5" customHeight="1">
      <c r="A395" s="18"/>
      <c r="B395" s="20"/>
      <c r="C395" s="86"/>
      <c r="D395" s="83" t="str">
        <f>IFERROR(INDEX(Inventari_2[#All],MATCH(Salidas[[#This Row],[CODIGO ]],Inventari_2[[#Headers],[#Data],[CODIGO]],0),2),"")</f>
        <v/>
      </c>
      <c r="E395">
        <v>1</v>
      </c>
      <c r="F395" s="43" t="e">
        <f>VLOOKUP(Salidas[[#This Row],[CODIGO ]],Inventari_2[],8,FALSE)</f>
        <v>#N/A</v>
      </c>
      <c r="G395" s="44" t="e">
        <f>Salidas[[#This Row],[PRECIO]]*Salidas[[#This Row],[CANTIDAD]]</f>
        <v>#N/A</v>
      </c>
      <c r="H395" s="84" t="e">
        <f>VLOOKUP(Salidas[[#This Row],[CODIGO ]],Inventario[],10,FALSE)*Salidas[[#This Row],[CANTIDAD]]</f>
        <v>#N/A</v>
      </c>
    </row>
    <row r="396" spans="1:8" ht="40.5" customHeight="1">
      <c r="A396" s="18"/>
      <c r="B396" s="20"/>
      <c r="C396" s="86"/>
      <c r="D396" s="83" t="str">
        <f>IFERROR(INDEX(Inventari_2[#All],MATCH(Salidas[[#This Row],[CODIGO ]],Inventari_2[[#Headers],[#Data],[CODIGO]],0),2),"")</f>
        <v/>
      </c>
      <c r="E396">
        <v>1</v>
      </c>
      <c r="F396" s="43" t="e">
        <f>VLOOKUP(Salidas[[#This Row],[CODIGO ]],Inventari_2[],8,FALSE)</f>
        <v>#N/A</v>
      </c>
      <c r="G396" s="44" t="e">
        <f>Salidas[[#This Row],[PRECIO]]*Salidas[[#This Row],[CANTIDAD]]</f>
        <v>#N/A</v>
      </c>
      <c r="H396" s="84" t="e">
        <f>VLOOKUP(Salidas[[#This Row],[CODIGO ]],Inventario[],10,FALSE)*Salidas[[#This Row],[CANTIDAD]]</f>
        <v>#N/A</v>
      </c>
    </row>
    <row r="397" spans="1:8" ht="40.5" customHeight="1">
      <c r="A397" s="18"/>
      <c r="B397" s="20"/>
      <c r="C397" s="86"/>
      <c r="D397" s="83" t="str">
        <f>IFERROR(INDEX(Inventari_2[#All],MATCH(Salidas[[#This Row],[CODIGO ]],Inventari_2[[#Headers],[#Data],[CODIGO]],0),2),"")</f>
        <v/>
      </c>
      <c r="E397">
        <v>1</v>
      </c>
      <c r="F397" s="43" t="e">
        <f>VLOOKUP(Salidas[[#This Row],[CODIGO ]],Inventari_2[],8,FALSE)</f>
        <v>#N/A</v>
      </c>
      <c r="G397" s="44" t="e">
        <f>Salidas[[#This Row],[PRECIO]]*Salidas[[#This Row],[CANTIDAD]]</f>
        <v>#N/A</v>
      </c>
      <c r="H397" s="84" t="e">
        <f>VLOOKUP(Salidas[[#This Row],[CODIGO ]],Inventario[],10,FALSE)*Salidas[[#This Row],[CANTIDAD]]</f>
        <v>#N/A</v>
      </c>
    </row>
    <row r="398" spans="1:8" ht="40.5" customHeight="1">
      <c r="A398" s="18"/>
      <c r="B398" s="20"/>
      <c r="C398" s="86"/>
      <c r="D398" s="83" t="str">
        <f>IFERROR(INDEX(Inventari_2[#All],MATCH(Salidas[[#This Row],[CODIGO ]],Inventari_2[[#Headers],[#Data],[CODIGO]],0),2),"")</f>
        <v/>
      </c>
      <c r="E398">
        <v>1</v>
      </c>
      <c r="F398" s="43" t="e">
        <f>VLOOKUP(Salidas[[#This Row],[CODIGO ]],Inventari_2[],8,FALSE)</f>
        <v>#N/A</v>
      </c>
      <c r="G398" s="44" t="e">
        <f>Salidas[[#This Row],[PRECIO]]*Salidas[[#This Row],[CANTIDAD]]</f>
        <v>#N/A</v>
      </c>
      <c r="H398" s="84" t="e">
        <f>VLOOKUP(Salidas[[#This Row],[CODIGO ]],Inventario[],10,FALSE)*Salidas[[#This Row],[CANTIDAD]]</f>
        <v>#N/A</v>
      </c>
    </row>
    <row r="399" spans="1:8" ht="40.5" customHeight="1">
      <c r="A399" s="18"/>
      <c r="B399" s="20"/>
      <c r="C399" s="86"/>
      <c r="D399" s="83" t="str">
        <f>IFERROR(INDEX(Inventari_2[#All],MATCH(Salidas[[#This Row],[CODIGO ]],Inventari_2[[#Headers],[#Data],[CODIGO]],0),2),"")</f>
        <v/>
      </c>
      <c r="E399">
        <v>1</v>
      </c>
      <c r="F399" s="43" t="e">
        <f>VLOOKUP(Salidas[[#This Row],[CODIGO ]],Inventari_2[],8,FALSE)</f>
        <v>#N/A</v>
      </c>
      <c r="G399" s="44" t="e">
        <f>Salidas[[#This Row],[PRECIO]]*Salidas[[#This Row],[CANTIDAD]]</f>
        <v>#N/A</v>
      </c>
      <c r="H399" s="84" t="e">
        <f>VLOOKUP(Salidas[[#This Row],[CODIGO ]],Inventario[],10,FALSE)*Salidas[[#This Row],[CANTIDAD]]</f>
        <v>#N/A</v>
      </c>
    </row>
    <row r="400" spans="1:8" ht="40.5" customHeight="1">
      <c r="A400" s="18"/>
      <c r="B400" s="20"/>
      <c r="C400" s="86"/>
      <c r="D400" s="83" t="str">
        <f>IFERROR(INDEX(Inventari_2[#All],MATCH(Salidas[[#This Row],[CODIGO ]],Inventari_2[[#Headers],[#Data],[CODIGO]],0),2),"")</f>
        <v/>
      </c>
      <c r="E400">
        <v>1</v>
      </c>
      <c r="F400" s="43" t="e">
        <f>VLOOKUP(Salidas[[#This Row],[CODIGO ]],Inventari_2[],8,FALSE)</f>
        <v>#N/A</v>
      </c>
      <c r="G400" s="44" t="e">
        <f>Salidas[[#This Row],[PRECIO]]*Salidas[[#This Row],[CANTIDAD]]</f>
        <v>#N/A</v>
      </c>
      <c r="H400" s="84" t="e">
        <f>VLOOKUP(Salidas[[#This Row],[CODIGO ]],Inventario[],10,FALSE)*Salidas[[#This Row],[CANTIDAD]]</f>
        <v>#N/A</v>
      </c>
    </row>
    <row r="401" spans="1:8" ht="40.5" customHeight="1">
      <c r="A401" s="18"/>
      <c r="B401" s="20"/>
      <c r="C401" s="86"/>
      <c r="D401" s="83" t="str">
        <f>IFERROR(INDEX(Inventari_2[#All],MATCH(Salidas[[#This Row],[CODIGO ]],Inventari_2[[#Headers],[#Data],[CODIGO]],0),2),"")</f>
        <v/>
      </c>
      <c r="E401">
        <v>1</v>
      </c>
      <c r="F401" s="43" t="e">
        <f>VLOOKUP(Salidas[[#This Row],[CODIGO ]],Inventari_2[],8,FALSE)</f>
        <v>#N/A</v>
      </c>
      <c r="G401" s="44" t="e">
        <f>Salidas[[#This Row],[PRECIO]]*Salidas[[#This Row],[CANTIDAD]]</f>
        <v>#N/A</v>
      </c>
      <c r="H401" s="84" t="e">
        <f>VLOOKUP(Salidas[[#This Row],[CODIGO ]],Inventario[],10,FALSE)*Salidas[[#This Row],[CANTIDAD]]</f>
        <v>#N/A</v>
      </c>
    </row>
    <row r="402" spans="1:8" ht="40.5" customHeight="1">
      <c r="A402" s="18"/>
      <c r="B402" s="20"/>
      <c r="C402" s="86"/>
      <c r="D402" s="83" t="str">
        <f>IFERROR(INDEX(Inventari_2[#All],MATCH(Salidas[[#This Row],[CODIGO ]],Inventari_2[[#Headers],[#Data],[CODIGO]],0),2),"")</f>
        <v/>
      </c>
      <c r="E402">
        <v>1</v>
      </c>
      <c r="F402" s="43" t="e">
        <f>VLOOKUP(Salidas[[#This Row],[CODIGO ]],Inventari_2[],8,FALSE)</f>
        <v>#N/A</v>
      </c>
      <c r="G402" s="44" t="e">
        <f>Salidas[[#This Row],[PRECIO]]*Salidas[[#This Row],[CANTIDAD]]</f>
        <v>#N/A</v>
      </c>
      <c r="H402" s="84" t="e">
        <f>VLOOKUP(Salidas[[#This Row],[CODIGO ]],Inventario[],10,FALSE)*Salidas[[#This Row],[CANTIDAD]]</f>
        <v>#N/A</v>
      </c>
    </row>
    <row r="403" spans="1:8" ht="40.5" customHeight="1">
      <c r="A403" s="18"/>
      <c r="B403" s="20"/>
      <c r="C403" s="86"/>
      <c r="D403" s="83" t="str">
        <f>IFERROR(INDEX(Inventari_2[#All],MATCH(Salidas[[#This Row],[CODIGO ]],Inventari_2[[#Headers],[#Data],[CODIGO]],0),2),"")</f>
        <v/>
      </c>
      <c r="E403">
        <v>1</v>
      </c>
      <c r="F403" s="43" t="e">
        <f>VLOOKUP(Salidas[[#This Row],[CODIGO ]],Inventari_2[],8,FALSE)</f>
        <v>#N/A</v>
      </c>
      <c r="G403" s="44" t="e">
        <f>Salidas[[#This Row],[PRECIO]]*Salidas[[#This Row],[CANTIDAD]]</f>
        <v>#N/A</v>
      </c>
      <c r="H403" s="84" t="e">
        <f>VLOOKUP(Salidas[[#This Row],[CODIGO ]],Inventario[],10,FALSE)*Salidas[[#This Row],[CANTIDAD]]</f>
        <v>#N/A</v>
      </c>
    </row>
    <row r="404" spans="1:8" ht="40.5" customHeight="1">
      <c r="A404" s="18"/>
      <c r="B404" s="20"/>
      <c r="C404" s="86"/>
      <c r="D404" s="83" t="str">
        <f>IFERROR(INDEX(Inventari_2[#All],MATCH(Salidas[[#This Row],[CODIGO ]],Inventari_2[[#Headers],[#Data],[CODIGO]],0),2),"")</f>
        <v/>
      </c>
      <c r="E404">
        <v>1</v>
      </c>
      <c r="F404" s="43" t="e">
        <f>VLOOKUP(Salidas[[#This Row],[CODIGO ]],Inventari_2[],8,FALSE)</f>
        <v>#N/A</v>
      </c>
      <c r="G404" s="44" t="e">
        <f>Salidas[[#This Row],[PRECIO]]*Salidas[[#This Row],[CANTIDAD]]</f>
        <v>#N/A</v>
      </c>
      <c r="H404" s="84" t="e">
        <f>VLOOKUP(Salidas[[#This Row],[CODIGO ]],Inventario[],10,FALSE)*Salidas[[#This Row],[CANTIDAD]]</f>
        <v>#N/A</v>
      </c>
    </row>
    <row r="405" spans="1:8" ht="40.5" customHeight="1">
      <c r="A405" s="18"/>
      <c r="B405" s="20"/>
      <c r="C405" s="86"/>
      <c r="D405" s="83" t="str">
        <f>IFERROR(INDEX(Inventari_2[#All],MATCH(Salidas[[#This Row],[CODIGO ]],Inventari_2[[#Headers],[#Data],[CODIGO]],0),2),"")</f>
        <v/>
      </c>
      <c r="E405">
        <v>1</v>
      </c>
      <c r="F405" s="43" t="e">
        <f>VLOOKUP(Salidas[[#This Row],[CODIGO ]],Inventari_2[],8,FALSE)</f>
        <v>#N/A</v>
      </c>
      <c r="G405" s="44" t="e">
        <f>Salidas[[#This Row],[PRECIO]]*Salidas[[#This Row],[CANTIDAD]]</f>
        <v>#N/A</v>
      </c>
      <c r="H405" s="84" t="e">
        <f>VLOOKUP(Salidas[[#This Row],[CODIGO ]],Inventario[],10,FALSE)*Salidas[[#This Row],[CANTIDAD]]</f>
        <v>#N/A</v>
      </c>
    </row>
    <row r="406" spans="1:8" ht="40.5" customHeight="1">
      <c r="A406" s="18"/>
      <c r="B406" s="20"/>
      <c r="C406" s="86"/>
      <c r="D406" s="83" t="str">
        <f>IFERROR(INDEX(Inventari_2[#All],MATCH(Salidas[[#This Row],[CODIGO ]],Inventari_2[[#Headers],[#Data],[CODIGO]],0),2),"")</f>
        <v/>
      </c>
      <c r="E406">
        <v>1</v>
      </c>
      <c r="F406" s="43" t="e">
        <f>VLOOKUP(Salidas[[#This Row],[CODIGO ]],Inventari_2[],8,FALSE)</f>
        <v>#N/A</v>
      </c>
      <c r="G406" s="44" t="e">
        <f>Salidas[[#This Row],[PRECIO]]*Salidas[[#This Row],[CANTIDAD]]</f>
        <v>#N/A</v>
      </c>
      <c r="H406" s="84" t="e">
        <f>VLOOKUP(Salidas[[#This Row],[CODIGO ]],Inventario[],10,FALSE)*Salidas[[#This Row],[CANTIDAD]]</f>
        <v>#N/A</v>
      </c>
    </row>
    <row r="407" spans="1:8" ht="40.5" customHeight="1">
      <c r="A407" s="18"/>
      <c r="B407" s="20"/>
      <c r="C407" s="86"/>
      <c r="D407" s="83" t="str">
        <f>IFERROR(INDEX(Inventari_2[#All],MATCH(Salidas[[#This Row],[CODIGO ]],Inventari_2[[#Headers],[#Data],[CODIGO]],0),2),"")</f>
        <v/>
      </c>
      <c r="E407">
        <v>1</v>
      </c>
      <c r="F407" s="43" t="e">
        <f>VLOOKUP(Salidas[[#This Row],[CODIGO ]],Inventari_2[],8,FALSE)</f>
        <v>#N/A</v>
      </c>
      <c r="G407" s="44" t="e">
        <f>Salidas[[#This Row],[PRECIO]]*Salidas[[#This Row],[CANTIDAD]]</f>
        <v>#N/A</v>
      </c>
      <c r="H407" s="84" t="e">
        <f>VLOOKUP(Salidas[[#This Row],[CODIGO ]],Inventario[],10,FALSE)*Salidas[[#This Row],[CANTIDAD]]</f>
        <v>#N/A</v>
      </c>
    </row>
    <row r="408" spans="1:8" s="57" customFormat="1" ht="40.5" customHeight="1">
      <c r="A408" s="55"/>
      <c r="B408" s="56"/>
      <c r="C408" s="86"/>
      <c r="D408" s="83" t="str">
        <f>IFERROR(INDEX(Inventari_2[#All],MATCH(Salidas[[#This Row],[CODIGO ]],Inventari_2[[#Headers],[#Data],[CODIGO]],0),2),"")</f>
        <v/>
      </c>
      <c r="E408">
        <v>1</v>
      </c>
      <c r="F408" s="58" t="e">
        <f>VLOOKUP(Salidas[[#This Row],[CODIGO ]],Inventari_2[],8,FALSE)</f>
        <v>#N/A</v>
      </c>
      <c r="G408" s="44" t="e">
        <f>Salidas[[#This Row],[PRECIO]]*Salidas[[#This Row],[CANTIDAD]]</f>
        <v>#N/A</v>
      </c>
      <c r="H408" s="84" t="e">
        <f>VLOOKUP(Salidas[[#This Row],[CODIGO ]],Inventario[],10,FALSE)*Salidas[[#This Row],[CANTIDAD]]</f>
        <v>#N/A</v>
      </c>
    </row>
    <row r="409" spans="1:8" ht="40.5" customHeight="1">
      <c r="A409" s="18"/>
      <c r="B409" s="20"/>
      <c r="C409" s="86"/>
      <c r="D409" s="83" t="str">
        <f>IFERROR(INDEX(Inventari_2[#All],MATCH(Salidas[[#This Row],[CODIGO ]],Inventari_2[[#Headers],[#Data],[CODIGO]],0),2),"")</f>
        <v/>
      </c>
      <c r="E409">
        <v>1</v>
      </c>
      <c r="F409" s="43" t="e">
        <f>VLOOKUP(Salidas[[#This Row],[CODIGO ]],Inventari_2[],8,FALSE)</f>
        <v>#N/A</v>
      </c>
      <c r="G409" s="44" t="e">
        <f>Salidas[[#This Row],[PRECIO]]*Salidas[[#This Row],[CANTIDAD]]</f>
        <v>#N/A</v>
      </c>
      <c r="H409" s="84" t="e">
        <f>VLOOKUP(Salidas[[#This Row],[CODIGO ]],Inventario[],10,FALSE)*Salidas[[#This Row],[CANTIDAD]]</f>
        <v>#N/A</v>
      </c>
    </row>
    <row r="410" spans="1:8" ht="40.5" customHeight="1">
      <c r="A410" s="18"/>
      <c r="B410" s="20"/>
      <c r="C410" s="86"/>
      <c r="D410" s="83" t="str">
        <f>IFERROR(INDEX(Inventari_2[#All],MATCH(Salidas[[#This Row],[CODIGO ]],Inventari_2[[#Headers],[#Data],[CODIGO]],0),2),"")</f>
        <v/>
      </c>
      <c r="E410">
        <v>1</v>
      </c>
      <c r="F410" s="43" t="e">
        <f>VLOOKUP(Salidas[[#This Row],[CODIGO ]],Inventari_2[],8,FALSE)</f>
        <v>#N/A</v>
      </c>
      <c r="G410" s="44" t="e">
        <f>Salidas[[#This Row],[PRECIO]]*Salidas[[#This Row],[CANTIDAD]]</f>
        <v>#N/A</v>
      </c>
      <c r="H410" s="84" t="e">
        <f>VLOOKUP(Salidas[[#This Row],[CODIGO ]],Inventario[],10,FALSE)*Salidas[[#This Row],[CANTIDAD]]</f>
        <v>#N/A</v>
      </c>
    </row>
    <row r="411" spans="1:8" ht="40.5" customHeight="1">
      <c r="A411" s="18"/>
      <c r="B411" s="20"/>
      <c r="C411" s="86"/>
      <c r="D411" s="83" t="str">
        <f>IFERROR(INDEX(Inventari_2[#All],MATCH(Salidas[[#This Row],[CODIGO ]],Inventari_2[[#Headers],[#Data],[CODIGO]],0),2),"")</f>
        <v/>
      </c>
      <c r="E411">
        <v>1</v>
      </c>
      <c r="F411" s="43" t="e">
        <f>VLOOKUP(Salidas[[#This Row],[CODIGO ]],Inventari_2[],8,FALSE)</f>
        <v>#N/A</v>
      </c>
      <c r="G411" s="44" t="e">
        <f>Salidas[[#This Row],[PRECIO]]*Salidas[[#This Row],[CANTIDAD]]</f>
        <v>#N/A</v>
      </c>
      <c r="H411" s="84" t="e">
        <f>VLOOKUP(Salidas[[#This Row],[CODIGO ]],Inventario[],10,FALSE)*Salidas[[#This Row],[CANTIDAD]]</f>
        <v>#N/A</v>
      </c>
    </row>
    <row r="412" spans="1:8" ht="40.5" customHeight="1">
      <c r="A412" s="18"/>
      <c r="B412" s="20"/>
      <c r="C412" s="86"/>
      <c r="D412" s="83" t="str">
        <f>IFERROR(INDEX(Inventari_2[#All],MATCH(Salidas[[#This Row],[CODIGO ]],Inventari_2[[#Headers],[#Data],[CODIGO]],0),2),"")</f>
        <v/>
      </c>
      <c r="E412">
        <v>1</v>
      </c>
      <c r="F412" s="43" t="e">
        <f>VLOOKUP(Salidas[[#This Row],[CODIGO ]],Inventari_2[],8,FALSE)</f>
        <v>#N/A</v>
      </c>
      <c r="G412" s="44" t="e">
        <f>Salidas[[#This Row],[PRECIO]]*Salidas[[#This Row],[CANTIDAD]]</f>
        <v>#N/A</v>
      </c>
      <c r="H412" s="84" t="e">
        <f>VLOOKUP(Salidas[[#This Row],[CODIGO ]],Inventario[],10,FALSE)*Salidas[[#This Row],[CANTIDAD]]</f>
        <v>#N/A</v>
      </c>
    </row>
    <row r="413" spans="1:8" ht="40.5" customHeight="1">
      <c r="A413" s="18"/>
      <c r="B413" s="20"/>
      <c r="C413" s="86"/>
      <c r="D413" s="83" t="str">
        <f>IFERROR(INDEX(Inventari_2[#All],MATCH(Salidas[[#This Row],[CODIGO ]],Inventari_2[[#Headers],[#Data],[CODIGO]],0),2),"")</f>
        <v/>
      </c>
      <c r="E413">
        <v>1</v>
      </c>
      <c r="F413" s="43" t="e">
        <f>VLOOKUP(Salidas[[#This Row],[CODIGO ]],Inventari_2[],8,FALSE)</f>
        <v>#N/A</v>
      </c>
      <c r="G413" s="44" t="e">
        <f>Salidas[[#This Row],[PRECIO]]*Salidas[[#This Row],[CANTIDAD]]</f>
        <v>#N/A</v>
      </c>
      <c r="H413" s="84" t="e">
        <f>VLOOKUP(Salidas[[#This Row],[CODIGO ]],Inventario[],10,FALSE)*Salidas[[#This Row],[CANTIDAD]]</f>
        <v>#N/A</v>
      </c>
    </row>
    <row r="414" spans="1:8" ht="40.5" customHeight="1">
      <c r="A414" s="18"/>
      <c r="B414" s="20"/>
      <c r="C414" s="86"/>
      <c r="D414" s="83" t="str">
        <f>IFERROR(INDEX(Inventari_2[#All],MATCH(Salidas[[#This Row],[CODIGO ]],Inventari_2[[#Headers],[#Data],[CODIGO]],0),2),"")</f>
        <v/>
      </c>
      <c r="E414">
        <v>1</v>
      </c>
      <c r="F414" s="43" t="e">
        <f>VLOOKUP(Salidas[[#This Row],[CODIGO ]],Inventari_2[],8,FALSE)</f>
        <v>#N/A</v>
      </c>
      <c r="G414" s="44" t="e">
        <f>Salidas[[#This Row],[PRECIO]]*Salidas[[#This Row],[CANTIDAD]]</f>
        <v>#N/A</v>
      </c>
      <c r="H414" s="84" t="e">
        <f>VLOOKUP(Salidas[[#This Row],[CODIGO ]],Inventario[],10,FALSE)*Salidas[[#This Row],[CANTIDAD]]</f>
        <v>#N/A</v>
      </c>
    </row>
    <row r="415" spans="1:8" ht="40.5" customHeight="1">
      <c r="A415" s="18"/>
      <c r="B415" s="20"/>
      <c r="C415" s="86"/>
      <c r="D415" s="83" t="str">
        <f>IFERROR(INDEX(Inventari_2[#All],MATCH(Salidas[[#This Row],[CODIGO ]],Inventari_2[[#Headers],[#Data],[CODIGO]],0),2),"")</f>
        <v/>
      </c>
      <c r="E415">
        <v>1</v>
      </c>
      <c r="F415" s="43" t="e">
        <f>VLOOKUP(Salidas[[#This Row],[CODIGO ]],Inventari_2[],8,FALSE)</f>
        <v>#N/A</v>
      </c>
      <c r="G415" s="44" t="e">
        <f>Salidas[[#This Row],[PRECIO]]*Salidas[[#This Row],[CANTIDAD]]</f>
        <v>#N/A</v>
      </c>
      <c r="H415" s="84" t="e">
        <f>VLOOKUP(Salidas[[#This Row],[CODIGO ]],Inventario[],10,FALSE)*Salidas[[#This Row],[CANTIDAD]]</f>
        <v>#N/A</v>
      </c>
    </row>
    <row r="416" spans="1:8" ht="40.5" customHeight="1">
      <c r="A416" s="18"/>
      <c r="B416" s="20"/>
      <c r="C416" s="86"/>
      <c r="D416" s="83" t="str">
        <f>IFERROR(INDEX(Inventari_2[#All],MATCH(Salidas[[#This Row],[CODIGO ]],Inventari_2[[#Headers],[#Data],[CODIGO]],0),2),"")</f>
        <v/>
      </c>
      <c r="E416">
        <v>1</v>
      </c>
      <c r="F416" s="43" t="e">
        <f>VLOOKUP(Salidas[[#This Row],[CODIGO ]],Inventari_2[],8,FALSE)</f>
        <v>#N/A</v>
      </c>
      <c r="G416" s="44" t="e">
        <f>Salidas[[#This Row],[PRECIO]]*Salidas[[#This Row],[CANTIDAD]]</f>
        <v>#N/A</v>
      </c>
      <c r="H416" s="84" t="e">
        <f>VLOOKUP(Salidas[[#This Row],[CODIGO ]],Inventario[],10,FALSE)*Salidas[[#This Row],[CANTIDAD]]</f>
        <v>#N/A</v>
      </c>
    </row>
    <row r="417" spans="1:8" ht="40.5" customHeight="1">
      <c r="A417" s="18"/>
      <c r="B417" s="20"/>
      <c r="C417" s="86"/>
      <c r="D417" s="83" t="str">
        <f>IFERROR(INDEX(Inventari_2[#All],MATCH(Salidas[[#This Row],[CODIGO ]],Inventari_2[[#Headers],[#Data],[CODIGO]],0),2),"")</f>
        <v/>
      </c>
      <c r="E417">
        <v>1</v>
      </c>
      <c r="F417" s="43" t="e">
        <f>VLOOKUP(Salidas[[#This Row],[CODIGO ]],Inventari_2[],8,FALSE)</f>
        <v>#N/A</v>
      </c>
      <c r="G417" s="44" t="e">
        <f>Salidas[[#This Row],[PRECIO]]*Salidas[[#This Row],[CANTIDAD]]</f>
        <v>#N/A</v>
      </c>
      <c r="H417" s="84" t="e">
        <f>VLOOKUP(Salidas[[#This Row],[CODIGO ]],Inventario[],10,FALSE)*Salidas[[#This Row],[CANTIDAD]]</f>
        <v>#N/A</v>
      </c>
    </row>
    <row r="418" spans="1:8" ht="40.5" customHeight="1">
      <c r="A418" s="18"/>
      <c r="B418" s="20"/>
      <c r="C418" s="86"/>
      <c r="D418" s="83" t="str">
        <f>IFERROR(INDEX(Inventari_2[#All],MATCH(Salidas[[#This Row],[CODIGO ]],Inventari_2[[#Headers],[#Data],[CODIGO]],0),2),"")</f>
        <v/>
      </c>
      <c r="E418">
        <v>1</v>
      </c>
      <c r="F418" s="43" t="e">
        <f>VLOOKUP(Salidas[[#This Row],[CODIGO ]],Inventari_2[],8,FALSE)</f>
        <v>#N/A</v>
      </c>
      <c r="G418" s="44" t="e">
        <f>Salidas[[#This Row],[PRECIO]]*Salidas[[#This Row],[CANTIDAD]]</f>
        <v>#N/A</v>
      </c>
      <c r="H418" s="84" t="e">
        <f>VLOOKUP(Salidas[[#This Row],[CODIGO ]],Inventario[],10,FALSE)*Salidas[[#This Row],[CANTIDAD]]</f>
        <v>#N/A</v>
      </c>
    </row>
    <row r="419" spans="1:8" ht="40.5" customHeight="1">
      <c r="A419" s="18"/>
      <c r="B419" s="20"/>
      <c r="C419" s="86"/>
      <c r="D419" s="83" t="str">
        <f>IFERROR(INDEX(Inventari_2[#All],MATCH(Salidas[[#This Row],[CODIGO ]],Inventari_2[[#Headers],[#Data],[CODIGO]],0),2),"")</f>
        <v/>
      </c>
      <c r="E419">
        <v>1</v>
      </c>
      <c r="F419" s="43" t="e">
        <f>VLOOKUP(Salidas[[#This Row],[CODIGO ]],Inventari_2[],8,FALSE)</f>
        <v>#N/A</v>
      </c>
      <c r="G419" s="44" t="e">
        <f>Salidas[[#This Row],[PRECIO]]*Salidas[[#This Row],[CANTIDAD]]</f>
        <v>#N/A</v>
      </c>
      <c r="H419" s="84" t="e">
        <f>VLOOKUP(Salidas[[#This Row],[CODIGO ]],Inventario[],10,FALSE)*Salidas[[#This Row],[CANTIDAD]]</f>
        <v>#N/A</v>
      </c>
    </row>
    <row r="420" spans="1:8" ht="40.5" customHeight="1">
      <c r="A420" s="18"/>
      <c r="B420" s="20"/>
      <c r="C420" s="86"/>
      <c r="D420" s="83" t="str">
        <f>IFERROR(INDEX(Inventari_2[#All],MATCH(Salidas[[#This Row],[CODIGO ]],Inventari_2[[#Headers],[#Data],[CODIGO]],0),2),"")</f>
        <v/>
      </c>
      <c r="E420">
        <v>1</v>
      </c>
      <c r="F420" s="43" t="e">
        <f>VLOOKUP(Salidas[[#This Row],[CODIGO ]],Inventari_2[],8,FALSE)</f>
        <v>#N/A</v>
      </c>
      <c r="G420" s="44" t="e">
        <f>Salidas[[#This Row],[PRECIO]]*Salidas[[#This Row],[CANTIDAD]]</f>
        <v>#N/A</v>
      </c>
      <c r="H420" s="84" t="e">
        <f>VLOOKUP(Salidas[[#This Row],[CODIGO ]],Inventario[],10,FALSE)*Salidas[[#This Row],[CANTIDAD]]</f>
        <v>#N/A</v>
      </c>
    </row>
    <row r="421" spans="1:8" ht="40.5" customHeight="1">
      <c r="A421" s="18"/>
      <c r="B421" s="20"/>
      <c r="C421" s="86"/>
      <c r="D421" s="83" t="str">
        <f>IFERROR(INDEX(Inventari_2[#All],MATCH(Salidas[[#This Row],[CODIGO ]],Inventari_2[[#Headers],[#Data],[CODIGO]],0),2),"")</f>
        <v/>
      </c>
      <c r="E421">
        <v>1</v>
      </c>
      <c r="F421" s="43" t="e">
        <f>VLOOKUP(Salidas[[#This Row],[CODIGO ]],Inventari_2[],8,FALSE)</f>
        <v>#N/A</v>
      </c>
      <c r="G421" s="44" t="e">
        <f>Salidas[[#This Row],[PRECIO]]*Salidas[[#This Row],[CANTIDAD]]</f>
        <v>#N/A</v>
      </c>
      <c r="H421" s="84" t="e">
        <f>VLOOKUP(Salidas[[#This Row],[CODIGO ]],Inventario[],10,FALSE)*Salidas[[#This Row],[CANTIDAD]]</f>
        <v>#N/A</v>
      </c>
    </row>
    <row r="422" spans="1:8" ht="40.5" customHeight="1">
      <c r="A422" s="18"/>
      <c r="B422" s="20"/>
      <c r="C422" s="86"/>
      <c r="D422" s="83" t="str">
        <f>IFERROR(INDEX(Inventari_2[#All],MATCH(Salidas[[#This Row],[CODIGO ]],Inventari_2[[#Headers],[#Data],[CODIGO]],0),2),"")</f>
        <v/>
      </c>
      <c r="E422">
        <v>1</v>
      </c>
      <c r="F422" s="43" t="e">
        <f>VLOOKUP(Salidas[[#This Row],[CODIGO ]],Inventari_2[],8,FALSE)</f>
        <v>#N/A</v>
      </c>
      <c r="G422" s="44" t="e">
        <f>Salidas[[#This Row],[PRECIO]]*Salidas[[#This Row],[CANTIDAD]]</f>
        <v>#N/A</v>
      </c>
      <c r="H422" s="84" t="e">
        <f>VLOOKUP(Salidas[[#This Row],[CODIGO ]],Inventario[],10,FALSE)*Salidas[[#This Row],[CANTIDAD]]</f>
        <v>#N/A</v>
      </c>
    </row>
    <row r="423" spans="1:8" ht="40.5" customHeight="1">
      <c r="A423" s="18"/>
      <c r="B423" s="20"/>
      <c r="C423" s="86"/>
      <c r="D423" s="83" t="str">
        <f>IFERROR(INDEX(Inventari_2[#All],MATCH(Salidas[[#This Row],[CODIGO ]],Inventari_2[[#Headers],[#Data],[CODIGO]],0),2),"")</f>
        <v/>
      </c>
      <c r="E423">
        <v>1</v>
      </c>
      <c r="F423" s="43" t="e">
        <f>VLOOKUP(Salidas[[#This Row],[CODIGO ]],Inventari_2[],8,FALSE)</f>
        <v>#N/A</v>
      </c>
      <c r="G423" s="44" t="e">
        <f>Salidas[[#This Row],[PRECIO]]*Salidas[[#This Row],[CANTIDAD]]</f>
        <v>#N/A</v>
      </c>
      <c r="H423" s="84" t="e">
        <f>VLOOKUP(Salidas[[#This Row],[CODIGO ]],Inventario[],10,FALSE)*Salidas[[#This Row],[CANTIDAD]]</f>
        <v>#N/A</v>
      </c>
    </row>
    <row r="424" spans="1:8" ht="40.5" customHeight="1">
      <c r="A424" s="18"/>
      <c r="B424" s="20"/>
      <c r="C424" s="86"/>
      <c r="D424" s="83" t="str">
        <f>IFERROR(INDEX(Inventari_2[#All],MATCH(Salidas[[#This Row],[CODIGO ]],Inventari_2[[#Headers],[#Data],[CODIGO]],0),2),"")</f>
        <v/>
      </c>
      <c r="E424">
        <v>1</v>
      </c>
      <c r="F424" s="43" t="e">
        <f>VLOOKUP(Salidas[[#This Row],[CODIGO ]],Inventari_2[],8,FALSE)</f>
        <v>#N/A</v>
      </c>
      <c r="G424" s="44" t="e">
        <f>Salidas[[#This Row],[PRECIO]]*Salidas[[#This Row],[CANTIDAD]]</f>
        <v>#N/A</v>
      </c>
      <c r="H424" s="84" t="e">
        <f>VLOOKUP(Salidas[[#This Row],[CODIGO ]],Inventario[],10,FALSE)*Salidas[[#This Row],[CANTIDAD]]</f>
        <v>#N/A</v>
      </c>
    </row>
    <row r="425" spans="1:8" ht="40.5" customHeight="1">
      <c r="A425" s="18"/>
      <c r="B425" s="20"/>
      <c r="C425" s="86"/>
      <c r="D425" s="83" t="str">
        <f>IFERROR(INDEX(Inventari_2[#All],MATCH(Salidas[[#This Row],[CODIGO ]],Inventari_2[[#Headers],[#Data],[CODIGO]],0),2),"")</f>
        <v/>
      </c>
      <c r="E425">
        <v>1</v>
      </c>
      <c r="F425" s="43" t="e">
        <f>VLOOKUP(Salidas[[#This Row],[CODIGO ]],Inventari_2[],8,FALSE)</f>
        <v>#N/A</v>
      </c>
      <c r="G425" s="44" t="e">
        <f>Salidas[[#This Row],[PRECIO]]*Salidas[[#This Row],[CANTIDAD]]</f>
        <v>#N/A</v>
      </c>
      <c r="H425" s="84" t="e">
        <f>VLOOKUP(Salidas[[#This Row],[CODIGO ]],Inventario[],10,FALSE)*Salidas[[#This Row],[CANTIDAD]]</f>
        <v>#N/A</v>
      </c>
    </row>
    <row r="426" spans="1:8" ht="40.5" customHeight="1">
      <c r="A426" s="18"/>
      <c r="B426" s="20"/>
      <c r="C426" s="86"/>
      <c r="D426" s="83" t="str">
        <f>IFERROR(INDEX(Inventari_2[#All],MATCH(Salidas[[#This Row],[CODIGO ]],Inventari_2[[#Headers],[#Data],[CODIGO]],0),2),"")</f>
        <v/>
      </c>
      <c r="E426">
        <v>1</v>
      </c>
      <c r="F426" s="43" t="e">
        <f>VLOOKUP(Salidas[[#This Row],[CODIGO ]],Inventari_2[],8,FALSE)</f>
        <v>#N/A</v>
      </c>
      <c r="G426" s="44" t="e">
        <f>Salidas[[#This Row],[PRECIO]]*Salidas[[#This Row],[CANTIDAD]]</f>
        <v>#N/A</v>
      </c>
      <c r="H426" s="84" t="e">
        <f>VLOOKUP(Salidas[[#This Row],[CODIGO ]],Inventario[],10,FALSE)*Salidas[[#This Row],[CANTIDAD]]</f>
        <v>#N/A</v>
      </c>
    </row>
    <row r="427" spans="1:8" ht="40.5" customHeight="1">
      <c r="A427" s="18"/>
      <c r="B427" s="20"/>
      <c r="C427" s="86"/>
      <c r="D427" s="83" t="str">
        <f>IFERROR(INDEX(Inventari_2[#All],MATCH(Salidas[[#This Row],[CODIGO ]],Inventari_2[[#Headers],[#Data],[CODIGO]],0),2),"")</f>
        <v/>
      </c>
      <c r="E427">
        <v>1</v>
      </c>
      <c r="F427" s="43" t="e">
        <f>VLOOKUP(Salidas[[#This Row],[CODIGO ]],Inventari_2[],8,FALSE)</f>
        <v>#N/A</v>
      </c>
      <c r="G427" s="44" t="e">
        <f>Salidas[[#This Row],[PRECIO]]*Salidas[[#This Row],[CANTIDAD]]</f>
        <v>#N/A</v>
      </c>
      <c r="H427" s="84" t="e">
        <f>VLOOKUP(Salidas[[#This Row],[CODIGO ]],Inventario[],10,FALSE)*Salidas[[#This Row],[CANTIDAD]]</f>
        <v>#N/A</v>
      </c>
    </row>
    <row r="428" spans="1:8" ht="40.5" customHeight="1">
      <c r="A428" s="18"/>
      <c r="B428" s="20"/>
      <c r="C428" s="86"/>
      <c r="D428" s="83" t="str">
        <f>IFERROR(INDEX(Inventari_2[#All],MATCH(Salidas[[#This Row],[CODIGO ]],Inventari_2[[#Headers],[#Data],[CODIGO]],0),2),"")</f>
        <v/>
      </c>
      <c r="E428">
        <v>1</v>
      </c>
      <c r="F428" s="43" t="e">
        <f>VLOOKUP(Salidas[[#This Row],[CODIGO ]],Inventari_2[],8,FALSE)</f>
        <v>#N/A</v>
      </c>
      <c r="G428" s="44" t="e">
        <f>Salidas[[#This Row],[PRECIO]]*Salidas[[#This Row],[CANTIDAD]]</f>
        <v>#N/A</v>
      </c>
      <c r="H428" s="84" t="e">
        <f>VLOOKUP(Salidas[[#This Row],[CODIGO ]],Inventario[],10,FALSE)*Salidas[[#This Row],[CANTIDAD]]</f>
        <v>#N/A</v>
      </c>
    </row>
    <row r="429" spans="1:8" ht="40.5" customHeight="1">
      <c r="A429" s="18"/>
      <c r="B429" s="20"/>
      <c r="C429" s="86"/>
      <c r="D429" s="83" t="str">
        <f>IFERROR(INDEX(Inventari_2[#All],MATCH(Salidas[[#This Row],[CODIGO ]],Inventari_2[[#Headers],[#Data],[CODIGO]],0),2),"")</f>
        <v/>
      </c>
      <c r="E429">
        <v>1</v>
      </c>
      <c r="F429" s="43" t="e">
        <f>VLOOKUP(Salidas[[#This Row],[CODIGO ]],Inventari_2[],8,FALSE)</f>
        <v>#N/A</v>
      </c>
      <c r="G429" s="44" t="e">
        <f>Salidas[[#This Row],[PRECIO]]*Salidas[[#This Row],[CANTIDAD]]</f>
        <v>#N/A</v>
      </c>
      <c r="H429" s="84" t="e">
        <f>VLOOKUP(Salidas[[#This Row],[CODIGO ]],Inventario[],10,FALSE)*Salidas[[#This Row],[CANTIDAD]]</f>
        <v>#N/A</v>
      </c>
    </row>
    <row r="430" spans="1:8" ht="40.5" customHeight="1">
      <c r="A430" s="18"/>
      <c r="B430" s="20"/>
      <c r="C430" s="86"/>
      <c r="D430" s="83" t="str">
        <f>IFERROR(INDEX(Inventari_2[#All],MATCH(Salidas[[#This Row],[CODIGO ]],Inventari_2[[#Headers],[#Data],[CODIGO]],0),2),"")</f>
        <v/>
      </c>
      <c r="E430">
        <v>1</v>
      </c>
      <c r="F430" s="43" t="e">
        <f>VLOOKUP(Salidas[[#This Row],[CODIGO ]],Inventari_2[],8,FALSE)</f>
        <v>#N/A</v>
      </c>
      <c r="G430" s="44" t="e">
        <f>Salidas[[#This Row],[PRECIO]]*Salidas[[#This Row],[CANTIDAD]]</f>
        <v>#N/A</v>
      </c>
      <c r="H430" s="84" t="e">
        <f>VLOOKUP(Salidas[[#This Row],[CODIGO ]],Inventario[],10,FALSE)*Salidas[[#This Row],[CANTIDAD]]</f>
        <v>#N/A</v>
      </c>
    </row>
    <row r="431" spans="1:8" ht="40.5" customHeight="1">
      <c r="A431" s="18"/>
      <c r="B431" s="20"/>
      <c r="C431" s="86"/>
      <c r="D431" s="83" t="str">
        <f>IFERROR(INDEX(Inventari_2[#All],MATCH(Salidas[[#This Row],[CODIGO ]],Inventari_2[[#Headers],[#Data],[CODIGO]],0),2),"")</f>
        <v/>
      </c>
      <c r="E431">
        <v>1</v>
      </c>
      <c r="F431" s="43" t="e">
        <f>VLOOKUP(Salidas[[#This Row],[CODIGO ]],Inventari_2[],8,FALSE)</f>
        <v>#N/A</v>
      </c>
      <c r="G431" s="44" t="e">
        <f>Salidas[[#This Row],[PRECIO]]*Salidas[[#This Row],[CANTIDAD]]</f>
        <v>#N/A</v>
      </c>
      <c r="H431" s="84" t="e">
        <f>VLOOKUP(Salidas[[#This Row],[CODIGO ]],Inventario[],10,FALSE)*Salidas[[#This Row],[CANTIDAD]]</f>
        <v>#N/A</v>
      </c>
    </row>
    <row r="432" spans="1:8" ht="40.5" customHeight="1">
      <c r="A432" s="18"/>
      <c r="B432" s="20"/>
      <c r="C432" s="86"/>
      <c r="D432" s="83" t="str">
        <f>IFERROR(INDEX(Inventari_2[#All],MATCH(Salidas[[#This Row],[CODIGO ]],Inventari_2[[#Headers],[#Data],[CODIGO]],0),2),"")</f>
        <v/>
      </c>
      <c r="E432">
        <v>1</v>
      </c>
      <c r="F432" s="43" t="e">
        <f>VLOOKUP(Salidas[[#This Row],[CODIGO ]],Inventari_2[],8,FALSE)</f>
        <v>#N/A</v>
      </c>
      <c r="G432" s="44" t="e">
        <f>Salidas[[#This Row],[PRECIO]]*Salidas[[#This Row],[CANTIDAD]]</f>
        <v>#N/A</v>
      </c>
      <c r="H432" s="84" t="e">
        <f>VLOOKUP(Salidas[[#This Row],[CODIGO ]],Inventario[],10,FALSE)*Salidas[[#This Row],[CANTIDAD]]</f>
        <v>#N/A</v>
      </c>
    </row>
    <row r="433" spans="1:8" ht="40.5" customHeight="1">
      <c r="A433" s="18"/>
      <c r="B433" s="20"/>
      <c r="C433" s="86"/>
      <c r="D433" s="83" t="str">
        <f>IFERROR(INDEX(Inventari_2[#All],MATCH(Salidas[[#This Row],[CODIGO ]],Inventari_2[[#Headers],[#Data],[CODIGO]],0),2),"")</f>
        <v/>
      </c>
      <c r="E433">
        <v>1</v>
      </c>
      <c r="F433" s="43" t="e">
        <f>VLOOKUP(Salidas[[#This Row],[CODIGO ]],Inventari_2[],8,FALSE)</f>
        <v>#N/A</v>
      </c>
      <c r="G433" s="44" t="e">
        <f>Salidas[[#This Row],[PRECIO]]*Salidas[[#This Row],[CANTIDAD]]</f>
        <v>#N/A</v>
      </c>
      <c r="H433" s="84" t="e">
        <f>VLOOKUP(Salidas[[#This Row],[CODIGO ]],Inventario[],10,FALSE)*Salidas[[#This Row],[CANTIDAD]]</f>
        <v>#N/A</v>
      </c>
    </row>
    <row r="434" spans="1:8" ht="40.5" customHeight="1">
      <c r="A434" s="18"/>
      <c r="B434" s="20"/>
      <c r="C434" s="86"/>
      <c r="D434" s="83" t="str">
        <f>IFERROR(INDEX(Inventari_2[#All],MATCH(Salidas[[#This Row],[CODIGO ]],Inventari_2[[#Headers],[#Data],[CODIGO]],0),2),"")</f>
        <v/>
      </c>
      <c r="E434">
        <v>1</v>
      </c>
      <c r="F434" s="43" t="e">
        <f>VLOOKUP(Salidas[[#This Row],[CODIGO ]],Inventari_2[],8,FALSE)</f>
        <v>#N/A</v>
      </c>
      <c r="G434" s="44" t="e">
        <f>Salidas[[#This Row],[PRECIO]]*Salidas[[#This Row],[CANTIDAD]]</f>
        <v>#N/A</v>
      </c>
      <c r="H434" s="84" t="e">
        <f>VLOOKUP(Salidas[[#This Row],[CODIGO ]],Inventario[],10,FALSE)*Salidas[[#This Row],[CANTIDAD]]</f>
        <v>#N/A</v>
      </c>
    </row>
    <row r="435" spans="1:8" ht="40.5" customHeight="1">
      <c r="A435" s="18"/>
      <c r="B435" s="20"/>
      <c r="C435" s="86"/>
      <c r="D435" s="83" t="str">
        <f>IFERROR(INDEX(Inventari_2[#All],MATCH(Salidas[[#This Row],[CODIGO ]],Inventari_2[[#Headers],[#Data],[CODIGO]],0),2),"")</f>
        <v/>
      </c>
      <c r="E435">
        <v>1</v>
      </c>
      <c r="F435" s="43" t="e">
        <f>VLOOKUP(Salidas[[#This Row],[CODIGO ]],Inventari_2[],8,FALSE)</f>
        <v>#N/A</v>
      </c>
      <c r="G435" s="44" t="e">
        <f>Salidas[[#This Row],[PRECIO]]*Salidas[[#This Row],[CANTIDAD]]</f>
        <v>#N/A</v>
      </c>
      <c r="H435" s="84" t="e">
        <f>VLOOKUP(Salidas[[#This Row],[CODIGO ]],Inventario[],10,FALSE)*Salidas[[#This Row],[CANTIDAD]]</f>
        <v>#N/A</v>
      </c>
    </row>
    <row r="436" spans="1:8" ht="40.5" customHeight="1">
      <c r="A436" s="18"/>
      <c r="B436" s="20"/>
      <c r="C436" s="86"/>
      <c r="D436" s="83" t="str">
        <f>IFERROR(INDEX(Inventari_2[#All],MATCH(Salidas[[#This Row],[CODIGO ]],Inventari_2[[#Headers],[#Data],[CODIGO]],0),2),"")</f>
        <v/>
      </c>
      <c r="E436">
        <v>1</v>
      </c>
      <c r="F436" s="43" t="e">
        <f>VLOOKUP(Salidas[[#This Row],[CODIGO ]],Inventari_2[],8,FALSE)</f>
        <v>#N/A</v>
      </c>
      <c r="G436" s="44" t="e">
        <f>Salidas[[#This Row],[PRECIO]]*Salidas[[#This Row],[CANTIDAD]]</f>
        <v>#N/A</v>
      </c>
      <c r="H436" s="84" t="e">
        <f>VLOOKUP(Salidas[[#This Row],[CODIGO ]],Inventario[],10,FALSE)*Salidas[[#This Row],[CANTIDAD]]</f>
        <v>#N/A</v>
      </c>
    </row>
    <row r="437" spans="1:8" ht="40.5" customHeight="1">
      <c r="A437" s="18"/>
      <c r="B437" s="20"/>
      <c r="C437" s="86"/>
      <c r="D437" s="83" t="str">
        <f>IFERROR(INDEX(Inventari_2[#All],MATCH(Salidas[[#This Row],[CODIGO ]],Inventari_2[[#Headers],[#Data],[CODIGO]],0),2),"")</f>
        <v/>
      </c>
      <c r="E437">
        <v>1</v>
      </c>
      <c r="F437" s="43" t="e">
        <f>VLOOKUP(Salidas[[#This Row],[CODIGO ]],Inventari_2[],8,FALSE)</f>
        <v>#N/A</v>
      </c>
      <c r="G437" s="44" t="e">
        <f>Salidas[[#This Row],[PRECIO]]*Salidas[[#This Row],[CANTIDAD]]</f>
        <v>#N/A</v>
      </c>
      <c r="H437" s="84" t="e">
        <f>VLOOKUP(Salidas[[#This Row],[CODIGO ]],Inventario[],10,FALSE)*Salidas[[#This Row],[CANTIDAD]]</f>
        <v>#N/A</v>
      </c>
    </row>
    <row r="438" spans="1:8" ht="40.5" customHeight="1">
      <c r="A438" s="18"/>
      <c r="B438" s="20"/>
      <c r="C438" s="86"/>
      <c r="D438" s="83" t="str">
        <f>IFERROR(INDEX(Inventari_2[#All],MATCH(Salidas[[#This Row],[CODIGO ]],Inventari_2[[#Headers],[#Data],[CODIGO]],0),2),"")</f>
        <v/>
      </c>
      <c r="E438">
        <v>1</v>
      </c>
      <c r="F438" s="43" t="e">
        <f>VLOOKUP(Salidas[[#This Row],[CODIGO ]],Inventari_2[],8,FALSE)</f>
        <v>#N/A</v>
      </c>
      <c r="G438" s="44" t="e">
        <f>Salidas[[#This Row],[PRECIO]]*Salidas[[#This Row],[CANTIDAD]]</f>
        <v>#N/A</v>
      </c>
      <c r="H438" s="84" t="e">
        <f>VLOOKUP(Salidas[[#This Row],[CODIGO ]],Inventario[],10,FALSE)*Salidas[[#This Row],[CANTIDAD]]</f>
        <v>#N/A</v>
      </c>
    </row>
    <row r="439" spans="1:8" ht="40.5" customHeight="1">
      <c r="A439" s="18"/>
      <c r="B439" s="20"/>
      <c r="C439" s="86"/>
      <c r="D439" s="83" t="str">
        <f>IFERROR(INDEX(Inventari_2[#All],MATCH(Salidas[[#This Row],[CODIGO ]],Inventari_2[[#Headers],[#Data],[CODIGO]],0),2),"")</f>
        <v/>
      </c>
      <c r="E439">
        <v>1</v>
      </c>
      <c r="F439" s="43" t="e">
        <f>VLOOKUP(Salidas[[#This Row],[CODIGO ]],Inventari_2[],8,FALSE)</f>
        <v>#N/A</v>
      </c>
      <c r="G439" s="44" t="e">
        <f>Salidas[[#This Row],[PRECIO]]*Salidas[[#This Row],[CANTIDAD]]</f>
        <v>#N/A</v>
      </c>
      <c r="H439" s="84" t="e">
        <f>VLOOKUP(Salidas[[#This Row],[CODIGO ]],Inventario[],10,FALSE)*Salidas[[#This Row],[CANTIDAD]]</f>
        <v>#N/A</v>
      </c>
    </row>
    <row r="440" spans="1:8" ht="40.5" customHeight="1">
      <c r="A440" s="18"/>
      <c r="B440" s="20"/>
      <c r="C440" s="86"/>
      <c r="D440" s="83" t="str">
        <f>IFERROR(INDEX(Inventari_2[#All],MATCH(Salidas[[#This Row],[CODIGO ]],Inventari_2[[#Headers],[#Data],[CODIGO]],0),2),"")</f>
        <v/>
      </c>
      <c r="E440">
        <v>1</v>
      </c>
      <c r="F440" s="43" t="e">
        <f>VLOOKUP(Salidas[[#This Row],[CODIGO ]],Inventari_2[],8,FALSE)</f>
        <v>#N/A</v>
      </c>
      <c r="G440" s="44" t="e">
        <f>Salidas[[#This Row],[PRECIO]]*Salidas[[#This Row],[CANTIDAD]]</f>
        <v>#N/A</v>
      </c>
      <c r="H440" s="84" t="e">
        <f>VLOOKUP(Salidas[[#This Row],[CODIGO ]],Inventario[],10,FALSE)*Salidas[[#This Row],[CANTIDAD]]</f>
        <v>#N/A</v>
      </c>
    </row>
    <row r="441" spans="1:8" ht="40.5" customHeight="1">
      <c r="A441" s="18"/>
      <c r="B441" s="20"/>
      <c r="C441" s="86"/>
      <c r="D441" s="83" t="str">
        <f>IFERROR(INDEX(Inventari_2[#All],MATCH(Salidas[[#This Row],[CODIGO ]],Inventari_2[[#Headers],[#Data],[CODIGO]],0),2),"")</f>
        <v/>
      </c>
      <c r="E441">
        <v>1</v>
      </c>
      <c r="F441" s="70" t="e">
        <f>VLOOKUP(Salidas[[#This Row],[CODIGO ]],Inventari_2[],8,FALSE)</f>
        <v>#N/A</v>
      </c>
      <c r="G441" s="44" t="e">
        <f>Salidas[[#This Row],[PRECIO]]*Salidas[[#This Row],[CANTIDAD]]</f>
        <v>#N/A</v>
      </c>
      <c r="H441" s="84" t="e">
        <f>VLOOKUP(Salidas[[#This Row],[CODIGO ]],Inventario[],10,FALSE)*Salidas[[#This Row],[CANTIDAD]]</f>
        <v>#N/A</v>
      </c>
    </row>
    <row r="442" spans="1:8" ht="40.5" customHeight="1">
      <c r="A442" s="18"/>
      <c r="B442" s="20"/>
      <c r="C442" s="86"/>
      <c r="D442" s="83" t="str">
        <f>IFERROR(INDEX(Inventari_2[#All],MATCH(Salidas[[#This Row],[CODIGO ]],Inventari_2[[#Headers],[#Data],[CODIGO]],0),2),"")</f>
        <v/>
      </c>
      <c r="E442">
        <v>1</v>
      </c>
      <c r="F442" s="70" t="e">
        <f>VLOOKUP(Salidas[[#This Row],[CODIGO ]],Inventari_2[],8,FALSE)</f>
        <v>#N/A</v>
      </c>
      <c r="G442" s="44" t="e">
        <f>Salidas[[#This Row],[PRECIO]]*Salidas[[#This Row],[CANTIDAD]]</f>
        <v>#N/A</v>
      </c>
      <c r="H442" s="84" t="e">
        <f>VLOOKUP(Salidas[[#This Row],[CODIGO ]],Inventario[],10,FALSE)*Salidas[[#This Row],[CANTIDAD]]</f>
        <v>#N/A</v>
      </c>
    </row>
    <row r="443" spans="1:8" ht="40.5" customHeight="1">
      <c r="A443" s="18"/>
      <c r="B443" s="20"/>
      <c r="C443" s="86"/>
      <c r="D443" s="83" t="str">
        <f>IFERROR(INDEX(Inventari_2[#All],MATCH(Salidas[[#This Row],[CODIGO ]],Inventari_2[[#Headers],[#Data],[CODIGO]],0),2),"")</f>
        <v/>
      </c>
      <c r="E443">
        <v>1</v>
      </c>
      <c r="F443" s="70" t="e">
        <f>VLOOKUP(Salidas[[#This Row],[CODIGO ]],Inventari_2[],8,FALSE)</f>
        <v>#N/A</v>
      </c>
      <c r="G443" s="44" t="e">
        <f>Salidas[[#This Row],[PRECIO]]*Salidas[[#This Row],[CANTIDAD]]</f>
        <v>#N/A</v>
      </c>
      <c r="H443" s="84" t="e">
        <f>VLOOKUP(Salidas[[#This Row],[CODIGO ]],Inventario[],10,FALSE)*Salidas[[#This Row],[CANTIDAD]]</f>
        <v>#N/A</v>
      </c>
    </row>
    <row r="444" spans="1:8" s="57" customFormat="1" ht="40.5" customHeight="1">
      <c r="A444" s="18"/>
      <c r="B444" s="20"/>
      <c r="C444" s="86"/>
      <c r="D444" s="83" t="str">
        <f>IFERROR(INDEX(Inventari_2[#All],MATCH(Salidas[[#This Row],[CODIGO ]],Inventari_2[[#Headers],[#Data],[CODIGO]],0),2),"")</f>
        <v/>
      </c>
      <c r="E444">
        <v>1</v>
      </c>
      <c r="F444" s="70" t="e">
        <f>VLOOKUP(Salidas[[#This Row],[CODIGO ]],Inventari_2[],8,FALSE)</f>
        <v>#N/A</v>
      </c>
      <c r="G444" s="44" t="e">
        <f>Salidas[[#This Row],[PRECIO]]*Salidas[[#This Row],[CANTIDAD]]</f>
        <v>#N/A</v>
      </c>
      <c r="H444" s="84" t="e">
        <f>VLOOKUP(Salidas[[#This Row],[CODIGO ]],Inventario[],10,FALSE)*Salidas[[#This Row],[CANTIDAD]]</f>
        <v>#N/A</v>
      </c>
    </row>
    <row r="445" spans="1:8" ht="40.5" customHeight="1">
      <c r="A445" s="18"/>
      <c r="B445" s="20"/>
      <c r="C445" s="86"/>
      <c r="D445" s="83" t="str">
        <f>IFERROR(INDEX(Inventari_2[#All],MATCH(Salidas[[#This Row],[CODIGO ]],Inventari_2[[#Headers],[#Data],[CODIGO]],0),2),"")</f>
        <v/>
      </c>
      <c r="E445">
        <v>1</v>
      </c>
      <c r="F445" s="70" t="e">
        <f>VLOOKUP(Salidas[[#This Row],[CODIGO ]],Inventari_2[],8,FALSE)</f>
        <v>#N/A</v>
      </c>
      <c r="G445" s="44" t="e">
        <f>Salidas[[#This Row],[PRECIO]]*Salidas[[#This Row],[CANTIDAD]]</f>
        <v>#N/A</v>
      </c>
      <c r="H445" s="84" t="e">
        <f>VLOOKUP(Salidas[[#This Row],[CODIGO ]],Inventario[],10,FALSE)*Salidas[[#This Row],[CANTIDAD]]</f>
        <v>#N/A</v>
      </c>
    </row>
    <row r="446" spans="1:8" ht="40.5" customHeight="1">
      <c r="A446" s="18"/>
      <c r="B446" s="20"/>
      <c r="C446" s="86"/>
      <c r="D446" s="83" t="str">
        <f>IFERROR(INDEX(Inventari_2[#All],MATCH(Salidas[[#This Row],[CODIGO ]],Inventari_2[[#Headers],[#Data],[CODIGO]],0),2),"")</f>
        <v/>
      </c>
      <c r="E446">
        <v>1</v>
      </c>
      <c r="F446" s="43" t="e">
        <f>VLOOKUP(Salidas[[#This Row],[CODIGO ]],Inventari_2[],8,FALSE)</f>
        <v>#N/A</v>
      </c>
      <c r="G446" s="44" t="e">
        <f>Salidas[[#This Row],[PRECIO]]*Salidas[[#This Row],[CANTIDAD]]</f>
        <v>#N/A</v>
      </c>
      <c r="H446" s="84" t="e">
        <f>VLOOKUP(Salidas[[#This Row],[CODIGO ]],Inventario[],10,FALSE)*Salidas[[#This Row],[CANTIDAD]]</f>
        <v>#N/A</v>
      </c>
    </row>
    <row r="447" spans="1:8" ht="40.5" customHeight="1">
      <c r="A447" s="55"/>
      <c r="B447" s="56"/>
      <c r="C447" s="86"/>
      <c r="D447" s="83" t="str">
        <f>IFERROR(INDEX(Inventari_2[#All],MATCH(Salidas[[#This Row],[CODIGO ]],Inventari_2[[#Headers],[#Data],[CODIGO]],0),2),"")</f>
        <v/>
      </c>
      <c r="E447">
        <v>1</v>
      </c>
      <c r="F447" s="58" t="e">
        <f>VLOOKUP(Salidas[[#This Row],[CODIGO ]],Inventari_2[],8,FALSE)</f>
        <v>#N/A</v>
      </c>
      <c r="G447" s="44" t="e">
        <f>Salidas[[#This Row],[PRECIO]]*Salidas[[#This Row],[CANTIDAD]]</f>
        <v>#N/A</v>
      </c>
      <c r="H447" s="84" t="e">
        <f>VLOOKUP(Salidas[[#This Row],[CODIGO ]],Inventario[],10,FALSE)*Salidas[[#This Row],[CANTIDAD]]</f>
        <v>#N/A</v>
      </c>
    </row>
    <row r="448" spans="1:8" ht="40.5" customHeight="1">
      <c r="A448" s="74"/>
      <c r="B448" s="72"/>
      <c r="C448" s="86"/>
      <c r="D448" s="83" t="str">
        <f>IFERROR(INDEX(Inventari_2[#All],MATCH(Salidas[[#This Row],[CODIGO ]],Inventari_2[[#Headers],[#Data],[CODIGO]],0),2),"")</f>
        <v/>
      </c>
      <c r="E448">
        <v>1</v>
      </c>
      <c r="F448" s="73" t="e">
        <f>VLOOKUP(Salidas[[#This Row],[CODIGO ]],Inventari_2[],8,FALSE)</f>
        <v>#N/A</v>
      </c>
      <c r="G448" s="44" t="e">
        <f>Salidas[[#This Row],[PRECIO]]*Salidas[[#This Row],[CANTIDAD]]</f>
        <v>#N/A</v>
      </c>
      <c r="H448" s="84" t="e">
        <f>VLOOKUP(Salidas[[#This Row],[CODIGO ]],Inventario[],10,FALSE)*Salidas[[#This Row],[CANTIDAD]]</f>
        <v>#N/A</v>
      </c>
    </row>
    <row r="449" spans="1:8" s="57" customFormat="1" ht="40.5" customHeight="1">
      <c r="A449" s="71"/>
      <c r="B449" s="72"/>
      <c r="C449" s="86"/>
      <c r="D449" s="83" t="str">
        <f>IFERROR(INDEX(Inventari_2[#All],MATCH(Salidas[[#This Row],[CODIGO ]],Inventari_2[[#Headers],[#Data],[CODIGO]],0),2),"")</f>
        <v/>
      </c>
      <c r="E449">
        <v>1</v>
      </c>
      <c r="F449" s="73" t="e">
        <f>VLOOKUP(Salidas[[#This Row],[CODIGO ]],Inventari_2[],8,FALSE)</f>
        <v>#N/A</v>
      </c>
      <c r="G449" s="44" t="e">
        <f>Salidas[[#This Row],[PRECIO]]*Salidas[[#This Row],[CANTIDAD]]</f>
        <v>#N/A</v>
      </c>
      <c r="H449" s="84" t="e">
        <f>VLOOKUP(Salidas[[#This Row],[CODIGO ]],Inventario[],10,FALSE)*Salidas[[#This Row],[CANTIDAD]]</f>
        <v>#N/A</v>
      </c>
    </row>
    <row r="450" spans="1:8" ht="40.5" customHeight="1">
      <c r="A450" s="71"/>
      <c r="B450" s="72"/>
      <c r="C450" s="86"/>
      <c r="D450" s="83" t="str">
        <f>IFERROR(INDEX(Inventari_2[#All],MATCH(Salidas[[#This Row],[CODIGO ]],Inventari_2[[#Headers],[#Data],[CODIGO]],0),2),"")</f>
        <v/>
      </c>
      <c r="E450">
        <v>1</v>
      </c>
      <c r="F450" s="73" t="e">
        <f>VLOOKUP(Salidas[[#This Row],[CODIGO ]],Inventari_2[],8,FALSE)</f>
        <v>#N/A</v>
      </c>
      <c r="G450" s="44" t="e">
        <f>Salidas[[#This Row],[PRECIO]]*Salidas[[#This Row],[CANTIDAD]]</f>
        <v>#N/A</v>
      </c>
      <c r="H450" s="84" t="e">
        <f>VLOOKUP(Salidas[[#This Row],[CODIGO ]],Inventario[],10,FALSE)*Salidas[[#This Row],[CANTIDAD]]</f>
        <v>#N/A</v>
      </c>
    </row>
    <row r="451" spans="1:8" ht="40.5" customHeight="1">
      <c r="A451" s="71"/>
      <c r="B451" s="72"/>
      <c r="C451" s="86"/>
      <c r="D451" s="83" t="str">
        <f>IFERROR(INDEX(Inventari_2[#All],MATCH(Salidas[[#This Row],[CODIGO ]],Inventari_2[[#Headers],[#Data],[CODIGO]],0),2),"")</f>
        <v/>
      </c>
      <c r="E451">
        <v>1</v>
      </c>
      <c r="F451" s="73" t="e">
        <f>VLOOKUP(Salidas[[#This Row],[CODIGO ]],Inventari_2[],8,FALSE)</f>
        <v>#N/A</v>
      </c>
      <c r="G451" s="44" t="e">
        <f>Salidas[[#This Row],[PRECIO]]*Salidas[[#This Row],[CANTIDAD]]</f>
        <v>#N/A</v>
      </c>
      <c r="H451" s="84" t="e">
        <f>VLOOKUP(Salidas[[#This Row],[CODIGO ]],Inventario[],10,FALSE)*Salidas[[#This Row],[CANTIDAD]]</f>
        <v>#N/A</v>
      </c>
    </row>
    <row r="452" spans="1:8" ht="40.5" customHeight="1">
      <c r="A452" s="55"/>
      <c r="B452" s="56"/>
      <c r="C452" s="86"/>
      <c r="D452" s="83" t="str">
        <f>IFERROR(INDEX(Inventari_2[#All],MATCH(Salidas[[#This Row],[CODIGO ]],Inventari_2[[#Headers],[#Data],[CODIGO]],0),2),"")</f>
        <v/>
      </c>
      <c r="E452">
        <v>1</v>
      </c>
      <c r="F452" s="58" t="e">
        <f>VLOOKUP(Salidas[[#This Row],[CODIGO ]],Inventari_2[],8,FALSE)</f>
        <v>#N/A</v>
      </c>
      <c r="G452" s="44" t="e">
        <f>Salidas[[#This Row],[PRECIO]]*Salidas[[#This Row],[CANTIDAD]]</f>
        <v>#N/A</v>
      </c>
      <c r="H452" s="84" t="e">
        <f>VLOOKUP(Salidas[[#This Row],[CODIGO ]],Inventario[],10,FALSE)*Salidas[[#This Row],[CANTIDAD]]</f>
        <v>#N/A</v>
      </c>
    </row>
    <row r="453" spans="1:8" ht="40.5" customHeight="1">
      <c r="A453" s="18"/>
      <c r="B453" s="20"/>
      <c r="C453" s="86"/>
      <c r="D453" s="83" t="str">
        <f>IFERROR(INDEX(Inventari_2[#All],MATCH(Salidas[[#This Row],[CODIGO ]],Inventari_2[[#Headers],[#Data],[CODIGO]],0),2),"")</f>
        <v/>
      </c>
      <c r="E453">
        <v>1</v>
      </c>
      <c r="F453" s="43" t="e">
        <f>VLOOKUP(Salidas[[#This Row],[CODIGO ]],Inventari_2[],8,FALSE)</f>
        <v>#N/A</v>
      </c>
      <c r="G453" s="44" t="e">
        <f>Salidas[[#This Row],[PRECIO]]*Salidas[[#This Row],[CANTIDAD]]</f>
        <v>#N/A</v>
      </c>
      <c r="H453" s="84" t="e">
        <f>VLOOKUP(Salidas[[#This Row],[CODIGO ]],Inventario[],10,FALSE)*Salidas[[#This Row],[CANTIDAD]]</f>
        <v>#N/A</v>
      </c>
    </row>
    <row r="454" spans="1:8" ht="40.5" customHeight="1">
      <c r="A454" s="18"/>
      <c r="B454" s="20"/>
      <c r="C454" s="86"/>
      <c r="D454" s="83" t="str">
        <f>IFERROR(INDEX(Inventari_2[#All],MATCH(Salidas[[#This Row],[CODIGO ]],Inventari_2[[#Headers],[#Data],[CODIGO]],0),2),"")</f>
        <v/>
      </c>
      <c r="E454">
        <v>1</v>
      </c>
      <c r="F454" s="43" t="e">
        <f>VLOOKUP(Salidas[[#This Row],[CODIGO ]],Inventari_2[],8,FALSE)</f>
        <v>#N/A</v>
      </c>
      <c r="G454" s="44" t="e">
        <f>Salidas[[#This Row],[PRECIO]]*Salidas[[#This Row],[CANTIDAD]]</f>
        <v>#N/A</v>
      </c>
      <c r="H454" s="84" t="e">
        <f>VLOOKUP(Salidas[[#This Row],[CODIGO ]],Inventario[],10,FALSE)*Salidas[[#This Row],[CANTIDAD]]</f>
        <v>#N/A</v>
      </c>
    </row>
    <row r="455" spans="1:8" ht="40.5" customHeight="1">
      <c r="A455" s="18"/>
      <c r="B455" s="20"/>
      <c r="C455" s="86"/>
      <c r="D455" s="83" t="str">
        <f>IFERROR(INDEX(Inventari_2[#All],MATCH(Salidas[[#This Row],[CODIGO ]],Inventari_2[[#Headers],[#Data],[CODIGO]],0),2),"")</f>
        <v/>
      </c>
      <c r="E455">
        <v>1</v>
      </c>
      <c r="F455" s="43" t="e">
        <f>VLOOKUP(Salidas[[#This Row],[CODIGO ]],Inventari_2[],8,FALSE)</f>
        <v>#N/A</v>
      </c>
      <c r="G455" s="44" t="e">
        <f>Salidas[[#This Row],[PRECIO]]*Salidas[[#This Row],[CANTIDAD]]</f>
        <v>#N/A</v>
      </c>
      <c r="H455" s="84" t="e">
        <f>VLOOKUP(Salidas[[#This Row],[CODIGO ]],Inventario[],10,FALSE)*Salidas[[#This Row],[CANTIDAD]]</f>
        <v>#N/A</v>
      </c>
    </row>
    <row r="456" spans="1:8" ht="40.5" customHeight="1">
      <c r="A456" s="18"/>
      <c r="B456" s="20"/>
      <c r="C456" s="86"/>
      <c r="D456" s="83" t="str">
        <f>IFERROR(INDEX(Inventari_2[#All],MATCH(Salidas[[#This Row],[CODIGO ]],Inventari_2[[#Headers],[#Data],[CODIGO]],0),2),"")</f>
        <v/>
      </c>
      <c r="E456">
        <v>1</v>
      </c>
      <c r="F456" s="43" t="e">
        <f>VLOOKUP(Salidas[[#This Row],[CODIGO ]],Inventari_2[],8,FALSE)</f>
        <v>#N/A</v>
      </c>
      <c r="G456" s="44" t="e">
        <f>Salidas[[#This Row],[PRECIO]]*Salidas[[#This Row],[CANTIDAD]]</f>
        <v>#N/A</v>
      </c>
      <c r="H456" s="84" t="e">
        <f>VLOOKUP(Salidas[[#This Row],[CODIGO ]],Inventario[],10,FALSE)*Salidas[[#This Row],[CANTIDAD]]</f>
        <v>#N/A</v>
      </c>
    </row>
    <row r="457" spans="1:8" ht="40.5" customHeight="1">
      <c r="A457" s="18"/>
      <c r="B457" s="20"/>
      <c r="C457" s="86"/>
      <c r="D457" s="83" t="str">
        <f>IFERROR(INDEX(Inventari_2[#All],MATCH(Salidas[[#This Row],[CODIGO ]],Inventari_2[[#Headers],[#Data],[CODIGO]],0),2),"")</f>
        <v/>
      </c>
      <c r="E457">
        <v>1</v>
      </c>
      <c r="F457" s="43" t="e">
        <f>VLOOKUP(Salidas[[#This Row],[CODIGO ]],Inventari_2[],8,FALSE)</f>
        <v>#N/A</v>
      </c>
      <c r="G457" s="44" t="e">
        <f>Salidas[[#This Row],[PRECIO]]*Salidas[[#This Row],[CANTIDAD]]</f>
        <v>#N/A</v>
      </c>
      <c r="H457" s="84" t="e">
        <f>VLOOKUP(Salidas[[#This Row],[CODIGO ]],Inventario[],10,FALSE)*Salidas[[#This Row],[CANTIDAD]]</f>
        <v>#N/A</v>
      </c>
    </row>
    <row r="458" spans="1:8" ht="40.5" customHeight="1">
      <c r="A458" s="18"/>
      <c r="B458" s="20"/>
      <c r="C458" s="86"/>
      <c r="D458" s="83" t="str">
        <f>IFERROR(INDEX(Inventari_2[#All],MATCH(Salidas[[#This Row],[CODIGO ]],Inventari_2[[#Headers],[#Data],[CODIGO]],0),2),"")</f>
        <v/>
      </c>
      <c r="E458">
        <v>1</v>
      </c>
      <c r="F458" s="43" t="e">
        <f>VLOOKUP(Salidas[[#This Row],[CODIGO ]],Inventari_2[],8,FALSE)</f>
        <v>#N/A</v>
      </c>
      <c r="G458" s="44" t="e">
        <f>Salidas[[#This Row],[PRECIO]]*Salidas[[#This Row],[CANTIDAD]]</f>
        <v>#N/A</v>
      </c>
      <c r="H458" s="84" t="e">
        <f>VLOOKUP(Salidas[[#This Row],[CODIGO ]],Inventario[],10,FALSE)*Salidas[[#This Row],[CANTIDAD]]</f>
        <v>#N/A</v>
      </c>
    </row>
    <row r="459" spans="1:8" ht="40.5" customHeight="1">
      <c r="A459" s="18"/>
      <c r="B459" s="20"/>
      <c r="C459" s="86"/>
      <c r="D459" s="83" t="str">
        <f>IFERROR(INDEX(Inventari_2[#All],MATCH(Salidas[[#This Row],[CODIGO ]],Inventari_2[[#Headers],[#Data],[CODIGO]],0),2),"")</f>
        <v/>
      </c>
      <c r="E459">
        <v>1</v>
      </c>
      <c r="F459" s="43" t="e">
        <f>VLOOKUP(Salidas[[#This Row],[CODIGO ]],Inventari_2[],8,FALSE)</f>
        <v>#N/A</v>
      </c>
      <c r="G459" s="44" t="e">
        <f>Salidas[[#This Row],[PRECIO]]*Salidas[[#This Row],[CANTIDAD]]</f>
        <v>#N/A</v>
      </c>
      <c r="H459" s="84" t="e">
        <f>VLOOKUP(Salidas[[#This Row],[CODIGO ]],Inventario[],10,FALSE)*Salidas[[#This Row],[CANTIDAD]]</f>
        <v>#N/A</v>
      </c>
    </row>
    <row r="460" spans="1:8" ht="40.5" customHeight="1">
      <c r="A460" s="18"/>
      <c r="B460" s="20"/>
      <c r="C460" s="86"/>
      <c r="D460" s="83" t="str">
        <f>IFERROR(INDEX(Inventari_2[#All],MATCH(Salidas[[#This Row],[CODIGO ]],Inventari_2[[#Headers],[#Data],[CODIGO]],0),2),"")</f>
        <v/>
      </c>
      <c r="E460">
        <v>1</v>
      </c>
      <c r="F460" s="43" t="e">
        <f>VLOOKUP(Salidas[[#This Row],[CODIGO ]],Inventari_2[],8,FALSE)</f>
        <v>#N/A</v>
      </c>
      <c r="G460" s="44" t="e">
        <f>Salidas[[#This Row],[PRECIO]]*Salidas[[#This Row],[CANTIDAD]]</f>
        <v>#N/A</v>
      </c>
      <c r="H460" s="84" t="e">
        <f>VLOOKUP(Salidas[[#This Row],[CODIGO ]],Inventario[],10,FALSE)*Salidas[[#This Row],[CANTIDAD]]</f>
        <v>#N/A</v>
      </c>
    </row>
    <row r="461" spans="1:8" ht="40.5" customHeight="1">
      <c r="A461" s="18"/>
      <c r="B461" s="20"/>
      <c r="C461" s="86"/>
      <c r="D461" s="83" t="str">
        <f>IFERROR(INDEX(Inventari_2[#All],MATCH(Salidas[[#This Row],[CODIGO ]],Inventari_2[[#Headers],[#Data],[CODIGO]],0),2),"")</f>
        <v/>
      </c>
      <c r="E461">
        <v>1</v>
      </c>
      <c r="F461" s="43" t="e">
        <f>VLOOKUP(Salidas[[#This Row],[CODIGO ]],Inventari_2[],8,FALSE)</f>
        <v>#N/A</v>
      </c>
      <c r="G461" s="44" t="e">
        <f>Salidas[[#This Row],[PRECIO]]*Salidas[[#This Row],[CANTIDAD]]</f>
        <v>#N/A</v>
      </c>
      <c r="H461" s="84" t="e">
        <f>VLOOKUP(Salidas[[#This Row],[CODIGO ]],Inventario[],10,FALSE)*Salidas[[#This Row],[CANTIDAD]]</f>
        <v>#N/A</v>
      </c>
    </row>
    <row r="462" spans="1:8" ht="40.5" customHeight="1">
      <c r="A462" s="18"/>
      <c r="B462" s="20"/>
      <c r="C462" s="86"/>
      <c r="D462" s="83" t="str">
        <f>IFERROR(INDEX(Inventari_2[#All],MATCH(Salidas[[#This Row],[CODIGO ]],Inventari_2[[#Headers],[#Data],[CODIGO]],0),2),"")</f>
        <v/>
      </c>
      <c r="E462">
        <v>1</v>
      </c>
      <c r="F462" s="43" t="e">
        <f>VLOOKUP(Salidas[[#This Row],[CODIGO ]],Inventari_2[],8,FALSE)</f>
        <v>#N/A</v>
      </c>
      <c r="G462" s="44" t="e">
        <f>Salidas[[#This Row],[PRECIO]]*Salidas[[#This Row],[CANTIDAD]]</f>
        <v>#N/A</v>
      </c>
      <c r="H462" s="84" t="e">
        <f>VLOOKUP(Salidas[[#This Row],[CODIGO ]],Inventario[],10,FALSE)*Salidas[[#This Row],[CANTIDAD]]</f>
        <v>#N/A</v>
      </c>
    </row>
    <row r="463" spans="1:8" ht="40.5" customHeight="1">
      <c r="A463" s="18"/>
      <c r="B463" s="20"/>
      <c r="C463" s="86"/>
      <c r="D463" s="83" t="str">
        <f>IFERROR(INDEX(Inventari_2[#All],MATCH(Salidas[[#This Row],[CODIGO ]],Inventari_2[[#Headers],[#Data],[CODIGO]],0),2),"")</f>
        <v/>
      </c>
      <c r="E463">
        <v>1</v>
      </c>
      <c r="F463" s="43" t="e">
        <f>VLOOKUP(Salidas[[#This Row],[CODIGO ]],Inventari_2[],8,FALSE)</f>
        <v>#N/A</v>
      </c>
      <c r="G463" s="44" t="e">
        <f>Salidas[[#This Row],[PRECIO]]*Salidas[[#This Row],[CANTIDAD]]</f>
        <v>#N/A</v>
      </c>
      <c r="H463" s="84" t="e">
        <f>VLOOKUP(Salidas[[#This Row],[CODIGO ]],Inventario[],10,FALSE)*Salidas[[#This Row],[CANTIDAD]]</f>
        <v>#N/A</v>
      </c>
    </row>
    <row r="464" spans="1:8" ht="40.5" customHeight="1">
      <c r="A464" s="18"/>
      <c r="B464" s="20"/>
      <c r="C464" s="86"/>
      <c r="D464" s="83" t="str">
        <f>IFERROR(INDEX(Inventari_2[#All],MATCH(Salidas[[#This Row],[CODIGO ]],Inventari_2[[#Headers],[#Data],[CODIGO]],0),2),"")</f>
        <v/>
      </c>
      <c r="E464">
        <v>1</v>
      </c>
      <c r="F464" s="43" t="e">
        <f>VLOOKUP(Salidas[[#This Row],[CODIGO ]],Inventari_2[],8,FALSE)</f>
        <v>#N/A</v>
      </c>
      <c r="G464" s="44" t="e">
        <f>Salidas[[#This Row],[PRECIO]]*Salidas[[#This Row],[CANTIDAD]]</f>
        <v>#N/A</v>
      </c>
      <c r="H464" s="84" t="e">
        <f>VLOOKUP(Salidas[[#This Row],[CODIGO ]],Inventario[],10,FALSE)*Salidas[[#This Row],[CANTIDAD]]</f>
        <v>#N/A</v>
      </c>
    </row>
    <row r="465" spans="1:8" ht="40.5" customHeight="1">
      <c r="A465" s="18"/>
      <c r="B465" s="20"/>
      <c r="C465" s="86"/>
      <c r="D465" s="83" t="str">
        <f>IFERROR(INDEX(Inventari_2[#All],MATCH(Salidas[[#This Row],[CODIGO ]],Inventari_2[[#Headers],[#Data],[CODIGO]],0),2),"")</f>
        <v/>
      </c>
      <c r="E465">
        <v>1</v>
      </c>
      <c r="F465" s="43" t="e">
        <f>VLOOKUP(Salidas[[#This Row],[CODIGO ]],Inventari_2[],8,FALSE)</f>
        <v>#N/A</v>
      </c>
      <c r="G465" s="44" t="e">
        <f>Salidas[[#This Row],[PRECIO]]*Salidas[[#This Row],[CANTIDAD]]</f>
        <v>#N/A</v>
      </c>
      <c r="H465" s="84" t="e">
        <f>VLOOKUP(Salidas[[#This Row],[CODIGO ]],Inventario[],10,FALSE)*Salidas[[#This Row],[CANTIDAD]]</f>
        <v>#N/A</v>
      </c>
    </row>
    <row r="466" spans="1:8" ht="40.5" customHeight="1">
      <c r="A466" s="18"/>
      <c r="B466" s="20"/>
      <c r="C466" s="86"/>
      <c r="D466" s="83" t="str">
        <f>IFERROR(INDEX(Inventari_2[#All],MATCH(Salidas[[#This Row],[CODIGO ]],Inventari_2[[#Headers],[#Data],[CODIGO]],0),2),"")</f>
        <v/>
      </c>
      <c r="E466">
        <v>1</v>
      </c>
      <c r="F466" s="43" t="e">
        <f>VLOOKUP(Salidas[[#This Row],[CODIGO ]],Inventari_2[],8,FALSE)</f>
        <v>#N/A</v>
      </c>
      <c r="G466" s="44" t="e">
        <f>Salidas[[#This Row],[PRECIO]]*Salidas[[#This Row],[CANTIDAD]]</f>
        <v>#N/A</v>
      </c>
      <c r="H466" s="84" t="e">
        <f>VLOOKUP(Salidas[[#This Row],[CODIGO ]],Inventario[],10,FALSE)*Salidas[[#This Row],[CANTIDAD]]</f>
        <v>#N/A</v>
      </c>
    </row>
    <row r="467" spans="1:8" ht="40.5" customHeight="1">
      <c r="A467" s="18"/>
      <c r="B467" s="20"/>
      <c r="C467" s="86"/>
      <c r="D467" s="83" t="str">
        <f>IFERROR(INDEX(Inventari_2[#All],MATCH(Salidas[[#This Row],[CODIGO ]],Inventari_2[[#Headers],[#Data],[CODIGO]],0),2),"")</f>
        <v/>
      </c>
      <c r="E467">
        <v>1</v>
      </c>
      <c r="F467" s="43" t="e">
        <f>VLOOKUP(Salidas[[#This Row],[CODIGO ]],Inventari_2[],8,FALSE)</f>
        <v>#N/A</v>
      </c>
      <c r="G467" s="44" t="e">
        <f>Salidas[[#This Row],[PRECIO]]*Salidas[[#This Row],[CANTIDAD]]</f>
        <v>#N/A</v>
      </c>
      <c r="H467" s="84" t="e">
        <f>VLOOKUP(Salidas[[#This Row],[CODIGO ]],Inventario[],10,FALSE)*Salidas[[#This Row],[CANTIDAD]]</f>
        <v>#N/A</v>
      </c>
    </row>
    <row r="468" spans="1:8" ht="40.5" customHeight="1">
      <c r="A468" s="18"/>
      <c r="B468" s="20"/>
      <c r="C468" s="86"/>
      <c r="D468" s="83" t="str">
        <f>IFERROR(INDEX(Inventari_2[#All],MATCH(Salidas[[#This Row],[CODIGO ]],Inventari_2[[#Headers],[#Data],[CODIGO]],0),2),"")</f>
        <v/>
      </c>
      <c r="E468">
        <v>1</v>
      </c>
      <c r="F468" s="43" t="e">
        <f>VLOOKUP(Salidas[[#This Row],[CODIGO ]],Inventari_2[],8,FALSE)</f>
        <v>#N/A</v>
      </c>
      <c r="G468" s="44" t="e">
        <f>Salidas[[#This Row],[PRECIO]]*Salidas[[#This Row],[CANTIDAD]]</f>
        <v>#N/A</v>
      </c>
      <c r="H468" s="84" t="e">
        <f>VLOOKUP(Salidas[[#This Row],[CODIGO ]],Inventario[],10,FALSE)*Salidas[[#This Row],[CANTIDAD]]</f>
        <v>#N/A</v>
      </c>
    </row>
    <row r="469" spans="1:8" ht="40.5" customHeight="1">
      <c r="A469" s="18"/>
      <c r="B469" s="20"/>
      <c r="C469" s="86"/>
      <c r="D469" s="83" t="str">
        <f>IFERROR(INDEX(Inventari_2[#All],MATCH(Salidas[[#This Row],[CODIGO ]],Inventari_2[[#Headers],[#Data],[CODIGO]],0),2),"")</f>
        <v/>
      </c>
      <c r="E469">
        <v>1</v>
      </c>
      <c r="F469" s="43" t="e">
        <f>VLOOKUP(Salidas[[#This Row],[CODIGO ]],Inventari_2[],8,FALSE)</f>
        <v>#N/A</v>
      </c>
      <c r="G469" s="44" t="e">
        <f>Salidas[[#This Row],[PRECIO]]*Salidas[[#This Row],[CANTIDAD]]</f>
        <v>#N/A</v>
      </c>
      <c r="H469" s="84" t="e">
        <f>VLOOKUP(Salidas[[#This Row],[CODIGO ]],Inventario[],10,FALSE)*Salidas[[#This Row],[CANTIDAD]]</f>
        <v>#N/A</v>
      </c>
    </row>
    <row r="470" spans="1:8" ht="40.5" customHeight="1">
      <c r="A470" s="18"/>
      <c r="B470" s="20"/>
      <c r="C470" s="86"/>
      <c r="D470" s="83" t="str">
        <f>IFERROR(INDEX(Inventari_2[#All],MATCH(Salidas[[#This Row],[CODIGO ]],Inventari_2[[#Headers],[#Data],[CODIGO]],0),2),"")</f>
        <v/>
      </c>
      <c r="E470">
        <v>1</v>
      </c>
      <c r="F470" s="43" t="e">
        <f>VLOOKUP(Salidas[[#This Row],[CODIGO ]],Inventari_2[],8,FALSE)</f>
        <v>#N/A</v>
      </c>
      <c r="G470" s="44" t="e">
        <f>Salidas[[#This Row],[PRECIO]]*Salidas[[#This Row],[CANTIDAD]]</f>
        <v>#N/A</v>
      </c>
      <c r="H470" s="84" t="e">
        <f>VLOOKUP(Salidas[[#This Row],[CODIGO ]],Inventario[],10,FALSE)*Salidas[[#This Row],[CANTIDAD]]</f>
        <v>#N/A</v>
      </c>
    </row>
    <row r="471" spans="1:8" ht="40.5" customHeight="1">
      <c r="A471" s="18"/>
      <c r="B471" s="20"/>
      <c r="C471" s="86"/>
      <c r="D471" s="83" t="str">
        <f>IFERROR(INDEX(Inventari_2[#All],MATCH(Salidas[[#This Row],[CODIGO ]],Inventari_2[[#Headers],[#Data],[CODIGO]],0),2),"")</f>
        <v/>
      </c>
      <c r="E471">
        <v>1</v>
      </c>
      <c r="F471" s="43" t="e">
        <f>VLOOKUP(Salidas[[#This Row],[CODIGO ]],Inventari_2[],8,FALSE)</f>
        <v>#N/A</v>
      </c>
      <c r="G471" s="44" t="e">
        <f>Salidas[[#This Row],[PRECIO]]*Salidas[[#This Row],[CANTIDAD]]</f>
        <v>#N/A</v>
      </c>
      <c r="H471" s="84" t="e">
        <f>VLOOKUP(Salidas[[#This Row],[CODIGO ]],Inventario[],10,FALSE)*Salidas[[#This Row],[CANTIDAD]]</f>
        <v>#N/A</v>
      </c>
    </row>
    <row r="472" spans="1:8" s="57" customFormat="1" ht="40.5" customHeight="1">
      <c r="A472" s="55"/>
      <c r="B472" s="56"/>
      <c r="C472" s="86"/>
      <c r="D472" s="83" t="str">
        <f>IFERROR(INDEX(Inventari_2[#All],MATCH(Salidas[[#This Row],[CODIGO ]],Inventari_2[[#Headers],[#Data],[CODIGO]],0),2),"")</f>
        <v/>
      </c>
      <c r="E472">
        <v>1</v>
      </c>
      <c r="F472" s="58" t="e">
        <f>VLOOKUP(Salidas[[#This Row],[CODIGO ]],Inventari_2[],8,FALSE)</f>
        <v>#N/A</v>
      </c>
      <c r="G472" s="44" t="e">
        <f>Salidas[[#This Row],[PRECIO]]*Salidas[[#This Row],[CANTIDAD]]</f>
        <v>#N/A</v>
      </c>
      <c r="H472" s="84" t="e">
        <f>VLOOKUP(Salidas[[#This Row],[CODIGO ]],Inventario[],10,FALSE)*Salidas[[#This Row],[CANTIDAD]]</f>
        <v>#N/A</v>
      </c>
    </row>
    <row r="473" spans="1:8" ht="40.5" customHeight="1">
      <c r="A473" s="20"/>
      <c r="B473" s="20"/>
      <c r="C473" s="86"/>
      <c r="D473" s="83" t="str">
        <f>IFERROR(INDEX(Inventari_2[#All],MATCH(Salidas[[#This Row],[CODIGO ]],Inventari_2[[#Headers],[#Data],[CODIGO]],0),2),"")</f>
        <v/>
      </c>
      <c r="E473">
        <v>1</v>
      </c>
      <c r="F473" s="43" t="e">
        <f>VLOOKUP(Salidas[[#This Row],[CODIGO ]],Inventari_2[],8,FALSE)</f>
        <v>#N/A</v>
      </c>
      <c r="G473" s="44" t="e">
        <f>Salidas[[#This Row],[PRECIO]]*Salidas[[#This Row],[CANTIDAD]]</f>
        <v>#N/A</v>
      </c>
      <c r="H473" s="84" t="e">
        <f>VLOOKUP(Salidas[[#This Row],[CODIGO ]],Inventario[],10,FALSE)*Salidas[[#This Row],[CANTIDAD]]</f>
        <v>#N/A</v>
      </c>
    </row>
    <row r="474" spans="1:8" ht="40.5" customHeight="1">
      <c r="A474" s="18"/>
      <c r="B474" s="20"/>
      <c r="C474" s="86"/>
      <c r="D474" s="83" t="str">
        <f>IFERROR(INDEX(Inventari_2[#All],MATCH(Salidas[[#This Row],[CODIGO ]],Inventari_2[[#Headers],[#Data],[CODIGO]],0),2),"")</f>
        <v/>
      </c>
      <c r="E474">
        <v>1</v>
      </c>
      <c r="F474" s="43" t="e">
        <f>VLOOKUP(Salidas[[#This Row],[CODIGO ]],Inventari_2[],8,FALSE)</f>
        <v>#N/A</v>
      </c>
      <c r="G474" s="44" t="e">
        <f>Salidas[[#This Row],[PRECIO]]*Salidas[[#This Row],[CANTIDAD]]</f>
        <v>#N/A</v>
      </c>
      <c r="H474" s="84" t="e">
        <f>VLOOKUP(Salidas[[#This Row],[CODIGO ]],Inventario[],10,FALSE)*Salidas[[#This Row],[CANTIDAD]]</f>
        <v>#N/A</v>
      </c>
    </row>
    <row r="475" spans="1:8" ht="40.5" customHeight="1">
      <c r="A475" s="18"/>
      <c r="B475" s="20"/>
      <c r="C475" s="86"/>
      <c r="D475" s="83" t="str">
        <f>IFERROR(INDEX(Inventari_2[#All],MATCH(Salidas[[#This Row],[CODIGO ]],Inventari_2[[#Headers],[#Data],[CODIGO]],0),2),"")</f>
        <v/>
      </c>
      <c r="E475">
        <v>1</v>
      </c>
      <c r="F475" s="43" t="e">
        <f>VLOOKUP(Salidas[[#This Row],[CODIGO ]],Inventari_2[],8,FALSE)</f>
        <v>#N/A</v>
      </c>
      <c r="G475" s="44" t="e">
        <f>Salidas[[#This Row],[PRECIO]]*Salidas[[#This Row],[CANTIDAD]]</f>
        <v>#N/A</v>
      </c>
      <c r="H475" s="84" t="e">
        <f>VLOOKUP(Salidas[[#This Row],[CODIGO ]],Inventario[],10,FALSE)*Salidas[[#This Row],[CANTIDAD]]</f>
        <v>#N/A</v>
      </c>
    </row>
    <row r="476" spans="1:8" ht="40.5" customHeight="1">
      <c r="A476" s="18"/>
      <c r="B476" s="20"/>
      <c r="C476" s="86"/>
      <c r="D476" s="83" t="str">
        <f>IFERROR(INDEX(Inventari_2[#All],MATCH(Salidas[[#This Row],[CODIGO ]],Inventari_2[[#Headers],[#Data],[CODIGO]],0),2),"")</f>
        <v/>
      </c>
      <c r="E476">
        <v>1</v>
      </c>
      <c r="F476" s="43" t="e">
        <f>VLOOKUP(Salidas[[#This Row],[CODIGO ]],Inventari_2[],8,FALSE)</f>
        <v>#N/A</v>
      </c>
      <c r="G476" s="44" t="e">
        <f>Salidas[[#This Row],[PRECIO]]*Salidas[[#This Row],[CANTIDAD]]</f>
        <v>#N/A</v>
      </c>
      <c r="H476" s="84" t="e">
        <f>VLOOKUP(Salidas[[#This Row],[CODIGO ]],Inventario[],10,FALSE)*Salidas[[#This Row],[CANTIDAD]]</f>
        <v>#N/A</v>
      </c>
    </row>
    <row r="477" spans="1:8" ht="40.5" customHeight="1">
      <c r="A477" s="18"/>
      <c r="B477" s="20"/>
      <c r="C477" s="86"/>
      <c r="D477" s="83" t="str">
        <f>IFERROR(INDEX(Inventari_2[#All],MATCH(Salidas[[#This Row],[CODIGO ]],Inventari_2[[#Headers],[#Data],[CODIGO]],0),2),"")</f>
        <v/>
      </c>
      <c r="E477">
        <v>1</v>
      </c>
      <c r="F477" s="43" t="e">
        <f>VLOOKUP(Salidas[[#This Row],[CODIGO ]],Inventari_2[],8,FALSE)</f>
        <v>#N/A</v>
      </c>
      <c r="G477" s="44" t="e">
        <f>Salidas[[#This Row],[PRECIO]]*Salidas[[#This Row],[CANTIDAD]]</f>
        <v>#N/A</v>
      </c>
      <c r="H477" s="84" t="e">
        <f>VLOOKUP(Salidas[[#This Row],[CODIGO ]],Inventario[],10,FALSE)*Salidas[[#This Row],[CANTIDAD]]</f>
        <v>#N/A</v>
      </c>
    </row>
    <row r="478" spans="1:8" ht="40.5" customHeight="1">
      <c r="A478" s="18"/>
      <c r="B478" s="20"/>
      <c r="C478" s="86"/>
      <c r="D478" s="83" t="str">
        <f>IFERROR(INDEX(Inventari_2[#All],MATCH(Salidas[[#This Row],[CODIGO ]],Inventari_2[[#Headers],[#Data],[CODIGO]],0),2),"")</f>
        <v/>
      </c>
      <c r="E478">
        <v>1</v>
      </c>
      <c r="F478" s="43" t="e">
        <f>VLOOKUP(Salidas[[#This Row],[CODIGO ]],Inventari_2[],8,FALSE)</f>
        <v>#N/A</v>
      </c>
      <c r="G478" s="44" t="e">
        <f>Salidas[[#This Row],[PRECIO]]*Salidas[[#This Row],[CANTIDAD]]</f>
        <v>#N/A</v>
      </c>
      <c r="H478" s="84" t="e">
        <f>VLOOKUP(Salidas[[#This Row],[CODIGO ]],Inventario[],10,FALSE)*Salidas[[#This Row],[CANTIDAD]]</f>
        <v>#N/A</v>
      </c>
    </row>
    <row r="479" spans="1:8" ht="40.5" customHeight="1">
      <c r="A479" s="18"/>
      <c r="B479" s="20"/>
      <c r="C479" s="86"/>
      <c r="D479" s="83" t="str">
        <f>IFERROR(INDEX(Inventari_2[#All],MATCH(Salidas[[#This Row],[CODIGO ]],Inventari_2[[#Headers],[#Data],[CODIGO]],0),2),"")</f>
        <v/>
      </c>
      <c r="E479">
        <v>1</v>
      </c>
      <c r="F479" s="43" t="e">
        <f>VLOOKUP(Salidas[[#This Row],[CODIGO ]],Inventari_2[],8,FALSE)</f>
        <v>#N/A</v>
      </c>
      <c r="G479" s="44" t="e">
        <f>Salidas[[#This Row],[PRECIO]]*Salidas[[#This Row],[CANTIDAD]]</f>
        <v>#N/A</v>
      </c>
      <c r="H479" s="84" t="e">
        <f>VLOOKUP(Salidas[[#This Row],[CODIGO ]],Inventario[],10,FALSE)*Salidas[[#This Row],[CANTIDAD]]</f>
        <v>#N/A</v>
      </c>
    </row>
    <row r="480" spans="1:8" ht="40.5" customHeight="1">
      <c r="A480" s="18"/>
      <c r="B480" s="20"/>
      <c r="C480" s="86"/>
      <c r="D480" s="83" t="str">
        <f>IFERROR(INDEX(Inventari_2[#All],MATCH(Salidas[[#This Row],[CODIGO ]],Inventari_2[[#Headers],[#Data],[CODIGO]],0),2),"")</f>
        <v/>
      </c>
      <c r="E480">
        <v>1</v>
      </c>
      <c r="F480" s="43" t="e">
        <f>VLOOKUP(Salidas[[#This Row],[CODIGO ]],Inventari_2[],8,FALSE)</f>
        <v>#N/A</v>
      </c>
      <c r="G480" s="44" t="e">
        <f>Salidas[[#This Row],[PRECIO]]*Salidas[[#This Row],[CANTIDAD]]</f>
        <v>#N/A</v>
      </c>
      <c r="H480" s="84" t="e">
        <f>VLOOKUP(Salidas[[#This Row],[CODIGO ]],Inventario[],10,FALSE)*Salidas[[#This Row],[CANTIDAD]]</f>
        <v>#N/A</v>
      </c>
    </row>
    <row r="481" spans="1:8" ht="40.5" customHeight="1">
      <c r="A481" s="18"/>
      <c r="B481" s="20"/>
      <c r="C481" s="86"/>
      <c r="D481" s="83" t="str">
        <f>IFERROR(INDEX(Inventari_2[#All],MATCH(Salidas[[#This Row],[CODIGO ]],Inventari_2[[#Headers],[#Data],[CODIGO]],0),2),"")</f>
        <v/>
      </c>
      <c r="E481">
        <v>1</v>
      </c>
      <c r="F481" s="43" t="e">
        <f>VLOOKUP(Salidas[[#This Row],[CODIGO ]],Inventari_2[],8,FALSE)</f>
        <v>#N/A</v>
      </c>
      <c r="G481" s="44" t="e">
        <f>Salidas[[#This Row],[PRECIO]]*Salidas[[#This Row],[CANTIDAD]]</f>
        <v>#N/A</v>
      </c>
      <c r="H481" s="84" t="e">
        <f>VLOOKUP(Salidas[[#This Row],[CODIGO ]],Inventario[],10,FALSE)*Salidas[[#This Row],[CANTIDAD]]</f>
        <v>#N/A</v>
      </c>
    </row>
    <row r="482" spans="1:8" ht="40.5" customHeight="1">
      <c r="A482" s="18"/>
      <c r="B482" s="20"/>
      <c r="C482" s="86"/>
      <c r="D482" s="83" t="str">
        <f>IFERROR(INDEX(Inventari_2[#All],MATCH(Salidas[[#This Row],[CODIGO ]],Inventari_2[[#Headers],[#Data],[CODIGO]],0),2),"")</f>
        <v/>
      </c>
      <c r="E482">
        <v>1</v>
      </c>
      <c r="F482" s="43" t="e">
        <f>VLOOKUP(Salidas[[#This Row],[CODIGO ]],Inventari_2[],8,FALSE)</f>
        <v>#N/A</v>
      </c>
      <c r="G482" s="44" t="e">
        <f>Salidas[[#This Row],[PRECIO]]*Salidas[[#This Row],[CANTIDAD]]</f>
        <v>#N/A</v>
      </c>
      <c r="H482" s="84" t="e">
        <f>VLOOKUP(Salidas[[#This Row],[CODIGO ]],Inventario[],10,FALSE)*Salidas[[#This Row],[CANTIDAD]]</f>
        <v>#N/A</v>
      </c>
    </row>
    <row r="483" spans="1:8" ht="40.5" customHeight="1">
      <c r="A483" s="18"/>
      <c r="B483" s="20"/>
      <c r="C483" s="86"/>
      <c r="D483" s="83" t="str">
        <f>IFERROR(INDEX(Inventari_2[#All],MATCH(Salidas[[#This Row],[CODIGO ]],Inventari_2[[#Headers],[#Data],[CODIGO]],0),2),"")</f>
        <v/>
      </c>
      <c r="E483">
        <v>1</v>
      </c>
      <c r="F483" s="43" t="e">
        <f>VLOOKUP(Salidas[[#This Row],[CODIGO ]],Inventari_2[],8,FALSE)</f>
        <v>#N/A</v>
      </c>
      <c r="G483" s="44" t="e">
        <f>Salidas[[#This Row],[PRECIO]]*Salidas[[#This Row],[CANTIDAD]]</f>
        <v>#N/A</v>
      </c>
      <c r="H483" s="84" t="e">
        <f>VLOOKUP(Salidas[[#This Row],[CODIGO ]],Inventario[],10,FALSE)*Salidas[[#This Row],[CANTIDAD]]</f>
        <v>#N/A</v>
      </c>
    </row>
    <row r="484" spans="1:8" ht="40.5" customHeight="1">
      <c r="A484" s="18"/>
      <c r="B484" s="20"/>
      <c r="C484" s="86"/>
      <c r="D484" s="83" t="str">
        <f>IFERROR(INDEX(Inventari_2[#All],MATCH(Salidas[[#This Row],[CODIGO ]],Inventari_2[[#Headers],[#Data],[CODIGO]],0),2),"")</f>
        <v/>
      </c>
      <c r="E484">
        <v>1</v>
      </c>
      <c r="F484" s="43" t="e">
        <f>VLOOKUP(Salidas[[#This Row],[CODIGO ]],Inventari_2[],8,FALSE)</f>
        <v>#N/A</v>
      </c>
      <c r="G484" s="44" t="e">
        <f>Salidas[[#This Row],[PRECIO]]*Salidas[[#This Row],[CANTIDAD]]</f>
        <v>#N/A</v>
      </c>
      <c r="H484" s="84" t="e">
        <f>VLOOKUP(Salidas[[#This Row],[CODIGO ]],Inventario[],10,FALSE)*Salidas[[#This Row],[CANTIDAD]]</f>
        <v>#N/A</v>
      </c>
    </row>
    <row r="485" spans="1:8" ht="40.5" customHeight="1">
      <c r="A485" s="18"/>
      <c r="B485" s="20"/>
      <c r="C485" s="86"/>
      <c r="D485" s="83" t="str">
        <f>IFERROR(INDEX(Inventari_2[#All],MATCH(Salidas[[#This Row],[CODIGO ]],Inventari_2[[#Headers],[#Data],[CODIGO]],0),2),"")</f>
        <v/>
      </c>
      <c r="E485">
        <v>1</v>
      </c>
      <c r="F485" s="43" t="e">
        <f>VLOOKUP(Salidas[[#This Row],[CODIGO ]],Inventari_2[],8,FALSE)</f>
        <v>#N/A</v>
      </c>
      <c r="G485" s="44" t="e">
        <f>Salidas[[#This Row],[PRECIO]]*Salidas[[#This Row],[CANTIDAD]]</f>
        <v>#N/A</v>
      </c>
      <c r="H485" s="84" t="e">
        <f>VLOOKUP(Salidas[[#This Row],[CODIGO ]],Inventario[],10,FALSE)*Salidas[[#This Row],[CANTIDAD]]</f>
        <v>#N/A</v>
      </c>
    </row>
    <row r="486" spans="1:8" ht="40.5" customHeight="1">
      <c r="A486" s="18"/>
      <c r="B486" s="20"/>
      <c r="C486" s="86"/>
      <c r="D486" s="83" t="str">
        <f>IFERROR(INDEX(Inventari_2[#All],MATCH(Salidas[[#This Row],[CODIGO ]],Inventari_2[[#Headers],[#Data],[CODIGO]],0),2),"")</f>
        <v/>
      </c>
      <c r="E486">
        <v>1</v>
      </c>
      <c r="F486" s="43" t="e">
        <f>VLOOKUP(Salidas[[#This Row],[CODIGO ]],Inventari_2[],8,FALSE)</f>
        <v>#N/A</v>
      </c>
      <c r="G486" s="44" t="e">
        <f>Salidas[[#This Row],[PRECIO]]*Salidas[[#This Row],[CANTIDAD]]</f>
        <v>#N/A</v>
      </c>
      <c r="H486" s="84" t="e">
        <f>VLOOKUP(Salidas[[#This Row],[CODIGO ]],Inventario[],10,FALSE)*Salidas[[#This Row],[CANTIDAD]]</f>
        <v>#N/A</v>
      </c>
    </row>
    <row r="487" spans="1:8" ht="40.5" customHeight="1">
      <c r="A487" s="18"/>
      <c r="B487" s="20"/>
      <c r="C487" s="86"/>
      <c r="D487" s="83" t="str">
        <f>IFERROR(INDEX(Inventari_2[#All],MATCH(Salidas[[#This Row],[CODIGO ]],Inventari_2[[#Headers],[#Data],[CODIGO]],0),2),"")</f>
        <v/>
      </c>
      <c r="E487">
        <v>1</v>
      </c>
      <c r="F487" s="43" t="e">
        <f>VLOOKUP(Salidas[[#This Row],[CODIGO ]],Inventari_2[],8,FALSE)</f>
        <v>#N/A</v>
      </c>
      <c r="G487" s="44" t="e">
        <f>Salidas[[#This Row],[PRECIO]]*Salidas[[#This Row],[CANTIDAD]]</f>
        <v>#N/A</v>
      </c>
      <c r="H487" s="84" t="e">
        <f>VLOOKUP(Salidas[[#This Row],[CODIGO ]],Inventario[],10,FALSE)*Salidas[[#This Row],[CANTIDAD]]</f>
        <v>#N/A</v>
      </c>
    </row>
    <row r="488" spans="1:8" ht="40.5" customHeight="1">
      <c r="A488" s="18"/>
      <c r="B488" s="20"/>
      <c r="C488" s="86"/>
      <c r="D488" s="83" t="str">
        <f>IFERROR(INDEX(Inventari_2[#All],MATCH(Salidas[[#This Row],[CODIGO ]],Inventari_2[[#Headers],[#Data],[CODIGO]],0),2),"")</f>
        <v/>
      </c>
      <c r="E488">
        <v>1</v>
      </c>
      <c r="F488" s="43" t="e">
        <f>VLOOKUP(Salidas[[#This Row],[CODIGO ]],Inventari_2[],8,FALSE)</f>
        <v>#N/A</v>
      </c>
      <c r="G488" s="44" t="e">
        <f>Salidas[[#This Row],[PRECIO]]*Salidas[[#This Row],[CANTIDAD]]</f>
        <v>#N/A</v>
      </c>
      <c r="H488" s="84" t="e">
        <f>VLOOKUP(Salidas[[#This Row],[CODIGO ]],Inventario[],10,FALSE)*Salidas[[#This Row],[CANTIDAD]]</f>
        <v>#N/A</v>
      </c>
    </row>
    <row r="489" spans="1:8" ht="40.5" customHeight="1">
      <c r="A489" s="18"/>
      <c r="B489" s="20"/>
      <c r="C489" s="86"/>
      <c r="D489" s="83" t="str">
        <f>IFERROR(INDEX(Inventari_2[#All],MATCH(Salidas[[#This Row],[CODIGO ]],Inventari_2[[#Headers],[#Data],[CODIGO]],0),2),"")</f>
        <v/>
      </c>
      <c r="E489">
        <v>1</v>
      </c>
      <c r="F489" s="43" t="e">
        <f>VLOOKUP(Salidas[[#This Row],[CODIGO ]],Inventari_2[],8,FALSE)</f>
        <v>#N/A</v>
      </c>
      <c r="G489" s="44" t="e">
        <f>Salidas[[#This Row],[PRECIO]]*Salidas[[#This Row],[CANTIDAD]]</f>
        <v>#N/A</v>
      </c>
      <c r="H489" s="84" t="e">
        <f>VLOOKUP(Salidas[[#This Row],[CODIGO ]],Inventario[],10,FALSE)*Salidas[[#This Row],[CANTIDAD]]</f>
        <v>#N/A</v>
      </c>
    </row>
    <row r="490" spans="1:8" ht="40.5" customHeight="1">
      <c r="A490" s="18"/>
      <c r="B490" s="20"/>
      <c r="C490" s="86"/>
      <c r="D490" s="83" t="str">
        <f>IFERROR(INDEX(Inventari_2[#All],MATCH(Salidas[[#This Row],[CODIGO ]],Inventari_2[[#Headers],[#Data],[CODIGO]],0),2),"")</f>
        <v/>
      </c>
      <c r="E490">
        <v>1</v>
      </c>
      <c r="F490" s="43" t="e">
        <f>VLOOKUP(Salidas[[#This Row],[CODIGO ]],Inventari_2[],8,FALSE)</f>
        <v>#N/A</v>
      </c>
      <c r="G490" s="44" t="e">
        <f>Salidas[[#This Row],[PRECIO]]*Salidas[[#This Row],[CANTIDAD]]</f>
        <v>#N/A</v>
      </c>
      <c r="H490" s="84" t="e">
        <f>VLOOKUP(Salidas[[#This Row],[CODIGO ]],Inventario[],10,FALSE)*Salidas[[#This Row],[CANTIDAD]]</f>
        <v>#N/A</v>
      </c>
    </row>
    <row r="491" spans="1:8" ht="40.5" customHeight="1">
      <c r="A491" s="18"/>
      <c r="B491" s="20"/>
      <c r="C491" s="86"/>
      <c r="D491" s="83" t="str">
        <f>IFERROR(INDEX(Inventari_2[#All],MATCH(Salidas[[#This Row],[CODIGO ]],Inventari_2[[#Headers],[#Data],[CODIGO]],0),2),"")</f>
        <v/>
      </c>
      <c r="E491">
        <v>1</v>
      </c>
      <c r="F491" s="43" t="e">
        <f>VLOOKUP(Salidas[[#This Row],[CODIGO ]],Inventari_2[],8,FALSE)</f>
        <v>#N/A</v>
      </c>
      <c r="G491" s="44" t="e">
        <f>Salidas[[#This Row],[PRECIO]]*Salidas[[#This Row],[CANTIDAD]]</f>
        <v>#N/A</v>
      </c>
      <c r="H491" s="84" t="e">
        <f>VLOOKUP(Salidas[[#This Row],[CODIGO ]],Inventario[],10,FALSE)*Salidas[[#This Row],[CANTIDAD]]</f>
        <v>#N/A</v>
      </c>
    </row>
    <row r="492" spans="1:8" ht="40.5" customHeight="1">
      <c r="A492" s="18"/>
      <c r="B492" s="20"/>
      <c r="C492" s="86"/>
      <c r="D492" s="83" t="str">
        <f>IFERROR(INDEX(Inventari_2[#All],MATCH(Salidas[[#This Row],[CODIGO ]],Inventari_2[[#Headers],[#Data],[CODIGO]],0),2),"")</f>
        <v/>
      </c>
      <c r="E492">
        <v>1</v>
      </c>
      <c r="F492" s="43" t="e">
        <f>VLOOKUP(Salidas[[#This Row],[CODIGO ]],Inventari_2[],8,FALSE)</f>
        <v>#N/A</v>
      </c>
      <c r="G492" s="44" t="e">
        <f>Salidas[[#This Row],[PRECIO]]*Salidas[[#This Row],[CANTIDAD]]</f>
        <v>#N/A</v>
      </c>
      <c r="H492" s="84" t="e">
        <f>VLOOKUP(Salidas[[#This Row],[CODIGO ]],Inventario[],10,FALSE)*Salidas[[#This Row],[CANTIDAD]]</f>
        <v>#N/A</v>
      </c>
    </row>
    <row r="493" spans="1:8" ht="40.5" customHeight="1">
      <c r="A493" s="18"/>
      <c r="B493" s="20"/>
      <c r="C493" s="86"/>
      <c r="D493" s="83" t="str">
        <f>IFERROR(INDEX(Inventari_2[#All],MATCH(Salidas[[#This Row],[CODIGO ]],Inventari_2[[#Headers],[#Data],[CODIGO]],0),2),"")</f>
        <v/>
      </c>
      <c r="E493">
        <v>1</v>
      </c>
      <c r="F493" s="43" t="e">
        <f>VLOOKUP(Salidas[[#This Row],[CODIGO ]],Inventari_2[],8,FALSE)</f>
        <v>#N/A</v>
      </c>
      <c r="G493" s="44" t="e">
        <f>Salidas[[#This Row],[PRECIO]]*Salidas[[#This Row],[CANTIDAD]]</f>
        <v>#N/A</v>
      </c>
      <c r="H493" s="84" t="e">
        <f>VLOOKUP(Salidas[[#This Row],[CODIGO ]],Inventario[],10,FALSE)*Salidas[[#This Row],[CANTIDAD]]</f>
        <v>#N/A</v>
      </c>
    </row>
    <row r="494" spans="1:8" ht="40.5" customHeight="1">
      <c r="A494" s="18"/>
      <c r="B494" s="20"/>
      <c r="C494" s="86"/>
      <c r="D494" s="83" t="str">
        <f>IFERROR(INDEX(Inventari_2[#All],MATCH(Salidas[[#This Row],[CODIGO ]],Inventari_2[[#Headers],[#Data],[CODIGO]],0),2),"")</f>
        <v/>
      </c>
      <c r="E494">
        <v>1</v>
      </c>
      <c r="F494" s="43" t="e">
        <f>VLOOKUP(Salidas[[#This Row],[CODIGO ]],Inventari_2[],8,FALSE)</f>
        <v>#N/A</v>
      </c>
      <c r="G494" s="44" t="e">
        <f>Salidas[[#This Row],[PRECIO]]*Salidas[[#This Row],[CANTIDAD]]</f>
        <v>#N/A</v>
      </c>
      <c r="H494" s="84" t="e">
        <f>VLOOKUP(Salidas[[#This Row],[CODIGO ]],Inventario[],10,FALSE)*Salidas[[#This Row],[CANTIDAD]]</f>
        <v>#N/A</v>
      </c>
    </row>
    <row r="495" spans="1:8" ht="40.5" customHeight="1">
      <c r="A495" s="18"/>
      <c r="B495" s="20"/>
      <c r="C495" s="86"/>
      <c r="D495" s="83" t="str">
        <f>IFERROR(INDEX(Inventari_2[#All],MATCH(Salidas[[#This Row],[CODIGO ]],Inventari_2[[#Headers],[#Data],[CODIGO]],0),2),"")</f>
        <v/>
      </c>
      <c r="E495">
        <v>1</v>
      </c>
      <c r="F495" s="43" t="e">
        <f>VLOOKUP(Salidas[[#This Row],[CODIGO ]],Inventari_2[],8,FALSE)</f>
        <v>#N/A</v>
      </c>
      <c r="G495" s="44" t="e">
        <f>Salidas[[#This Row],[PRECIO]]*Salidas[[#This Row],[CANTIDAD]]</f>
        <v>#N/A</v>
      </c>
      <c r="H495" s="84" t="e">
        <f>VLOOKUP(Salidas[[#This Row],[CODIGO ]],Inventario[],10,FALSE)*Salidas[[#This Row],[CANTIDAD]]</f>
        <v>#N/A</v>
      </c>
    </row>
    <row r="496" spans="1:8" ht="40.5" customHeight="1">
      <c r="A496" s="18"/>
      <c r="B496" s="20"/>
      <c r="C496" s="86"/>
      <c r="D496" s="83" t="str">
        <f>IFERROR(INDEX(Inventari_2[#All],MATCH(Salidas[[#This Row],[CODIGO ]],Inventari_2[[#Headers],[#Data],[CODIGO]],0),2),"")</f>
        <v/>
      </c>
      <c r="E496">
        <v>1</v>
      </c>
      <c r="F496" s="43" t="e">
        <f>VLOOKUP(Salidas[[#This Row],[CODIGO ]],Inventari_2[],8,FALSE)</f>
        <v>#N/A</v>
      </c>
      <c r="G496" s="44" t="e">
        <f>Salidas[[#This Row],[PRECIO]]*Salidas[[#This Row],[CANTIDAD]]</f>
        <v>#N/A</v>
      </c>
      <c r="H496" s="84" t="e">
        <f>VLOOKUP(Salidas[[#This Row],[CODIGO ]],Inventario[],10,FALSE)*Salidas[[#This Row],[CANTIDAD]]</f>
        <v>#N/A</v>
      </c>
    </row>
    <row r="497" spans="1:8" ht="40.5" customHeight="1">
      <c r="A497" s="18"/>
      <c r="B497" s="20"/>
      <c r="C497" s="86"/>
      <c r="D497" s="83" t="str">
        <f>IFERROR(INDEX(Inventari_2[#All],MATCH(Salidas[[#This Row],[CODIGO ]],Inventari_2[[#Headers],[#Data],[CODIGO]],0),2),"")</f>
        <v/>
      </c>
      <c r="E497">
        <v>1</v>
      </c>
      <c r="F497" s="43" t="e">
        <f>VLOOKUP(Salidas[[#This Row],[CODIGO ]],Inventari_2[],8,FALSE)</f>
        <v>#N/A</v>
      </c>
      <c r="G497" s="44" t="e">
        <f>Salidas[[#This Row],[PRECIO]]*Salidas[[#This Row],[CANTIDAD]]</f>
        <v>#N/A</v>
      </c>
      <c r="H497" s="84" t="e">
        <f>VLOOKUP(Salidas[[#This Row],[CODIGO ]],Inventario[],10,FALSE)*Salidas[[#This Row],[CANTIDAD]]</f>
        <v>#N/A</v>
      </c>
    </row>
    <row r="498" spans="1:8" ht="40.5" customHeight="1">
      <c r="A498" s="18"/>
      <c r="B498" s="20"/>
      <c r="C498" s="86"/>
      <c r="D498" s="83" t="str">
        <f>IFERROR(INDEX(Inventari_2[#All],MATCH(Salidas[[#This Row],[CODIGO ]],Inventari_2[[#Headers],[#Data],[CODIGO]],0),2),"")</f>
        <v/>
      </c>
      <c r="E498">
        <v>1</v>
      </c>
      <c r="F498" s="43" t="e">
        <f>VLOOKUP(Salidas[[#This Row],[CODIGO ]],Inventari_2[],8,FALSE)</f>
        <v>#N/A</v>
      </c>
      <c r="G498" s="44" t="e">
        <f>Salidas[[#This Row],[PRECIO]]*Salidas[[#This Row],[CANTIDAD]]</f>
        <v>#N/A</v>
      </c>
      <c r="H498" s="84" t="e">
        <f>VLOOKUP(Salidas[[#This Row],[CODIGO ]],Inventario[],10,FALSE)*Salidas[[#This Row],[CANTIDAD]]</f>
        <v>#N/A</v>
      </c>
    </row>
    <row r="499" spans="1:8" ht="40.5" customHeight="1">
      <c r="A499" s="18"/>
      <c r="B499" s="20"/>
      <c r="C499" s="86"/>
      <c r="D499" s="83" t="str">
        <f>IFERROR(INDEX(Inventari_2[#All],MATCH(Salidas[[#This Row],[CODIGO ]],Inventari_2[[#Headers],[#Data],[CODIGO]],0),2),"")</f>
        <v/>
      </c>
      <c r="E499">
        <v>1</v>
      </c>
      <c r="F499" s="43" t="e">
        <f>VLOOKUP(Salidas[[#This Row],[CODIGO ]],Inventari_2[],8,FALSE)</f>
        <v>#N/A</v>
      </c>
      <c r="G499" s="44" t="e">
        <f>Salidas[[#This Row],[PRECIO]]*Salidas[[#This Row],[CANTIDAD]]</f>
        <v>#N/A</v>
      </c>
      <c r="H499" s="84" t="e">
        <f>VLOOKUP(Salidas[[#This Row],[CODIGO ]],Inventario[],10,FALSE)*Salidas[[#This Row],[CANTIDAD]]</f>
        <v>#N/A</v>
      </c>
    </row>
    <row r="500" spans="1:8" ht="40.5" customHeight="1">
      <c r="A500" s="18"/>
      <c r="B500" s="20"/>
      <c r="C500" s="86"/>
      <c r="D500" s="83" t="str">
        <f>IFERROR(INDEX(Inventari_2[#All],MATCH(Salidas[[#This Row],[CODIGO ]],Inventari_2[[#Headers],[#Data],[CODIGO]],0),2),"")</f>
        <v/>
      </c>
      <c r="E500">
        <v>1</v>
      </c>
      <c r="F500" s="43" t="e">
        <f>VLOOKUP(Salidas[[#This Row],[CODIGO ]],Inventari_2[],8,FALSE)</f>
        <v>#N/A</v>
      </c>
      <c r="G500" s="44" t="e">
        <f>Salidas[[#This Row],[PRECIO]]*Salidas[[#This Row],[CANTIDAD]]</f>
        <v>#N/A</v>
      </c>
      <c r="H500" s="84" t="e">
        <f>VLOOKUP(Salidas[[#This Row],[CODIGO ]],Inventario[],10,FALSE)*Salidas[[#This Row],[CANTIDAD]]</f>
        <v>#N/A</v>
      </c>
    </row>
    <row r="501" spans="1:8" ht="40.5" customHeight="1">
      <c r="A501" s="18"/>
      <c r="B501" s="20"/>
      <c r="C501" s="86"/>
      <c r="D501" s="83" t="str">
        <f>IFERROR(INDEX(Inventari_2[#All],MATCH(Salidas[[#This Row],[CODIGO ]],Inventari_2[[#Headers],[#Data],[CODIGO]],0),2),"")</f>
        <v/>
      </c>
      <c r="E501">
        <v>1</v>
      </c>
      <c r="F501" s="43" t="e">
        <f>VLOOKUP(Salidas[[#This Row],[CODIGO ]],Inventari_2[],8,FALSE)</f>
        <v>#N/A</v>
      </c>
      <c r="G501" s="44" t="e">
        <f>Salidas[[#This Row],[PRECIO]]*Salidas[[#This Row],[CANTIDAD]]</f>
        <v>#N/A</v>
      </c>
      <c r="H501" s="84" t="e">
        <f>VLOOKUP(Salidas[[#This Row],[CODIGO ]],Inventario[],10,FALSE)*Salidas[[#This Row],[CANTIDAD]]</f>
        <v>#N/A</v>
      </c>
    </row>
    <row r="502" spans="1:8" ht="40.5" customHeight="1">
      <c r="A502" s="18"/>
      <c r="B502" s="20"/>
      <c r="C502" s="86"/>
      <c r="D502" s="83" t="str">
        <f>IFERROR(INDEX(Inventari_2[#All],MATCH(Salidas[[#This Row],[CODIGO ]],Inventari_2[[#Headers],[#Data],[CODIGO]],0),2),"")</f>
        <v/>
      </c>
      <c r="E502">
        <v>1</v>
      </c>
      <c r="F502" s="43" t="e">
        <f>VLOOKUP(Salidas[[#This Row],[CODIGO ]],Inventari_2[],8,FALSE)</f>
        <v>#N/A</v>
      </c>
      <c r="G502" s="44" t="e">
        <f>Salidas[[#This Row],[PRECIO]]*Salidas[[#This Row],[CANTIDAD]]</f>
        <v>#N/A</v>
      </c>
      <c r="H502" s="84" t="e">
        <f>VLOOKUP(Salidas[[#This Row],[CODIGO ]],Inventario[],10,FALSE)*Salidas[[#This Row],[CANTIDAD]]</f>
        <v>#N/A</v>
      </c>
    </row>
    <row r="503" spans="1:8" s="57" customFormat="1" ht="40.5" customHeight="1">
      <c r="A503" s="55"/>
      <c r="B503" s="56"/>
      <c r="C503" s="86"/>
      <c r="D503" s="83" t="str">
        <f>IFERROR(INDEX(Inventari_2[#All],MATCH(Salidas[[#This Row],[CODIGO ]],Inventari_2[[#Headers],[#Data],[CODIGO]],0),2),"")</f>
        <v/>
      </c>
      <c r="E503">
        <v>1</v>
      </c>
      <c r="F503" s="58" t="e">
        <f>VLOOKUP(Salidas[[#This Row],[CODIGO ]],Inventari_2[],8,FALSE)</f>
        <v>#N/A</v>
      </c>
      <c r="G503" s="44" t="e">
        <f>Salidas[[#This Row],[PRECIO]]*Salidas[[#This Row],[CANTIDAD]]</f>
        <v>#N/A</v>
      </c>
      <c r="H503" s="84" t="e">
        <f>VLOOKUP(Salidas[[#This Row],[CODIGO ]],Inventario[],10,FALSE)*Salidas[[#This Row],[CANTIDAD]]</f>
        <v>#N/A</v>
      </c>
    </row>
    <row r="504" spans="1:8" ht="40.5" customHeight="1">
      <c r="A504" s="20"/>
      <c r="B504" s="20"/>
      <c r="C504" s="86"/>
      <c r="D504" s="83" t="str">
        <f>IFERROR(INDEX(Inventari_2[#All],MATCH(Salidas[[#This Row],[CODIGO ]],Inventari_2[[#Headers],[#Data],[CODIGO]],0),2),"")</f>
        <v/>
      </c>
      <c r="E504">
        <v>1</v>
      </c>
      <c r="F504" s="43" t="e">
        <f>VLOOKUP(Salidas[[#This Row],[CODIGO ]],Inventari_2[],8,FALSE)</f>
        <v>#N/A</v>
      </c>
      <c r="G504" s="44" t="e">
        <f>Salidas[[#This Row],[PRECIO]]*Salidas[[#This Row],[CANTIDAD]]</f>
        <v>#N/A</v>
      </c>
      <c r="H504" s="84" t="e">
        <f>VLOOKUP(Salidas[[#This Row],[CODIGO ]],Inventario[],10,FALSE)*Salidas[[#This Row],[CANTIDAD]]</f>
        <v>#N/A</v>
      </c>
    </row>
    <row r="505" spans="1:8" ht="40.5" customHeight="1">
      <c r="A505" s="18"/>
      <c r="B505" s="20"/>
      <c r="C505" s="86"/>
      <c r="D505" s="83" t="str">
        <f>IFERROR(INDEX(Inventari_2[#All],MATCH(Salidas[[#This Row],[CODIGO ]],Inventari_2[[#Headers],[#Data],[CODIGO]],0),2),"")</f>
        <v/>
      </c>
      <c r="E505">
        <v>1</v>
      </c>
      <c r="F505" s="43" t="e">
        <f>VLOOKUP(Salidas[[#This Row],[CODIGO ]],Inventari_2[],8,FALSE)</f>
        <v>#N/A</v>
      </c>
      <c r="G505" s="44" t="e">
        <f>Salidas[[#This Row],[PRECIO]]*Salidas[[#This Row],[CANTIDAD]]</f>
        <v>#N/A</v>
      </c>
      <c r="H505" s="84" t="e">
        <f>VLOOKUP(Salidas[[#This Row],[CODIGO ]],Inventario[],10,FALSE)*Salidas[[#This Row],[CANTIDAD]]</f>
        <v>#N/A</v>
      </c>
    </row>
    <row r="506" spans="1:8" ht="40.5" customHeight="1">
      <c r="A506" s="18"/>
      <c r="B506" s="20"/>
      <c r="C506" s="86"/>
      <c r="D506" s="83" t="str">
        <f>IFERROR(INDEX(Inventari_2[#All],MATCH(Salidas[[#This Row],[CODIGO ]],Inventari_2[[#Headers],[#Data],[CODIGO]],0),2),"")</f>
        <v/>
      </c>
      <c r="E506">
        <v>1</v>
      </c>
      <c r="F506" s="43" t="e">
        <f>VLOOKUP(Salidas[[#This Row],[CODIGO ]],Inventari_2[],8,FALSE)</f>
        <v>#N/A</v>
      </c>
      <c r="G506" s="44" t="e">
        <f>Salidas[[#This Row],[PRECIO]]*Salidas[[#This Row],[CANTIDAD]]</f>
        <v>#N/A</v>
      </c>
      <c r="H506" s="84" t="e">
        <f>VLOOKUP(Salidas[[#This Row],[CODIGO ]],Inventario[],10,FALSE)*Salidas[[#This Row],[CANTIDAD]]</f>
        <v>#N/A</v>
      </c>
    </row>
    <row r="507" spans="1:8" ht="40.5" customHeight="1">
      <c r="A507" s="18"/>
      <c r="B507" s="20"/>
      <c r="C507" s="86"/>
      <c r="D507" s="83" t="str">
        <f>IFERROR(INDEX(Inventari_2[#All],MATCH(Salidas[[#This Row],[CODIGO ]],Inventari_2[[#Headers],[#Data],[CODIGO]],0),2),"")</f>
        <v/>
      </c>
      <c r="E507">
        <v>1</v>
      </c>
      <c r="F507" s="43" t="e">
        <f>VLOOKUP(Salidas[[#This Row],[CODIGO ]],Inventari_2[],8,FALSE)</f>
        <v>#N/A</v>
      </c>
      <c r="G507" s="44" t="e">
        <f>Salidas[[#This Row],[PRECIO]]*Salidas[[#This Row],[CANTIDAD]]</f>
        <v>#N/A</v>
      </c>
      <c r="H507" s="84" t="e">
        <f>VLOOKUP(Salidas[[#This Row],[CODIGO ]],Inventario[],10,FALSE)*Salidas[[#This Row],[CANTIDAD]]</f>
        <v>#N/A</v>
      </c>
    </row>
    <row r="508" spans="1:8" ht="40.5" customHeight="1">
      <c r="A508" s="18"/>
      <c r="B508" s="20"/>
      <c r="C508" s="86"/>
      <c r="D508" s="83" t="str">
        <f>IFERROR(INDEX(Inventari_2[#All],MATCH(Salidas[[#This Row],[CODIGO ]],Inventari_2[[#Headers],[#Data],[CODIGO]],0),2),"")</f>
        <v/>
      </c>
      <c r="E508">
        <v>1</v>
      </c>
      <c r="F508" s="43" t="e">
        <f>VLOOKUP(Salidas[[#This Row],[CODIGO ]],Inventari_2[],8,FALSE)</f>
        <v>#N/A</v>
      </c>
      <c r="G508" s="44" t="e">
        <f>Salidas[[#This Row],[PRECIO]]*Salidas[[#This Row],[CANTIDAD]]</f>
        <v>#N/A</v>
      </c>
      <c r="H508" s="84" t="e">
        <f>VLOOKUP(Salidas[[#This Row],[CODIGO ]],Inventario[],10,FALSE)*Salidas[[#This Row],[CANTIDAD]]</f>
        <v>#N/A</v>
      </c>
    </row>
    <row r="509" spans="1:8" ht="40.5" customHeight="1">
      <c r="A509" s="18"/>
      <c r="B509" s="20"/>
      <c r="C509" s="86"/>
      <c r="D509" s="83" t="str">
        <f>IFERROR(INDEX(Inventari_2[#All],MATCH(Salidas[[#This Row],[CODIGO ]],Inventari_2[[#Headers],[#Data],[CODIGO]],0),2),"")</f>
        <v/>
      </c>
      <c r="E509">
        <v>1</v>
      </c>
      <c r="F509" s="43" t="e">
        <f>VLOOKUP(Salidas[[#This Row],[CODIGO ]],Inventari_2[],8,FALSE)</f>
        <v>#N/A</v>
      </c>
      <c r="G509" s="44" t="e">
        <f>Salidas[[#This Row],[PRECIO]]*Salidas[[#This Row],[CANTIDAD]]</f>
        <v>#N/A</v>
      </c>
      <c r="H509" s="84" t="e">
        <f>VLOOKUP(Salidas[[#This Row],[CODIGO ]],Inventario[],10,FALSE)*Salidas[[#This Row],[CANTIDAD]]</f>
        <v>#N/A</v>
      </c>
    </row>
    <row r="510" spans="1:8" ht="40.5" customHeight="1">
      <c r="A510" s="18"/>
      <c r="B510" s="20"/>
      <c r="C510" s="86"/>
      <c r="D510" s="83" t="str">
        <f>IFERROR(INDEX(Inventari_2[#All],MATCH(Salidas[[#This Row],[CODIGO ]],Inventari_2[[#Headers],[#Data],[CODIGO]],0),2),"")</f>
        <v/>
      </c>
      <c r="E510">
        <v>1</v>
      </c>
      <c r="F510" s="43" t="e">
        <f>VLOOKUP(Salidas[[#This Row],[CODIGO ]],Inventari_2[],8,FALSE)</f>
        <v>#N/A</v>
      </c>
      <c r="G510" s="44" t="e">
        <f>Salidas[[#This Row],[PRECIO]]*Salidas[[#This Row],[CANTIDAD]]</f>
        <v>#N/A</v>
      </c>
      <c r="H510" s="84" t="e">
        <f>VLOOKUP(Salidas[[#This Row],[CODIGO ]],Inventario[],10,FALSE)*Salidas[[#This Row],[CANTIDAD]]</f>
        <v>#N/A</v>
      </c>
    </row>
    <row r="511" spans="1:8" ht="40.5" customHeight="1">
      <c r="A511" s="18"/>
      <c r="B511" s="20"/>
      <c r="C511" s="86"/>
      <c r="D511" s="83" t="str">
        <f>IFERROR(INDEX(Inventari_2[#All],MATCH(Salidas[[#This Row],[CODIGO ]],Inventari_2[[#Headers],[#Data],[CODIGO]],0),2),"")</f>
        <v/>
      </c>
      <c r="E511">
        <v>1</v>
      </c>
      <c r="F511" s="43" t="e">
        <f>VLOOKUP(Salidas[[#This Row],[CODIGO ]],Inventari_2[],8,FALSE)</f>
        <v>#N/A</v>
      </c>
      <c r="G511" s="44" t="e">
        <f>Salidas[[#This Row],[PRECIO]]*Salidas[[#This Row],[CANTIDAD]]</f>
        <v>#N/A</v>
      </c>
      <c r="H511" s="84" t="e">
        <f>VLOOKUP(Salidas[[#This Row],[CODIGO ]],Inventario[],10,FALSE)*Salidas[[#This Row],[CANTIDAD]]</f>
        <v>#N/A</v>
      </c>
    </row>
    <row r="512" spans="1:8" ht="40.5" customHeight="1">
      <c r="A512" s="18"/>
      <c r="B512" s="20"/>
      <c r="C512" s="86"/>
      <c r="D512" s="83" t="str">
        <f>IFERROR(INDEX(Inventari_2[#All],MATCH(Salidas[[#This Row],[CODIGO ]],Inventari_2[[#Headers],[#Data],[CODIGO]],0),2),"")</f>
        <v/>
      </c>
      <c r="E512">
        <v>1</v>
      </c>
      <c r="F512" s="43" t="e">
        <f>VLOOKUP(Salidas[[#This Row],[CODIGO ]],Inventari_2[],8,FALSE)</f>
        <v>#N/A</v>
      </c>
      <c r="G512" s="44" t="e">
        <f>Salidas[[#This Row],[PRECIO]]*Salidas[[#This Row],[CANTIDAD]]</f>
        <v>#N/A</v>
      </c>
      <c r="H512" s="84" t="e">
        <f>VLOOKUP(Salidas[[#This Row],[CODIGO ]],Inventario[],10,FALSE)*Salidas[[#This Row],[CANTIDAD]]</f>
        <v>#N/A</v>
      </c>
    </row>
    <row r="513" spans="1:8" ht="40.5" customHeight="1">
      <c r="A513" s="18"/>
      <c r="B513" s="20"/>
      <c r="C513" s="86"/>
      <c r="D513" s="83" t="str">
        <f>IFERROR(INDEX(Inventari_2[#All],MATCH(Salidas[[#This Row],[CODIGO ]],Inventari_2[[#Headers],[#Data],[CODIGO]],0),2),"")</f>
        <v/>
      </c>
      <c r="E513">
        <v>1</v>
      </c>
      <c r="F513" s="43" t="e">
        <f>VLOOKUP(Salidas[[#This Row],[CODIGO ]],Inventari_2[],8,FALSE)</f>
        <v>#N/A</v>
      </c>
      <c r="G513" s="44" t="e">
        <f>Salidas[[#This Row],[PRECIO]]*Salidas[[#This Row],[CANTIDAD]]</f>
        <v>#N/A</v>
      </c>
      <c r="H513" s="84" t="e">
        <f>VLOOKUP(Salidas[[#This Row],[CODIGO ]],Inventario[],10,FALSE)*Salidas[[#This Row],[CANTIDAD]]</f>
        <v>#N/A</v>
      </c>
    </row>
    <row r="514" spans="1:8" ht="40.5" customHeight="1">
      <c r="A514" s="18"/>
      <c r="B514" s="20"/>
      <c r="C514" s="86"/>
      <c r="D514" s="83" t="str">
        <f>IFERROR(INDEX(Inventari_2[#All],MATCH(Salidas[[#This Row],[CODIGO ]],Inventari_2[[#Headers],[#Data],[CODIGO]],0),2),"")</f>
        <v/>
      </c>
      <c r="E514">
        <v>1</v>
      </c>
      <c r="F514" s="43" t="e">
        <f>VLOOKUP(Salidas[[#This Row],[CODIGO ]],Inventari_2[],8,FALSE)</f>
        <v>#N/A</v>
      </c>
      <c r="G514" s="44" t="e">
        <f>Salidas[[#This Row],[PRECIO]]*Salidas[[#This Row],[CANTIDAD]]</f>
        <v>#N/A</v>
      </c>
      <c r="H514" s="84" t="e">
        <f>VLOOKUP(Salidas[[#This Row],[CODIGO ]],Inventario[],10,FALSE)*Salidas[[#This Row],[CANTIDAD]]</f>
        <v>#N/A</v>
      </c>
    </row>
    <row r="515" spans="1:8" ht="40.5" customHeight="1">
      <c r="A515" s="18"/>
      <c r="B515" s="20"/>
      <c r="C515" s="86"/>
      <c r="D515" s="83" t="str">
        <f>IFERROR(INDEX(Inventari_2[#All],MATCH(Salidas[[#This Row],[CODIGO ]],Inventari_2[[#Headers],[#Data],[CODIGO]],0),2),"")</f>
        <v/>
      </c>
      <c r="E515">
        <v>1</v>
      </c>
      <c r="F515" s="43" t="e">
        <f>VLOOKUP(Salidas[[#This Row],[CODIGO ]],Inventari_2[],8,FALSE)</f>
        <v>#N/A</v>
      </c>
      <c r="G515" s="44" t="e">
        <f>Salidas[[#This Row],[PRECIO]]*Salidas[[#This Row],[CANTIDAD]]</f>
        <v>#N/A</v>
      </c>
      <c r="H515" s="84" t="e">
        <f>VLOOKUP(Salidas[[#This Row],[CODIGO ]],Inventario[],10,FALSE)*Salidas[[#This Row],[CANTIDAD]]</f>
        <v>#N/A</v>
      </c>
    </row>
    <row r="516" spans="1:8" ht="40.5" customHeight="1">
      <c r="A516" s="18"/>
      <c r="B516" s="20"/>
      <c r="C516" s="86"/>
      <c r="D516" s="83" t="str">
        <f>IFERROR(INDEX(Inventari_2[#All],MATCH(Salidas[[#This Row],[CODIGO ]],Inventari_2[[#Headers],[#Data],[CODIGO]],0),2),"")</f>
        <v/>
      </c>
      <c r="E516">
        <v>1</v>
      </c>
      <c r="F516" s="43" t="e">
        <f>VLOOKUP(Salidas[[#This Row],[CODIGO ]],Inventari_2[],8,FALSE)</f>
        <v>#N/A</v>
      </c>
      <c r="G516" s="44" t="e">
        <f>Salidas[[#This Row],[PRECIO]]*Salidas[[#This Row],[CANTIDAD]]</f>
        <v>#N/A</v>
      </c>
      <c r="H516" s="84" t="e">
        <f>VLOOKUP(Salidas[[#This Row],[CODIGO ]],Inventario[],10,FALSE)*Salidas[[#This Row],[CANTIDAD]]</f>
        <v>#N/A</v>
      </c>
    </row>
    <row r="517" spans="1:8" ht="40.5" customHeight="1">
      <c r="A517" s="18"/>
      <c r="B517" s="20"/>
      <c r="C517" s="86"/>
      <c r="D517" s="83" t="str">
        <f>IFERROR(INDEX(Inventari_2[#All],MATCH(Salidas[[#This Row],[CODIGO ]],Inventari_2[[#Headers],[#Data],[CODIGO]],0),2),"")</f>
        <v/>
      </c>
      <c r="E517">
        <v>1</v>
      </c>
      <c r="F517" s="43" t="e">
        <f>VLOOKUP(Salidas[[#This Row],[CODIGO ]],Inventari_2[],8,FALSE)</f>
        <v>#N/A</v>
      </c>
      <c r="G517" s="44" t="e">
        <f>Salidas[[#This Row],[PRECIO]]*Salidas[[#This Row],[CANTIDAD]]</f>
        <v>#N/A</v>
      </c>
      <c r="H517" s="84" t="e">
        <f>VLOOKUP(Salidas[[#This Row],[CODIGO ]],Inventario[],10,FALSE)*Salidas[[#This Row],[CANTIDAD]]</f>
        <v>#N/A</v>
      </c>
    </row>
    <row r="518" spans="1:8" ht="40.5" customHeight="1">
      <c r="A518" s="18"/>
      <c r="B518" s="20"/>
      <c r="C518" s="86"/>
      <c r="D518" s="83" t="str">
        <f>IFERROR(INDEX(Inventari_2[#All],MATCH(Salidas[[#This Row],[CODIGO ]],Inventari_2[[#Headers],[#Data],[CODIGO]],0),2),"")</f>
        <v/>
      </c>
      <c r="E518">
        <v>1</v>
      </c>
      <c r="F518" s="43" t="e">
        <f>VLOOKUP(Salidas[[#This Row],[CODIGO ]],Inventari_2[],8,FALSE)</f>
        <v>#N/A</v>
      </c>
      <c r="G518" s="44" t="e">
        <f>Salidas[[#This Row],[PRECIO]]*Salidas[[#This Row],[CANTIDAD]]</f>
        <v>#N/A</v>
      </c>
      <c r="H518" s="84" t="e">
        <f>VLOOKUP(Salidas[[#This Row],[CODIGO ]],Inventario[],10,FALSE)*Salidas[[#This Row],[CANTIDAD]]</f>
        <v>#N/A</v>
      </c>
    </row>
    <row r="519" spans="1:8" ht="40.5" customHeight="1">
      <c r="A519" s="18"/>
      <c r="B519" s="20"/>
      <c r="C519" s="86"/>
      <c r="D519" s="83" t="str">
        <f>IFERROR(INDEX(Inventari_2[#All],MATCH(Salidas[[#This Row],[CODIGO ]],Inventari_2[[#Headers],[#Data],[CODIGO]],0),2),"")</f>
        <v/>
      </c>
      <c r="E519">
        <v>1</v>
      </c>
      <c r="F519" s="43" t="e">
        <f>VLOOKUP(Salidas[[#This Row],[CODIGO ]],Inventari_2[],8,FALSE)</f>
        <v>#N/A</v>
      </c>
      <c r="G519" s="44" t="e">
        <f>Salidas[[#This Row],[PRECIO]]*Salidas[[#This Row],[CANTIDAD]]</f>
        <v>#N/A</v>
      </c>
      <c r="H519" s="84" t="e">
        <f>VLOOKUP(Salidas[[#This Row],[CODIGO ]],Inventario[],10,FALSE)*Salidas[[#This Row],[CANTIDAD]]</f>
        <v>#N/A</v>
      </c>
    </row>
    <row r="520" spans="1:8" ht="40.5" customHeight="1">
      <c r="A520" s="18"/>
      <c r="B520" s="20"/>
      <c r="C520" s="86"/>
      <c r="D520" s="83" t="str">
        <f>IFERROR(INDEX(Inventari_2[#All],MATCH(Salidas[[#This Row],[CODIGO ]],Inventari_2[[#Headers],[#Data],[CODIGO]],0),2),"")</f>
        <v/>
      </c>
      <c r="E520">
        <v>1</v>
      </c>
      <c r="F520" s="43" t="e">
        <f>VLOOKUP(Salidas[[#This Row],[CODIGO ]],Inventari_2[],8,FALSE)</f>
        <v>#N/A</v>
      </c>
      <c r="G520" s="44" t="e">
        <f>Salidas[[#This Row],[PRECIO]]*Salidas[[#This Row],[CANTIDAD]]</f>
        <v>#N/A</v>
      </c>
      <c r="H520" s="84" t="e">
        <f>VLOOKUP(Salidas[[#This Row],[CODIGO ]],Inventario[],10,FALSE)*Salidas[[#This Row],[CANTIDAD]]</f>
        <v>#N/A</v>
      </c>
    </row>
    <row r="521" spans="1:8" ht="40.5" customHeight="1">
      <c r="A521" s="18"/>
      <c r="B521" s="20"/>
      <c r="C521" s="86"/>
      <c r="D521" s="83" t="str">
        <f>IFERROR(INDEX(Inventari_2[#All],MATCH(Salidas[[#This Row],[CODIGO ]],Inventari_2[[#Headers],[#Data],[CODIGO]],0),2),"")</f>
        <v/>
      </c>
      <c r="E521">
        <v>1</v>
      </c>
      <c r="F521" s="43" t="e">
        <f>VLOOKUP(Salidas[[#This Row],[CODIGO ]],Inventari_2[],8,FALSE)</f>
        <v>#N/A</v>
      </c>
      <c r="G521" s="44" t="e">
        <f>Salidas[[#This Row],[PRECIO]]*Salidas[[#This Row],[CANTIDAD]]</f>
        <v>#N/A</v>
      </c>
      <c r="H521" s="84" t="e">
        <f>VLOOKUP(Salidas[[#This Row],[CODIGO ]],Inventario[],10,FALSE)*Salidas[[#This Row],[CANTIDAD]]</f>
        <v>#N/A</v>
      </c>
    </row>
    <row r="522" spans="1:8" ht="40.5" customHeight="1">
      <c r="A522" s="18"/>
      <c r="B522" s="20"/>
      <c r="C522" s="86"/>
      <c r="D522" s="83" t="str">
        <f>IFERROR(INDEX(Inventari_2[#All],MATCH(Salidas[[#This Row],[CODIGO ]],Inventari_2[[#Headers],[#Data],[CODIGO]],0),2),"")</f>
        <v/>
      </c>
      <c r="E522">
        <v>1</v>
      </c>
      <c r="F522" s="43" t="e">
        <f>VLOOKUP(Salidas[[#This Row],[CODIGO ]],Inventari_2[],8,FALSE)</f>
        <v>#N/A</v>
      </c>
      <c r="G522" s="44" t="e">
        <f>Salidas[[#This Row],[PRECIO]]*Salidas[[#This Row],[CANTIDAD]]</f>
        <v>#N/A</v>
      </c>
      <c r="H522" s="84" t="e">
        <f>VLOOKUP(Salidas[[#This Row],[CODIGO ]],Inventario[],10,FALSE)*Salidas[[#This Row],[CANTIDAD]]</f>
        <v>#N/A</v>
      </c>
    </row>
    <row r="523" spans="1:8" ht="40.5" customHeight="1">
      <c r="A523" s="18"/>
      <c r="B523" s="20"/>
      <c r="C523" s="86"/>
      <c r="D523" s="83" t="str">
        <f>IFERROR(INDEX(Inventari_2[#All],MATCH(Salidas[[#This Row],[CODIGO ]],Inventari_2[[#Headers],[#Data],[CODIGO]],0),2),"")</f>
        <v/>
      </c>
      <c r="E523">
        <v>1</v>
      </c>
      <c r="F523" s="43" t="e">
        <f>VLOOKUP(Salidas[[#This Row],[CODIGO ]],Inventari_2[],8,FALSE)</f>
        <v>#N/A</v>
      </c>
      <c r="G523" s="44" t="e">
        <f>Salidas[[#This Row],[PRECIO]]*Salidas[[#This Row],[CANTIDAD]]</f>
        <v>#N/A</v>
      </c>
      <c r="H523" s="84" t="e">
        <f>VLOOKUP(Salidas[[#This Row],[CODIGO ]],Inventario[],10,FALSE)*Salidas[[#This Row],[CANTIDAD]]</f>
        <v>#N/A</v>
      </c>
    </row>
    <row r="524" spans="1:8" ht="40.5" customHeight="1">
      <c r="A524" s="18"/>
      <c r="B524" s="20"/>
      <c r="C524" s="86"/>
      <c r="D524" s="83" t="str">
        <f>IFERROR(INDEX(Inventari_2[#All],MATCH(Salidas[[#This Row],[CODIGO ]],Inventari_2[[#Headers],[#Data],[CODIGO]],0),2),"")</f>
        <v/>
      </c>
      <c r="E524">
        <v>1</v>
      </c>
      <c r="F524" s="43" t="e">
        <f>VLOOKUP(Salidas[[#This Row],[CODIGO ]],Inventari_2[],8,FALSE)</f>
        <v>#N/A</v>
      </c>
      <c r="G524" s="44" t="e">
        <f>Salidas[[#This Row],[PRECIO]]*Salidas[[#This Row],[CANTIDAD]]</f>
        <v>#N/A</v>
      </c>
      <c r="H524" s="84" t="e">
        <f>VLOOKUP(Salidas[[#This Row],[CODIGO ]],Inventario[],10,FALSE)*Salidas[[#This Row],[CANTIDAD]]</f>
        <v>#N/A</v>
      </c>
    </row>
    <row r="525" spans="1:8" ht="40.5" customHeight="1">
      <c r="A525" s="18"/>
      <c r="B525" s="20"/>
      <c r="C525" s="86"/>
      <c r="D525" s="83" t="str">
        <f>IFERROR(INDEX(Inventari_2[#All],MATCH(Salidas[[#This Row],[CODIGO ]],Inventari_2[[#Headers],[#Data],[CODIGO]],0),2),"")</f>
        <v/>
      </c>
      <c r="E525">
        <v>1</v>
      </c>
      <c r="F525" s="43" t="e">
        <f>VLOOKUP(Salidas[[#This Row],[CODIGO ]],Inventari_2[],8,FALSE)</f>
        <v>#N/A</v>
      </c>
      <c r="G525" s="44" t="e">
        <f>Salidas[[#This Row],[PRECIO]]*Salidas[[#This Row],[CANTIDAD]]</f>
        <v>#N/A</v>
      </c>
      <c r="H525" s="84" t="e">
        <f>VLOOKUP(Salidas[[#This Row],[CODIGO ]],Inventario[],10,FALSE)*Salidas[[#This Row],[CANTIDAD]]</f>
        <v>#N/A</v>
      </c>
    </row>
    <row r="526" spans="1:8" ht="40.5" customHeight="1">
      <c r="A526" s="18"/>
      <c r="B526" s="20"/>
      <c r="C526" s="86"/>
      <c r="D526" s="83" t="str">
        <f>IFERROR(INDEX(Inventari_2[#All],MATCH(Salidas[[#This Row],[CODIGO ]],Inventari_2[[#Headers],[#Data],[CODIGO]],0),2),"")</f>
        <v/>
      </c>
      <c r="E526">
        <v>1</v>
      </c>
      <c r="F526" s="43" t="e">
        <f>VLOOKUP(Salidas[[#This Row],[CODIGO ]],Inventari_2[],8,FALSE)</f>
        <v>#N/A</v>
      </c>
      <c r="G526" s="44" t="e">
        <f>Salidas[[#This Row],[PRECIO]]*Salidas[[#This Row],[CANTIDAD]]</f>
        <v>#N/A</v>
      </c>
      <c r="H526" s="84" t="e">
        <f>VLOOKUP(Salidas[[#This Row],[CODIGO ]],Inventario[],10,FALSE)*Salidas[[#This Row],[CANTIDAD]]</f>
        <v>#N/A</v>
      </c>
    </row>
    <row r="527" spans="1:8" ht="40.5" customHeight="1">
      <c r="A527" s="18"/>
      <c r="B527" s="20"/>
      <c r="C527" s="86"/>
      <c r="D527" s="83" t="str">
        <f>IFERROR(INDEX(Inventari_2[#All],MATCH(Salidas[[#This Row],[CODIGO ]],Inventari_2[[#Headers],[#Data],[CODIGO]],0),2),"")</f>
        <v/>
      </c>
      <c r="E527">
        <v>1</v>
      </c>
      <c r="F527" s="43" t="e">
        <f>VLOOKUP(Salidas[[#This Row],[CODIGO ]],Inventari_2[],8,FALSE)</f>
        <v>#N/A</v>
      </c>
      <c r="G527" s="44" t="e">
        <f>Salidas[[#This Row],[PRECIO]]*Salidas[[#This Row],[CANTIDAD]]</f>
        <v>#N/A</v>
      </c>
      <c r="H527" s="84" t="e">
        <f>VLOOKUP(Salidas[[#This Row],[CODIGO ]],Inventario[],10,FALSE)*Salidas[[#This Row],[CANTIDAD]]</f>
        <v>#N/A</v>
      </c>
    </row>
    <row r="528" spans="1:8" ht="40.5" customHeight="1">
      <c r="A528" s="18"/>
      <c r="B528" s="20"/>
      <c r="C528" s="86"/>
      <c r="D528" s="83" t="str">
        <f>IFERROR(INDEX(Inventari_2[#All],MATCH(Salidas[[#This Row],[CODIGO ]],Inventari_2[[#Headers],[#Data],[CODIGO]],0),2),"")</f>
        <v/>
      </c>
      <c r="E528">
        <v>1</v>
      </c>
      <c r="F528" s="43" t="e">
        <f>VLOOKUP(Salidas[[#This Row],[CODIGO ]],Inventari_2[],8,FALSE)</f>
        <v>#N/A</v>
      </c>
      <c r="G528" s="44" t="e">
        <f>Salidas[[#This Row],[PRECIO]]*Salidas[[#This Row],[CANTIDAD]]</f>
        <v>#N/A</v>
      </c>
      <c r="H528" s="84" t="e">
        <f>VLOOKUP(Salidas[[#This Row],[CODIGO ]],Inventario[],10,FALSE)*Salidas[[#This Row],[CANTIDAD]]</f>
        <v>#N/A</v>
      </c>
    </row>
    <row r="529" spans="1:8" ht="40.5" customHeight="1">
      <c r="A529" s="18"/>
      <c r="B529" s="20"/>
      <c r="C529" s="86"/>
      <c r="D529" s="83" t="str">
        <f>IFERROR(INDEX(Inventari_2[#All],MATCH(Salidas[[#This Row],[CODIGO ]],Inventari_2[[#Headers],[#Data],[CODIGO]],0),2),"")</f>
        <v/>
      </c>
      <c r="E529">
        <v>1</v>
      </c>
      <c r="F529" s="43" t="e">
        <f>VLOOKUP(Salidas[[#This Row],[CODIGO ]],Inventari_2[],8,FALSE)</f>
        <v>#N/A</v>
      </c>
      <c r="G529" s="44" t="e">
        <f>Salidas[[#This Row],[PRECIO]]*Salidas[[#This Row],[CANTIDAD]]</f>
        <v>#N/A</v>
      </c>
      <c r="H529" s="84" t="e">
        <f>VLOOKUP(Salidas[[#This Row],[CODIGO ]],Inventario[],10,FALSE)*Salidas[[#This Row],[CANTIDAD]]</f>
        <v>#N/A</v>
      </c>
    </row>
    <row r="530" spans="1:8" ht="40.5" customHeight="1">
      <c r="A530" s="18"/>
      <c r="B530" s="20"/>
      <c r="C530" s="86"/>
      <c r="D530" s="83" t="str">
        <f>IFERROR(INDEX(Inventari_2[#All],MATCH(Salidas[[#This Row],[CODIGO ]],Inventari_2[[#Headers],[#Data],[CODIGO]],0),2),"")</f>
        <v/>
      </c>
      <c r="E530">
        <v>1</v>
      </c>
      <c r="F530" s="43" t="e">
        <f>VLOOKUP(Salidas[[#This Row],[CODIGO ]],Inventari_2[],8,FALSE)</f>
        <v>#N/A</v>
      </c>
      <c r="G530" s="44" t="e">
        <f>Salidas[[#This Row],[PRECIO]]*Salidas[[#This Row],[CANTIDAD]]</f>
        <v>#N/A</v>
      </c>
      <c r="H530" s="84" t="e">
        <f>VLOOKUP(Salidas[[#This Row],[CODIGO ]],Inventario[],10,FALSE)*Salidas[[#This Row],[CANTIDAD]]</f>
        <v>#N/A</v>
      </c>
    </row>
    <row r="531" spans="1:8" s="57" customFormat="1" ht="40.5" customHeight="1">
      <c r="A531" s="55"/>
      <c r="B531" s="56"/>
      <c r="C531" s="86"/>
      <c r="D531" s="83" t="str">
        <f>IFERROR(INDEX(Inventari_2[#All],MATCH(Salidas[[#This Row],[CODIGO ]],Inventari_2[[#Headers],[#Data],[CODIGO]],0),2),"")</f>
        <v/>
      </c>
      <c r="E531">
        <v>1</v>
      </c>
      <c r="F531" s="58" t="e">
        <f>VLOOKUP(Salidas[[#This Row],[CODIGO ]],Inventari_2[],8,FALSE)</f>
        <v>#N/A</v>
      </c>
      <c r="G531" s="44" t="e">
        <f>Salidas[[#This Row],[PRECIO]]*Salidas[[#This Row],[CANTIDAD]]</f>
        <v>#N/A</v>
      </c>
      <c r="H531" s="84" t="e">
        <f>VLOOKUP(Salidas[[#This Row],[CODIGO ]],Inventario[],10,FALSE)*Salidas[[#This Row],[CANTIDAD]]</f>
        <v>#N/A</v>
      </c>
    </row>
    <row r="532" spans="1:8" ht="40.5" customHeight="1">
      <c r="A532" s="18"/>
      <c r="B532" s="20"/>
      <c r="C532" s="86"/>
      <c r="D532" s="83" t="str">
        <f>IFERROR(INDEX(Inventari_2[#All],MATCH(Salidas[[#This Row],[CODIGO ]],Inventari_2[[#Headers],[#Data],[CODIGO]],0),2),"")</f>
        <v/>
      </c>
      <c r="E532">
        <v>1</v>
      </c>
      <c r="F532" s="43" t="e">
        <f>VLOOKUP(Salidas[[#This Row],[CODIGO ]],Inventari_2[],8,FALSE)</f>
        <v>#N/A</v>
      </c>
      <c r="G532" s="44" t="e">
        <f>Salidas[[#This Row],[PRECIO]]*Salidas[[#This Row],[CANTIDAD]]</f>
        <v>#N/A</v>
      </c>
      <c r="H532" s="84" t="e">
        <f>VLOOKUP(Salidas[[#This Row],[CODIGO ]],Inventario[],10,FALSE)*Salidas[[#This Row],[CANTIDAD]]</f>
        <v>#N/A</v>
      </c>
    </row>
    <row r="533" spans="1:8" ht="40.5" customHeight="1">
      <c r="A533" s="18"/>
      <c r="B533" s="20"/>
      <c r="C533" s="86"/>
      <c r="D533" s="83" t="str">
        <f>IFERROR(INDEX(Inventari_2[#All],MATCH(Salidas[[#This Row],[CODIGO ]],Inventari_2[[#Headers],[#Data],[CODIGO]],0),2),"")</f>
        <v/>
      </c>
      <c r="E533">
        <v>1</v>
      </c>
      <c r="F533" s="43" t="e">
        <f>VLOOKUP(Salidas[[#This Row],[CODIGO ]],Inventari_2[],8,FALSE)</f>
        <v>#N/A</v>
      </c>
      <c r="G533" s="44" t="e">
        <f>Salidas[[#This Row],[PRECIO]]*Salidas[[#This Row],[CANTIDAD]]</f>
        <v>#N/A</v>
      </c>
      <c r="H533" s="84" t="e">
        <f>VLOOKUP(Salidas[[#This Row],[CODIGO ]],Inventario[],10,FALSE)*Salidas[[#This Row],[CANTIDAD]]</f>
        <v>#N/A</v>
      </c>
    </row>
    <row r="534" spans="1:8" ht="40.5" customHeight="1">
      <c r="A534" s="18"/>
      <c r="B534" s="20"/>
      <c r="C534" s="86"/>
      <c r="D534" s="83" t="str">
        <f>IFERROR(INDEX(Inventari_2[#All],MATCH(Salidas[[#This Row],[CODIGO ]],Inventari_2[[#Headers],[#Data],[CODIGO]],0),2),"")</f>
        <v/>
      </c>
      <c r="E534">
        <v>1</v>
      </c>
      <c r="F534" s="43" t="e">
        <f>VLOOKUP(Salidas[[#This Row],[CODIGO ]],Inventari_2[],8,FALSE)</f>
        <v>#N/A</v>
      </c>
      <c r="G534" s="44" t="e">
        <f>Salidas[[#This Row],[PRECIO]]*Salidas[[#This Row],[CANTIDAD]]</f>
        <v>#N/A</v>
      </c>
      <c r="H534" s="84" t="e">
        <f>VLOOKUP(Salidas[[#This Row],[CODIGO ]],Inventario[],10,FALSE)*Salidas[[#This Row],[CANTIDAD]]</f>
        <v>#N/A</v>
      </c>
    </row>
    <row r="535" spans="1:8" ht="40.5" customHeight="1">
      <c r="A535" s="18"/>
      <c r="B535" s="20"/>
      <c r="C535" s="86"/>
      <c r="D535" s="83" t="str">
        <f>IFERROR(INDEX(Inventari_2[#All],MATCH(Salidas[[#This Row],[CODIGO ]],Inventari_2[[#Headers],[#Data],[CODIGO]],0),2),"")</f>
        <v/>
      </c>
      <c r="E535">
        <v>1</v>
      </c>
      <c r="F535" s="43" t="e">
        <f>VLOOKUP(Salidas[[#This Row],[CODIGO ]],Inventari_2[],8,FALSE)</f>
        <v>#N/A</v>
      </c>
      <c r="G535" s="44" t="e">
        <f>Salidas[[#This Row],[PRECIO]]*Salidas[[#This Row],[CANTIDAD]]</f>
        <v>#N/A</v>
      </c>
      <c r="H535" s="84" t="e">
        <f>VLOOKUP(Salidas[[#This Row],[CODIGO ]],Inventario[],10,FALSE)*Salidas[[#This Row],[CANTIDAD]]</f>
        <v>#N/A</v>
      </c>
    </row>
    <row r="536" spans="1:8" ht="40.5" customHeight="1">
      <c r="A536" s="18"/>
      <c r="B536" s="20"/>
      <c r="C536" s="86"/>
      <c r="D536" s="83" t="str">
        <f>IFERROR(INDEX(Inventari_2[#All],MATCH(Salidas[[#This Row],[CODIGO ]],Inventari_2[[#Headers],[#Data],[CODIGO]],0),2),"")</f>
        <v/>
      </c>
      <c r="E536">
        <v>1</v>
      </c>
      <c r="F536" s="43" t="e">
        <f>VLOOKUP(Salidas[[#This Row],[CODIGO ]],Inventari_2[],8,FALSE)</f>
        <v>#N/A</v>
      </c>
      <c r="G536" s="44" t="e">
        <f>Salidas[[#This Row],[PRECIO]]*Salidas[[#This Row],[CANTIDAD]]</f>
        <v>#N/A</v>
      </c>
      <c r="H536" s="84" t="e">
        <f>VLOOKUP(Salidas[[#This Row],[CODIGO ]],Inventario[],10,FALSE)*Salidas[[#This Row],[CANTIDAD]]</f>
        <v>#N/A</v>
      </c>
    </row>
    <row r="537" spans="1:8" ht="40.5" customHeight="1">
      <c r="A537" s="18"/>
      <c r="B537" s="20"/>
      <c r="C537" s="86"/>
      <c r="D537" s="83" t="str">
        <f>IFERROR(INDEX(Inventari_2[#All],MATCH(Salidas[[#This Row],[CODIGO ]],Inventari_2[[#Headers],[#Data],[CODIGO]],0),2),"")</f>
        <v/>
      </c>
      <c r="E537">
        <v>1</v>
      </c>
      <c r="F537" s="43" t="e">
        <f>VLOOKUP(Salidas[[#This Row],[CODIGO ]],Inventari_2[],8,FALSE)</f>
        <v>#N/A</v>
      </c>
      <c r="G537" s="44" t="e">
        <f>Salidas[[#This Row],[PRECIO]]*Salidas[[#This Row],[CANTIDAD]]</f>
        <v>#N/A</v>
      </c>
      <c r="H537" s="84" t="e">
        <f>VLOOKUP(Salidas[[#This Row],[CODIGO ]],Inventario[],10,FALSE)*Salidas[[#This Row],[CANTIDAD]]</f>
        <v>#N/A</v>
      </c>
    </row>
    <row r="538" spans="1:8" ht="40.5" customHeight="1">
      <c r="A538" s="18"/>
      <c r="B538" s="20"/>
      <c r="C538" s="86"/>
      <c r="D538" s="83" t="str">
        <f>IFERROR(INDEX(Inventari_2[#All],MATCH(Salidas[[#This Row],[CODIGO ]],Inventari_2[[#Headers],[#Data],[CODIGO]],0),2),"")</f>
        <v/>
      </c>
      <c r="E538">
        <v>1</v>
      </c>
      <c r="F538" s="43" t="e">
        <f>VLOOKUP(Salidas[[#This Row],[CODIGO ]],Inventari_2[],8,FALSE)</f>
        <v>#N/A</v>
      </c>
      <c r="G538" s="44" t="e">
        <f>Salidas[[#This Row],[PRECIO]]*Salidas[[#This Row],[CANTIDAD]]</f>
        <v>#N/A</v>
      </c>
      <c r="H538" s="84" t="e">
        <f>VLOOKUP(Salidas[[#This Row],[CODIGO ]],Inventario[],10,FALSE)*Salidas[[#This Row],[CANTIDAD]]</f>
        <v>#N/A</v>
      </c>
    </row>
    <row r="539" spans="1:8" ht="40.5" customHeight="1">
      <c r="A539" s="18"/>
      <c r="B539" s="20"/>
      <c r="C539" s="86"/>
      <c r="D539" s="83" t="str">
        <f>IFERROR(INDEX(Inventari_2[#All],MATCH(Salidas[[#This Row],[CODIGO ]],Inventari_2[[#Headers],[#Data],[CODIGO]],0),2),"")</f>
        <v/>
      </c>
      <c r="E539">
        <v>1</v>
      </c>
      <c r="F539" s="43" t="e">
        <f>VLOOKUP(Salidas[[#This Row],[CODIGO ]],Inventari_2[],8,FALSE)</f>
        <v>#N/A</v>
      </c>
      <c r="G539" s="44" t="e">
        <f>Salidas[[#This Row],[PRECIO]]*Salidas[[#This Row],[CANTIDAD]]</f>
        <v>#N/A</v>
      </c>
      <c r="H539" s="84" t="e">
        <f>VLOOKUP(Salidas[[#This Row],[CODIGO ]],Inventario[],10,FALSE)*Salidas[[#This Row],[CANTIDAD]]</f>
        <v>#N/A</v>
      </c>
    </row>
    <row r="540" spans="1:8" ht="40.5" customHeight="1">
      <c r="A540" s="18"/>
      <c r="B540" s="20"/>
      <c r="C540" s="86"/>
      <c r="D540" s="83" t="str">
        <f>IFERROR(INDEX(Inventari_2[#All],MATCH(Salidas[[#This Row],[CODIGO ]],Inventari_2[[#Headers],[#Data],[CODIGO]],0),2),"")</f>
        <v/>
      </c>
      <c r="E540">
        <v>1</v>
      </c>
      <c r="F540" s="43" t="e">
        <f>VLOOKUP(Salidas[[#This Row],[CODIGO ]],Inventari_2[],8,FALSE)</f>
        <v>#N/A</v>
      </c>
      <c r="G540" s="44" t="e">
        <f>Salidas[[#This Row],[PRECIO]]*Salidas[[#This Row],[CANTIDAD]]</f>
        <v>#N/A</v>
      </c>
      <c r="H540" s="84" t="e">
        <f>VLOOKUP(Salidas[[#This Row],[CODIGO ]],Inventario[],10,FALSE)*Salidas[[#This Row],[CANTIDAD]]</f>
        <v>#N/A</v>
      </c>
    </row>
    <row r="541" spans="1:8" ht="40.5" customHeight="1">
      <c r="A541" s="18"/>
      <c r="B541" s="20"/>
      <c r="C541" s="86"/>
      <c r="D541" s="83" t="str">
        <f>IFERROR(INDEX(Inventari_2[#All],MATCH(Salidas[[#This Row],[CODIGO ]],Inventari_2[[#Headers],[#Data],[CODIGO]],0),2),"")</f>
        <v/>
      </c>
      <c r="E541">
        <v>1</v>
      </c>
      <c r="F541" s="43" t="e">
        <f>VLOOKUP(Salidas[[#This Row],[CODIGO ]],Inventari_2[],8,FALSE)</f>
        <v>#N/A</v>
      </c>
      <c r="G541" s="44" t="e">
        <f>Salidas[[#This Row],[PRECIO]]*Salidas[[#This Row],[CANTIDAD]]</f>
        <v>#N/A</v>
      </c>
      <c r="H541" s="84" t="e">
        <f>VLOOKUP(Salidas[[#This Row],[CODIGO ]],Inventario[],10,FALSE)*Salidas[[#This Row],[CANTIDAD]]</f>
        <v>#N/A</v>
      </c>
    </row>
    <row r="542" spans="1:8" ht="40.5" customHeight="1">
      <c r="A542" s="18"/>
      <c r="B542" s="20"/>
      <c r="C542" s="86"/>
      <c r="D542" s="83" t="str">
        <f>IFERROR(INDEX(Inventari_2[#All],MATCH(Salidas[[#This Row],[CODIGO ]],Inventari_2[[#Headers],[#Data],[CODIGO]],0),2),"")</f>
        <v/>
      </c>
      <c r="E542">
        <v>1</v>
      </c>
      <c r="F542" s="43" t="e">
        <f>VLOOKUP(Salidas[[#This Row],[CODIGO ]],Inventari_2[],8,FALSE)</f>
        <v>#N/A</v>
      </c>
      <c r="G542" s="44" t="e">
        <f>Salidas[[#This Row],[PRECIO]]*Salidas[[#This Row],[CANTIDAD]]</f>
        <v>#N/A</v>
      </c>
      <c r="H542" s="84" t="e">
        <f>VLOOKUP(Salidas[[#This Row],[CODIGO ]],Inventario[],10,FALSE)*Salidas[[#This Row],[CANTIDAD]]</f>
        <v>#N/A</v>
      </c>
    </row>
    <row r="543" spans="1:8" ht="40.5" customHeight="1">
      <c r="A543" s="18"/>
      <c r="B543" s="20"/>
      <c r="C543" s="86"/>
      <c r="D543" s="83" t="str">
        <f>IFERROR(INDEX(Inventari_2[#All],MATCH(Salidas[[#This Row],[CODIGO ]],Inventari_2[[#Headers],[#Data],[CODIGO]],0),2),"")</f>
        <v/>
      </c>
      <c r="E543">
        <v>1</v>
      </c>
      <c r="F543" s="43" t="e">
        <f>VLOOKUP(Salidas[[#This Row],[CODIGO ]],Inventari_2[],8,FALSE)</f>
        <v>#N/A</v>
      </c>
      <c r="G543" s="44" t="e">
        <f>Salidas[[#This Row],[PRECIO]]*Salidas[[#This Row],[CANTIDAD]]</f>
        <v>#N/A</v>
      </c>
      <c r="H543" s="84" t="e">
        <f>VLOOKUP(Salidas[[#This Row],[CODIGO ]],Inventario[],10,FALSE)*Salidas[[#This Row],[CANTIDAD]]</f>
        <v>#N/A</v>
      </c>
    </row>
    <row r="544" spans="1:8" ht="40.5" customHeight="1">
      <c r="A544" s="18"/>
      <c r="B544" s="20"/>
      <c r="C544" s="86"/>
      <c r="D544" s="83" t="str">
        <f>IFERROR(INDEX(Inventari_2[#All],MATCH(Salidas[[#This Row],[CODIGO ]],Inventari_2[[#Headers],[#Data],[CODIGO]],0),2),"")</f>
        <v/>
      </c>
      <c r="E544">
        <v>1</v>
      </c>
      <c r="F544" s="43" t="e">
        <f>VLOOKUP(Salidas[[#This Row],[CODIGO ]],Inventari_2[],8,FALSE)</f>
        <v>#N/A</v>
      </c>
      <c r="G544" s="44" t="e">
        <f>Salidas[[#This Row],[PRECIO]]*Salidas[[#This Row],[CANTIDAD]]</f>
        <v>#N/A</v>
      </c>
      <c r="H544" s="84" t="e">
        <f>VLOOKUP(Salidas[[#This Row],[CODIGO ]],Inventario[],10,FALSE)*Salidas[[#This Row],[CANTIDAD]]</f>
        <v>#N/A</v>
      </c>
    </row>
    <row r="545" spans="1:8" ht="40.5" customHeight="1">
      <c r="A545" s="18"/>
      <c r="B545" s="20"/>
      <c r="C545" s="86"/>
      <c r="D545" s="83" t="str">
        <f>IFERROR(INDEX(Inventari_2[#All],MATCH(Salidas[[#This Row],[CODIGO ]],Inventari_2[[#Headers],[#Data],[CODIGO]],0),2),"")</f>
        <v/>
      </c>
      <c r="E545">
        <v>1</v>
      </c>
      <c r="F545" s="43" t="e">
        <f>VLOOKUP(Salidas[[#This Row],[CODIGO ]],Inventari_2[],8,FALSE)</f>
        <v>#N/A</v>
      </c>
      <c r="G545" s="44" t="e">
        <f>Salidas[[#This Row],[PRECIO]]*Salidas[[#This Row],[CANTIDAD]]</f>
        <v>#N/A</v>
      </c>
      <c r="H545" s="84" t="e">
        <f>VLOOKUP(Salidas[[#This Row],[CODIGO ]],Inventario[],10,FALSE)*Salidas[[#This Row],[CANTIDAD]]</f>
        <v>#N/A</v>
      </c>
    </row>
    <row r="546" spans="1:8" ht="40.5" customHeight="1">
      <c r="A546" s="18"/>
      <c r="B546" s="20"/>
      <c r="C546" s="86"/>
      <c r="D546" s="83" t="str">
        <f>IFERROR(INDEX(Inventari_2[#All],MATCH(Salidas[[#This Row],[CODIGO ]],Inventari_2[[#Headers],[#Data],[CODIGO]],0),2),"")</f>
        <v/>
      </c>
      <c r="E546">
        <v>1</v>
      </c>
      <c r="F546" s="43" t="e">
        <f>VLOOKUP(Salidas[[#This Row],[CODIGO ]],Inventari_2[],8,FALSE)</f>
        <v>#N/A</v>
      </c>
      <c r="G546" s="44" t="e">
        <f>Salidas[[#This Row],[PRECIO]]*Salidas[[#This Row],[CANTIDAD]]</f>
        <v>#N/A</v>
      </c>
      <c r="H546" s="84" t="e">
        <f>VLOOKUP(Salidas[[#This Row],[CODIGO ]],Inventario[],10,FALSE)*Salidas[[#This Row],[CANTIDAD]]</f>
        <v>#N/A</v>
      </c>
    </row>
    <row r="547" spans="1:8" s="57" customFormat="1" ht="40.5" customHeight="1">
      <c r="A547" s="55"/>
      <c r="B547" s="56"/>
      <c r="C547" s="86"/>
      <c r="D547" s="83" t="str">
        <f>IFERROR(INDEX(Inventari_2[#All],MATCH(Salidas[[#This Row],[CODIGO ]],Inventari_2[[#Headers],[#Data],[CODIGO]],0),2),"")</f>
        <v/>
      </c>
      <c r="E547">
        <v>1</v>
      </c>
      <c r="F547" s="58" t="e">
        <f>VLOOKUP(Salidas[[#This Row],[CODIGO ]],Inventari_2[],8,FALSE)</f>
        <v>#N/A</v>
      </c>
      <c r="G547" s="44" t="e">
        <f>Salidas[[#This Row],[PRECIO]]*Salidas[[#This Row],[CANTIDAD]]</f>
        <v>#N/A</v>
      </c>
      <c r="H547" s="84" t="e">
        <f>VLOOKUP(Salidas[[#This Row],[CODIGO ]],Inventario[],10,FALSE)*Salidas[[#This Row],[CANTIDAD]]</f>
        <v>#N/A</v>
      </c>
    </row>
    <row r="548" spans="1:8" ht="40.5" customHeight="1">
      <c r="A548" s="18"/>
      <c r="B548" s="20"/>
      <c r="C548" s="86"/>
      <c r="D548" s="83" t="str">
        <f>IFERROR(INDEX(Inventari_2[#All],MATCH(Salidas[[#This Row],[CODIGO ]],Inventari_2[[#Headers],[#Data],[CODIGO]],0),2),"")</f>
        <v/>
      </c>
      <c r="E548">
        <v>1</v>
      </c>
      <c r="F548" s="43" t="e">
        <f>VLOOKUP(Salidas[[#This Row],[CODIGO ]],Inventari_2[],8,FALSE)</f>
        <v>#N/A</v>
      </c>
      <c r="G548" s="44" t="e">
        <f>Salidas[[#This Row],[PRECIO]]*Salidas[[#This Row],[CANTIDAD]]</f>
        <v>#N/A</v>
      </c>
      <c r="H548" s="84" t="e">
        <f>VLOOKUP(Salidas[[#This Row],[CODIGO ]],Inventario[],10,FALSE)*Salidas[[#This Row],[CANTIDAD]]</f>
        <v>#N/A</v>
      </c>
    </row>
    <row r="549" spans="1:8" ht="40.5" customHeight="1">
      <c r="A549" s="18"/>
      <c r="B549" s="20"/>
      <c r="C549" s="86"/>
      <c r="D549" s="83" t="str">
        <f>IFERROR(INDEX(Inventari_2[#All],MATCH(Salidas[[#This Row],[CODIGO ]],Inventari_2[[#Headers],[#Data],[CODIGO]],0),2),"")</f>
        <v/>
      </c>
      <c r="E549">
        <v>1</v>
      </c>
      <c r="F549" s="43" t="e">
        <f>VLOOKUP(Salidas[[#This Row],[CODIGO ]],Inventari_2[],8,FALSE)</f>
        <v>#N/A</v>
      </c>
      <c r="G549" s="44" t="e">
        <f>Salidas[[#This Row],[PRECIO]]*Salidas[[#This Row],[CANTIDAD]]</f>
        <v>#N/A</v>
      </c>
      <c r="H549" s="84" t="e">
        <f>VLOOKUP(Salidas[[#This Row],[CODIGO ]],Inventario[],10,FALSE)*Salidas[[#This Row],[CANTIDAD]]</f>
        <v>#N/A</v>
      </c>
    </row>
    <row r="550" spans="1:8" ht="40.5" customHeight="1">
      <c r="A550" s="18"/>
      <c r="B550" s="20"/>
      <c r="C550" s="86"/>
      <c r="D550" s="83" t="str">
        <f>IFERROR(INDEX(Inventari_2[#All],MATCH(Salidas[[#This Row],[CODIGO ]],Inventari_2[[#Headers],[#Data],[CODIGO]],0),2),"")</f>
        <v/>
      </c>
      <c r="E550">
        <v>1</v>
      </c>
      <c r="F550" s="43" t="e">
        <f>VLOOKUP(Salidas[[#This Row],[CODIGO ]],Inventari_2[],8,FALSE)</f>
        <v>#N/A</v>
      </c>
      <c r="G550" s="44" t="e">
        <f>Salidas[[#This Row],[PRECIO]]*Salidas[[#This Row],[CANTIDAD]]</f>
        <v>#N/A</v>
      </c>
      <c r="H550" s="84" t="e">
        <f>VLOOKUP(Salidas[[#This Row],[CODIGO ]],Inventario[],10,FALSE)*Salidas[[#This Row],[CANTIDAD]]</f>
        <v>#N/A</v>
      </c>
    </row>
    <row r="551" spans="1:8" ht="40.5" customHeight="1">
      <c r="A551" s="18"/>
      <c r="B551" s="20"/>
      <c r="C551" s="86"/>
      <c r="D551" s="83" t="str">
        <f>IFERROR(INDEX(Inventari_2[#All],MATCH(Salidas[[#This Row],[CODIGO ]],Inventari_2[[#Headers],[#Data],[CODIGO]],0),2),"")</f>
        <v/>
      </c>
      <c r="E551">
        <v>1</v>
      </c>
      <c r="F551" s="43" t="e">
        <f>VLOOKUP(Salidas[[#This Row],[CODIGO ]],Inventari_2[],8,FALSE)</f>
        <v>#N/A</v>
      </c>
      <c r="G551" s="44" t="e">
        <f>Salidas[[#This Row],[PRECIO]]*Salidas[[#This Row],[CANTIDAD]]</f>
        <v>#N/A</v>
      </c>
      <c r="H551" s="84" t="e">
        <f>VLOOKUP(Salidas[[#This Row],[CODIGO ]],Inventario[],10,FALSE)*Salidas[[#This Row],[CANTIDAD]]</f>
        <v>#N/A</v>
      </c>
    </row>
    <row r="552" spans="1:8" ht="40.5" customHeight="1">
      <c r="A552" s="18"/>
      <c r="B552" s="20"/>
      <c r="C552" s="86"/>
      <c r="D552" s="83" t="str">
        <f>IFERROR(INDEX(Inventari_2[#All],MATCH(Salidas[[#This Row],[CODIGO ]],Inventari_2[[#Headers],[#Data],[CODIGO]],0),2),"")</f>
        <v/>
      </c>
      <c r="E552">
        <v>1</v>
      </c>
      <c r="F552" s="43" t="e">
        <f>VLOOKUP(Salidas[[#This Row],[CODIGO ]],Inventari_2[],8,FALSE)</f>
        <v>#N/A</v>
      </c>
      <c r="G552" s="44" t="e">
        <f>Salidas[[#This Row],[PRECIO]]*Salidas[[#This Row],[CANTIDAD]]</f>
        <v>#N/A</v>
      </c>
      <c r="H552" s="84" t="e">
        <f>VLOOKUP(Salidas[[#This Row],[CODIGO ]],Inventario[],10,FALSE)*Salidas[[#This Row],[CANTIDAD]]</f>
        <v>#N/A</v>
      </c>
    </row>
    <row r="553" spans="1:8" ht="40.5" customHeight="1">
      <c r="A553" s="18"/>
      <c r="B553" s="20"/>
      <c r="C553" s="86"/>
      <c r="D553" s="83" t="str">
        <f>IFERROR(INDEX(Inventari_2[#All],MATCH(Salidas[[#This Row],[CODIGO ]],Inventari_2[[#Headers],[#Data],[CODIGO]],0),2),"")</f>
        <v/>
      </c>
      <c r="E553">
        <v>1</v>
      </c>
      <c r="F553" s="43" t="e">
        <f>VLOOKUP(Salidas[[#This Row],[CODIGO ]],Inventari_2[],8,FALSE)</f>
        <v>#N/A</v>
      </c>
      <c r="G553" s="44" t="e">
        <f>Salidas[[#This Row],[PRECIO]]*Salidas[[#This Row],[CANTIDAD]]</f>
        <v>#N/A</v>
      </c>
      <c r="H553" s="84" t="e">
        <f>VLOOKUP(Salidas[[#This Row],[CODIGO ]],Inventario[],10,FALSE)*Salidas[[#This Row],[CANTIDAD]]</f>
        <v>#N/A</v>
      </c>
    </row>
    <row r="554" spans="1:8" ht="40.5" customHeight="1">
      <c r="A554" s="18"/>
      <c r="B554" s="20"/>
      <c r="C554" s="86"/>
      <c r="D554" s="83" t="str">
        <f>IFERROR(INDEX(Inventari_2[#All],MATCH(Salidas[[#This Row],[CODIGO ]],Inventari_2[[#Headers],[#Data],[CODIGO]],0),2),"")</f>
        <v/>
      </c>
      <c r="E554">
        <v>1</v>
      </c>
      <c r="F554" s="43" t="e">
        <f>VLOOKUP(Salidas[[#This Row],[CODIGO ]],Inventari_2[],8,FALSE)</f>
        <v>#N/A</v>
      </c>
      <c r="G554" s="44" t="e">
        <f>Salidas[[#This Row],[PRECIO]]*Salidas[[#This Row],[CANTIDAD]]</f>
        <v>#N/A</v>
      </c>
      <c r="H554" s="84" t="e">
        <f>VLOOKUP(Salidas[[#This Row],[CODIGO ]],Inventario[],10,FALSE)*Salidas[[#This Row],[CANTIDAD]]</f>
        <v>#N/A</v>
      </c>
    </row>
    <row r="555" spans="1:8" ht="40.5" customHeight="1">
      <c r="A555" s="18"/>
      <c r="B555" s="20"/>
      <c r="C555" s="86"/>
      <c r="D555" s="83" t="str">
        <f>IFERROR(INDEX(Inventari_2[#All],MATCH(Salidas[[#This Row],[CODIGO ]],Inventari_2[[#Headers],[#Data],[CODIGO]],0),2),"")</f>
        <v/>
      </c>
      <c r="E555">
        <v>1</v>
      </c>
      <c r="F555" s="43" t="e">
        <f>VLOOKUP(Salidas[[#This Row],[CODIGO ]],Inventari_2[],8,FALSE)</f>
        <v>#N/A</v>
      </c>
      <c r="G555" s="44" t="e">
        <f>Salidas[[#This Row],[PRECIO]]*Salidas[[#This Row],[CANTIDAD]]</f>
        <v>#N/A</v>
      </c>
      <c r="H555" s="84" t="e">
        <f>VLOOKUP(Salidas[[#This Row],[CODIGO ]],Inventario[],10,FALSE)*Salidas[[#This Row],[CANTIDAD]]</f>
        <v>#N/A</v>
      </c>
    </row>
    <row r="556" spans="1:8" ht="40.5" customHeight="1">
      <c r="A556" s="18"/>
      <c r="B556" s="20"/>
      <c r="C556" s="86"/>
      <c r="D556" s="83" t="str">
        <f>IFERROR(INDEX(Inventari_2[#All],MATCH(Salidas[[#This Row],[CODIGO ]],Inventari_2[[#Headers],[#Data],[CODIGO]],0),2),"")</f>
        <v/>
      </c>
      <c r="E556">
        <v>1</v>
      </c>
      <c r="F556" s="43" t="e">
        <f>VLOOKUP(Salidas[[#This Row],[CODIGO ]],Inventari_2[],8,FALSE)</f>
        <v>#N/A</v>
      </c>
      <c r="G556" s="44" t="e">
        <f>Salidas[[#This Row],[PRECIO]]*Salidas[[#This Row],[CANTIDAD]]</f>
        <v>#N/A</v>
      </c>
      <c r="H556" s="84" t="e">
        <f>VLOOKUP(Salidas[[#This Row],[CODIGO ]],Inventario[],10,FALSE)*Salidas[[#This Row],[CANTIDAD]]</f>
        <v>#N/A</v>
      </c>
    </row>
    <row r="557" spans="1:8" ht="40.5" customHeight="1">
      <c r="A557" s="18"/>
      <c r="B557" s="20"/>
      <c r="C557" s="86"/>
      <c r="D557" s="83" t="str">
        <f>IFERROR(INDEX(Inventari_2[#All],MATCH(Salidas[[#This Row],[CODIGO ]],Inventari_2[[#Headers],[#Data],[CODIGO]],0),2),"")</f>
        <v/>
      </c>
      <c r="E557">
        <v>1</v>
      </c>
      <c r="F557" s="43" t="e">
        <f>VLOOKUP(Salidas[[#This Row],[CODIGO ]],Inventari_2[],8,FALSE)</f>
        <v>#N/A</v>
      </c>
      <c r="G557" s="44" t="e">
        <f>Salidas[[#This Row],[PRECIO]]*Salidas[[#This Row],[CANTIDAD]]</f>
        <v>#N/A</v>
      </c>
      <c r="H557" s="84" t="e">
        <f>VLOOKUP(Salidas[[#This Row],[CODIGO ]],Inventario[],10,FALSE)*Salidas[[#This Row],[CANTIDAD]]</f>
        <v>#N/A</v>
      </c>
    </row>
    <row r="558" spans="1:8" s="57" customFormat="1" ht="40.5" customHeight="1">
      <c r="A558" s="55"/>
      <c r="B558" s="56"/>
      <c r="C558" s="86"/>
      <c r="D558" s="83" t="str">
        <f>IFERROR(INDEX(Inventari_2[#All],MATCH(Salidas[[#This Row],[CODIGO ]],Inventari_2[[#Headers],[#Data],[CODIGO]],0),2),"")</f>
        <v/>
      </c>
      <c r="E558">
        <v>1</v>
      </c>
      <c r="F558" s="58" t="e">
        <f>VLOOKUP(Salidas[[#This Row],[CODIGO ]],Inventari_2[],8,FALSE)</f>
        <v>#N/A</v>
      </c>
      <c r="G558" s="44" t="e">
        <f>Salidas[[#This Row],[PRECIO]]*Salidas[[#This Row],[CANTIDAD]]</f>
        <v>#N/A</v>
      </c>
      <c r="H558" s="84" t="e">
        <f>VLOOKUP(Salidas[[#This Row],[CODIGO ]],Inventario[],10,FALSE)*Salidas[[#This Row],[CANTIDAD]]</f>
        <v>#N/A</v>
      </c>
    </row>
    <row r="559" spans="1:8" ht="40.5" customHeight="1">
      <c r="A559" s="18"/>
      <c r="B559" s="20"/>
      <c r="C559" s="86"/>
      <c r="D559" s="83" t="str">
        <f>IFERROR(INDEX(Inventari_2[#All],MATCH(Salidas[[#This Row],[CODIGO ]],Inventari_2[[#Headers],[#Data],[CODIGO]],0),2),"")</f>
        <v/>
      </c>
      <c r="E559">
        <v>1</v>
      </c>
      <c r="F559" s="43" t="e">
        <f>VLOOKUP(Salidas[[#This Row],[CODIGO ]],Inventari_2[],8,FALSE)</f>
        <v>#N/A</v>
      </c>
      <c r="G559" s="44" t="e">
        <f>Salidas[[#This Row],[PRECIO]]*Salidas[[#This Row],[CANTIDAD]]</f>
        <v>#N/A</v>
      </c>
      <c r="H559" s="84" t="e">
        <f>VLOOKUP(Salidas[[#This Row],[CODIGO ]],Inventario[],10,FALSE)*Salidas[[#This Row],[CANTIDAD]]</f>
        <v>#N/A</v>
      </c>
    </row>
    <row r="560" spans="1:8" ht="40.5" customHeight="1">
      <c r="A560" s="18"/>
      <c r="B560" s="20"/>
      <c r="C560" s="86"/>
      <c r="D560" s="83" t="str">
        <f>IFERROR(INDEX(Inventari_2[#All],MATCH(Salidas[[#This Row],[CODIGO ]],Inventari_2[[#Headers],[#Data],[CODIGO]],0),2),"")</f>
        <v/>
      </c>
      <c r="E560">
        <v>1</v>
      </c>
      <c r="F560" s="43" t="e">
        <f>VLOOKUP(Salidas[[#This Row],[CODIGO ]],Inventari_2[],8,FALSE)</f>
        <v>#N/A</v>
      </c>
      <c r="G560" s="44" t="e">
        <f>Salidas[[#This Row],[PRECIO]]*Salidas[[#This Row],[CANTIDAD]]</f>
        <v>#N/A</v>
      </c>
      <c r="H560" s="84" t="e">
        <f>VLOOKUP(Salidas[[#This Row],[CODIGO ]],Inventario[],10,FALSE)*Salidas[[#This Row],[CANTIDAD]]</f>
        <v>#N/A</v>
      </c>
    </row>
    <row r="561" spans="1:8" ht="40.5" customHeight="1">
      <c r="A561" s="18"/>
      <c r="B561" s="20"/>
      <c r="C561" s="86"/>
      <c r="D561" s="83" t="str">
        <f>IFERROR(INDEX(Inventari_2[#All],MATCH(Salidas[[#This Row],[CODIGO ]],Inventari_2[[#Headers],[#Data],[CODIGO]],0),2),"")</f>
        <v/>
      </c>
      <c r="E561">
        <v>1</v>
      </c>
      <c r="F561" s="43" t="e">
        <f>VLOOKUP(Salidas[[#This Row],[CODIGO ]],Inventari_2[],8,FALSE)</f>
        <v>#N/A</v>
      </c>
      <c r="G561" s="44" t="e">
        <f>Salidas[[#This Row],[PRECIO]]*Salidas[[#This Row],[CANTIDAD]]</f>
        <v>#N/A</v>
      </c>
      <c r="H561" s="84" t="e">
        <f>VLOOKUP(Salidas[[#This Row],[CODIGO ]],Inventario[],10,FALSE)*Salidas[[#This Row],[CANTIDAD]]</f>
        <v>#N/A</v>
      </c>
    </row>
    <row r="562" spans="1:8" ht="40.5" customHeight="1">
      <c r="A562" s="18"/>
      <c r="B562" s="20"/>
      <c r="C562" s="86"/>
      <c r="D562" s="83" t="str">
        <f>IFERROR(INDEX(Inventari_2[#All],MATCH(Salidas[[#This Row],[CODIGO ]],Inventari_2[[#Headers],[#Data],[CODIGO]],0),2),"")</f>
        <v/>
      </c>
      <c r="E562">
        <v>1</v>
      </c>
      <c r="F562" s="43" t="e">
        <f>VLOOKUP(Salidas[[#This Row],[CODIGO ]],Inventari_2[],8,FALSE)</f>
        <v>#N/A</v>
      </c>
      <c r="G562" s="44" t="e">
        <f>Salidas[[#This Row],[PRECIO]]*Salidas[[#This Row],[CANTIDAD]]</f>
        <v>#N/A</v>
      </c>
      <c r="H562" s="84" t="e">
        <f>VLOOKUP(Salidas[[#This Row],[CODIGO ]],Inventario[],10,FALSE)*Salidas[[#This Row],[CANTIDAD]]</f>
        <v>#N/A</v>
      </c>
    </row>
    <row r="563" spans="1:8" ht="40.5" customHeight="1">
      <c r="A563" s="18"/>
      <c r="B563" s="20"/>
      <c r="C563" s="86"/>
      <c r="D563" s="83" t="str">
        <f>IFERROR(INDEX(Inventari_2[#All],MATCH(Salidas[[#This Row],[CODIGO ]],Inventari_2[[#Headers],[#Data],[CODIGO]],0),2),"")</f>
        <v/>
      </c>
      <c r="E563">
        <v>1</v>
      </c>
      <c r="F563" s="43" t="e">
        <f>VLOOKUP(Salidas[[#This Row],[CODIGO ]],Inventari_2[],8,FALSE)</f>
        <v>#N/A</v>
      </c>
      <c r="G563" s="44" t="e">
        <f>Salidas[[#This Row],[PRECIO]]*Salidas[[#This Row],[CANTIDAD]]</f>
        <v>#N/A</v>
      </c>
      <c r="H563" s="84" t="e">
        <f>VLOOKUP(Salidas[[#This Row],[CODIGO ]],Inventario[],10,FALSE)*Salidas[[#This Row],[CANTIDAD]]</f>
        <v>#N/A</v>
      </c>
    </row>
    <row r="564" spans="1:8" ht="40.5" customHeight="1">
      <c r="A564" s="18"/>
      <c r="B564" s="20"/>
      <c r="C564" s="86"/>
      <c r="D564" s="83" t="str">
        <f>IFERROR(INDEX(Inventari_2[#All],MATCH(Salidas[[#This Row],[CODIGO ]],Inventari_2[[#Headers],[#Data],[CODIGO]],0),2),"")</f>
        <v/>
      </c>
      <c r="E564">
        <v>1</v>
      </c>
      <c r="F564" s="43" t="e">
        <f>VLOOKUP(Salidas[[#This Row],[CODIGO ]],Inventari_2[],8,FALSE)</f>
        <v>#N/A</v>
      </c>
      <c r="G564" s="44" t="e">
        <f>Salidas[[#This Row],[PRECIO]]*Salidas[[#This Row],[CANTIDAD]]</f>
        <v>#N/A</v>
      </c>
      <c r="H564" s="84" t="e">
        <f>VLOOKUP(Salidas[[#This Row],[CODIGO ]],Inventario[],10,FALSE)*Salidas[[#This Row],[CANTIDAD]]</f>
        <v>#N/A</v>
      </c>
    </row>
    <row r="565" spans="1:8" ht="40.5" customHeight="1">
      <c r="A565" s="18"/>
      <c r="B565" s="20"/>
      <c r="C565" s="86"/>
      <c r="D565" s="83" t="str">
        <f>IFERROR(INDEX(Inventari_2[#All],MATCH(Salidas[[#This Row],[CODIGO ]],Inventari_2[[#Headers],[#Data],[CODIGO]],0),2),"")</f>
        <v/>
      </c>
      <c r="E565">
        <v>1</v>
      </c>
      <c r="F565" s="43" t="e">
        <f>VLOOKUP(Salidas[[#This Row],[CODIGO ]],Inventari_2[],8,FALSE)</f>
        <v>#N/A</v>
      </c>
      <c r="G565" s="44" t="e">
        <f>Salidas[[#This Row],[PRECIO]]*Salidas[[#This Row],[CANTIDAD]]</f>
        <v>#N/A</v>
      </c>
      <c r="H565" s="84" t="e">
        <f>VLOOKUP(Salidas[[#This Row],[CODIGO ]],Inventario[],10,FALSE)*Salidas[[#This Row],[CANTIDAD]]</f>
        <v>#N/A</v>
      </c>
    </row>
    <row r="566" spans="1:8" ht="40.5" customHeight="1">
      <c r="A566" s="18"/>
      <c r="B566" s="20"/>
      <c r="C566" s="86"/>
      <c r="D566" s="83" t="str">
        <f>IFERROR(INDEX(Inventari_2[#All],MATCH(Salidas[[#This Row],[CODIGO ]],Inventari_2[[#Headers],[#Data],[CODIGO]],0),2),"")</f>
        <v/>
      </c>
      <c r="E566">
        <v>1</v>
      </c>
      <c r="F566" s="43" t="e">
        <f>VLOOKUP(Salidas[[#This Row],[CODIGO ]],Inventari_2[],8,FALSE)</f>
        <v>#N/A</v>
      </c>
      <c r="G566" s="44" t="e">
        <f>Salidas[[#This Row],[PRECIO]]*Salidas[[#This Row],[CANTIDAD]]</f>
        <v>#N/A</v>
      </c>
      <c r="H566" s="84" t="e">
        <f>VLOOKUP(Salidas[[#This Row],[CODIGO ]],Inventario[],10,FALSE)*Salidas[[#This Row],[CANTIDAD]]</f>
        <v>#N/A</v>
      </c>
    </row>
    <row r="567" spans="1:8" ht="40.5" customHeight="1">
      <c r="A567" s="18"/>
      <c r="B567" s="20"/>
      <c r="C567" s="86"/>
      <c r="D567" s="83" t="str">
        <f>IFERROR(INDEX(Inventari_2[#All],MATCH(Salidas[[#This Row],[CODIGO ]],Inventari_2[[#Headers],[#Data],[CODIGO]],0),2),"")</f>
        <v/>
      </c>
      <c r="E567">
        <v>1</v>
      </c>
      <c r="F567" s="43" t="e">
        <f>VLOOKUP(Salidas[[#This Row],[CODIGO ]],Inventari_2[],8,FALSE)</f>
        <v>#N/A</v>
      </c>
      <c r="G567" s="44" t="e">
        <f>Salidas[[#This Row],[PRECIO]]*Salidas[[#This Row],[CANTIDAD]]</f>
        <v>#N/A</v>
      </c>
      <c r="H567" s="84" t="e">
        <f>VLOOKUP(Salidas[[#This Row],[CODIGO ]],Inventario[],10,FALSE)*Salidas[[#This Row],[CANTIDAD]]</f>
        <v>#N/A</v>
      </c>
    </row>
    <row r="568" spans="1:8" ht="40.5" customHeight="1">
      <c r="A568" s="18"/>
      <c r="B568" s="20"/>
      <c r="C568" s="86"/>
      <c r="D568" s="83" t="str">
        <f>IFERROR(INDEX(Inventari_2[#All],MATCH(Salidas[[#This Row],[CODIGO ]],Inventari_2[[#Headers],[#Data],[CODIGO]],0),2),"")</f>
        <v/>
      </c>
      <c r="E568">
        <v>1</v>
      </c>
      <c r="F568" s="43" t="e">
        <f>VLOOKUP(Salidas[[#This Row],[CODIGO ]],Inventari_2[],8,FALSE)</f>
        <v>#N/A</v>
      </c>
      <c r="G568" s="44" t="e">
        <f>Salidas[[#This Row],[PRECIO]]*Salidas[[#This Row],[CANTIDAD]]</f>
        <v>#N/A</v>
      </c>
      <c r="H568" s="84" t="e">
        <f>VLOOKUP(Salidas[[#This Row],[CODIGO ]],Inventario[],10,FALSE)*Salidas[[#This Row],[CANTIDAD]]</f>
        <v>#N/A</v>
      </c>
    </row>
    <row r="569" spans="1:8" ht="40.5" customHeight="1">
      <c r="A569" s="18"/>
      <c r="B569" s="20"/>
      <c r="C569" s="86"/>
      <c r="D569" s="83" t="str">
        <f>IFERROR(INDEX(Inventari_2[#All],MATCH(Salidas[[#This Row],[CODIGO ]],Inventari_2[[#Headers],[#Data],[CODIGO]],0),2),"")</f>
        <v/>
      </c>
      <c r="E569">
        <v>1</v>
      </c>
      <c r="F569" s="43" t="e">
        <f>VLOOKUP(Salidas[[#This Row],[CODIGO ]],Inventari_2[],8,FALSE)</f>
        <v>#N/A</v>
      </c>
      <c r="G569" s="44" t="e">
        <f>Salidas[[#This Row],[PRECIO]]*Salidas[[#This Row],[CANTIDAD]]</f>
        <v>#N/A</v>
      </c>
      <c r="H569" s="84" t="e">
        <f>VLOOKUP(Salidas[[#This Row],[CODIGO ]],Inventario[],10,FALSE)*Salidas[[#This Row],[CANTIDAD]]</f>
        <v>#N/A</v>
      </c>
    </row>
    <row r="570" spans="1:8" ht="40.5" customHeight="1">
      <c r="A570" s="18"/>
      <c r="B570" s="20"/>
      <c r="C570" s="86"/>
      <c r="D570" s="83" t="str">
        <f>IFERROR(INDEX(Inventari_2[#All],MATCH(Salidas[[#This Row],[CODIGO ]],Inventari_2[[#Headers],[#Data],[CODIGO]],0),2),"")</f>
        <v/>
      </c>
      <c r="E570">
        <v>1</v>
      </c>
      <c r="F570" s="43" t="e">
        <f>VLOOKUP(Salidas[[#This Row],[CODIGO ]],Inventari_2[],8,FALSE)</f>
        <v>#N/A</v>
      </c>
      <c r="G570" s="44" t="e">
        <f>Salidas[[#This Row],[PRECIO]]*Salidas[[#This Row],[CANTIDAD]]</f>
        <v>#N/A</v>
      </c>
      <c r="H570" s="84" t="e">
        <f>VLOOKUP(Salidas[[#This Row],[CODIGO ]],Inventario[],10,FALSE)*Salidas[[#This Row],[CANTIDAD]]</f>
        <v>#N/A</v>
      </c>
    </row>
    <row r="571" spans="1:8" ht="40.5" customHeight="1">
      <c r="A571" s="18"/>
      <c r="B571" s="20"/>
      <c r="C571" s="86"/>
      <c r="D571" s="83" t="str">
        <f>IFERROR(INDEX(Inventari_2[#All],MATCH(Salidas[[#This Row],[CODIGO ]],Inventari_2[[#Headers],[#Data],[CODIGO]],0),2),"")</f>
        <v/>
      </c>
      <c r="E571">
        <v>1</v>
      </c>
      <c r="F571" s="43" t="e">
        <f>VLOOKUP(Salidas[[#This Row],[CODIGO ]],Inventari_2[],8,FALSE)</f>
        <v>#N/A</v>
      </c>
      <c r="G571" s="44" t="e">
        <f>Salidas[[#This Row],[PRECIO]]*Salidas[[#This Row],[CANTIDAD]]</f>
        <v>#N/A</v>
      </c>
      <c r="H571" s="84" t="e">
        <f>VLOOKUP(Salidas[[#This Row],[CODIGO ]],Inventario[],10,FALSE)*Salidas[[#This Row],[CANTIDAD]]</f>
        <v>#N/A</v>
      </c>
    </row>
    <row r="572" spans="1:8" ht="40.5" customHeight="1">
      <c r="A572" s="18"/>
      <c r="B572" s="20"/>
      <c r="C572" s="86"/>
      <c r="D572" s="83" t="str">
        <f>IFERROR(INDEX(Inventari_2[#All],MATCH(Salidas[[#This Row],[CODIGO ]],Inventari_2[[#Headers],[#Data],[CODIGO]],0),2),"")</f>
        <v/>
      </c>
      <c r="E572">
        <v>1</v>
      </c>
      <c r="F572" s="43" t="e">
        <f>VLOOKUP(Salidas[[#This Row],[CODIGO ]],Inventari_2[],8,FALSE)</f>
        <v>#N/A</v>
      </c>
      <c r="G572" s="44" t="e">
        <f>Salidas[[#This Row],[PRECIO]]*Salidas[[#This Row],[CANTIDAD]]</f>
        <v>#N/A</v>
      </c>
      <c r="H572" s="84" t="e">
        <f>VLOOKUP(Salidas[[#This Row],[CODIGO ]],Inventario[],10,FALSE)*Salidas[[#This Row],[CANTIDAD]]</f>
        <v>#N/A</v>
      </c>
    </row>
    <row r="573" spans="1:8" ht="40.5" customHeight="1">
      <c r="A573" s="18"/>
      <c r="B573" s="20"/>
      <c r="C573" s="86"/>
      <c r="D573" s="83" t="str">
        <f>IFERROR(INDEX(Inventari_2[#All],MATCH(Salidas[[#This Row],[CODIGO ]],Inventari_2[[#Headers],[#Data],[CODIGO]],0),2),"")</f>
        <v/>
      </c>
      <c r="E573">
        <v>1</v>
      </c>
      <c r="F573" s="43" t="e">
        <f>VLOOKUP(Salidas[[#This Row],[CODIGO ]],Inventari_2[],8,FALSE)</f>
        <v>#N/A</v>
      </c>
      <c r="G573" s="44" t="e">
        <f>Salidas[[#This Row],[PRECIO]]*Salidas[[#This Row],[CANTIDAD]]</f>
        <v>#N/A</v>
      </c>
      <c r="H573" s="84" t="e">
        <f>VLOOKUP(Salidas[[#This Row],[CODIGO ]],Inventario[],10,FALSE)*Salidas[[#This Row],[CANTIDAD]]</f>
        <v>#N/A</v>
      </c>
    </row>
    <row r="574" spans="1:8" ht="40.5" customHeight="1">
      <c r="A574" s="18"/>
      <c r="B574" s="20"/>
      <c r="C574" s="86"/>
      <c r="D574" s="83" t="str">
        <f>IFERROR(INDEX(Inventari_2[#All],MATCH(Salidas[[#This Row],[CODIGO ]],Inventari_2[[#Headers],[#Data],[CODIGO]],0),2),"")</f>
        <v/>
      </c>
      <c r="E574">
        <v>1</v>
      </c>
      <c r="F574" s="43" t="e">
        <f>VLOOKUP(Salidas[[#This Row],[CODIGO ]],Inventari_2[],8,FALSE)</f>
        <v>#N/A</v>
      </c>
      <c r="G574" s="44" t="e">
        <f>Salidas[[#This Row],[PRECIO]]*Salidas[[#This Row],[CANTIDAD]]</f>
        <v>#N/A</v>
      </c>
      <c r="H574" s="84" t="e">
        <f>VLOOKUP(Salidas[[#This Row],[CODIGO ]],Inventario[],10,FALSE)*Salidas[[#This Row],[CANTIDAD]]</f>
        <v>#N/A</v>
      </c>
    </row>
    <row r="575" spans="1:8" ht="40.5" customHeight="1">
      <c r="A575" s="18"/>
      <c r="B575" s="20"/>
      <c r="C575" s="86"/>
      <c r="D575" s="83" t="str">
        <f>IFERROR(INDEX(Inventari_2[#All],MATCH(Salidas[[#This Row],[CODIGO ]],Inventari_2[[#Headers],[#Data],[CODIGO]],0),2),"")</f>
        <v/>
      </c>
      <c r="E575">
        <v>1</v>
      </c>
      <c r="F575" s="43" t="e">
        <f>VLOOKUP(Salidas[[#This Row],[CODIGO ]],Inventari_2[],8,FALSE)</f>
        <v>#N/A</v>
      </c>
      <c r="G575" s="44" t="e">
        <f>Salidas[[#This Row],[PRECIO]]*Salidas[[#This Row],[CANTIDAD]]</f>
        <v>#N/A</v>
      </c>
      <c r="H575" s="84" t="e">
        <f>VLOOKUP(Salidas[[#This Row],[CODIGO ]],Inventario[],10,FALSE)*Salidas[[#This Row],[CANTIDAD]]</f>
        <v>#N/A</v>
      </c>
    </row>
    <row r="576" spans="1:8" ht="40.5" customHeight="1">
      <c r="A576" s="18"/>
      <c r="B576" s="20"/>
      <c r="C576" s="86"/>
      <c r="D576" s="83" t="str">
        <f>IFERROR(INDEX(Inventari_2[#All],MATCH(Salidas[[#This Row],[CODIGO ]],Inventari_2[[#Headers],[#Data],[CODIGO]],0),2),"")</f>
        <v/>
      </c>
      <c r="E576">
        <v>1</v>
      </c>
      <c r="F576" s="43" t="e">
        <f>VLOOKUP(Salidas[[#This Row],[CODIGO ]],Inventari_2[],8,FALSE)</f>
        <v>#N/A</v>
      </c>
      <c r="G576" s="44" t="e">
        <f>Salidas[[#This Row],[PRECIO]]*Salidas[[#This Row],[CANTIDAD]]</f>
        <v>#N/A</v>
      </c>
      <c r="H576" s="84" t="e">
        <f>VLOOKUP(Salidas[[#This Row],[CODIGO ]],Inventario[],10,FALSE)*Salidas[[#This Row],[CANTIDAD]]</f>
        <v>#N/A</v>
      </c>
    </row>
    <row r="577" spans="1:8" ht="40.5" customHeight="1">
      <c r="A577" s="18"/>
      <c r="B577" s="20"/>
      <c r="C577" s="86"/>
      <c r="D577" s="83" t="str">
        <f>IFERROR(INDEX(Inventari_2[#All],MATCH(Salidas[[#This Row],[CODIGO ]],Inventari_2[[#Headers],[#Data],[CODIGO]],0),2),"")</f>
        <v/>
      </c>
      <c r="E577">
        <v>1</v>
      </c>
      <c r="F577" s="43" t="e">
        <f>VLOOKUP(Salidas[[#This Row],[CODIGO ]],Inventari_2[],8,FALSE)</f>
        <v>#N/A</v>
      </c>
      <c r="G577" s="44" t="e">
        <f>Salidas[[#This Row],[PRECIO]]*Salidas[[#This Row],[CANTIDAD]]</f>
        <v>#N/A</v>
      </c>
      <c r="H577" s="84" t="e">
        <f>VLOOKUP(Salidas[[#This Row],[CODIGO ]],Inventario[],10,FALSE)*Salidas[[#This Row],[CANTIDAD]]</f>
        <v>#N/A</v>
      </c>
    </row>
    <row r="578" spans="1:8" s="57" customFormat="1" ht="40.5" customHeight="1">
      <c r="A578" s="55"/>
      <c r="B578" s="56"/>
      <c r="C578" s="86"/>
      <c r="D578" s="83" t="str">
        <f>IFERROR(INDEX(Inventari_2[#All],MATCH(Salidas[[#This Row],[CODIGO ]],Inventari_2[[#Headers],[#Data],[CODIGO]],0),2),"")</f>
        <v/>
      </c>
      <c r="E578">
        <v>1</v>
      </c>
      <c r="F578" s="58" t="e">
        <f>VLOOKUP(Salidas[[#This Row],[CODIGO ]],Inventari_2[],8,FALSE)</f>
        <v>#N/A</v>
      </c>
      <c r="G578" s="44" t="e">
        <f>Salidas[[#This Row],[PRECIO]]*Salidas[[#This Row],[CANTIDAD]]</f>
        <v>#N/A</v>
      </c>
      <c r="H578" s="84" t="e">
        <f>VLOOKUP(Salidas[[#This Row],[CODIGO ]],Inventario[],10,FALSE)*Salidas[[#This Row],[CANTIDAD]]</f>
        <v>#N/A</v>
      </c>
    </row>
    <row r="579" spans="1:8" ht="40.5" customHeight="1">
      <c r="A579" s="18"/>
      <c r="B579" s="20"/>
      <c r="C579" s="86"/>
      <c r="D579" s="83" t="str">
        <f>IFERROR(INDEX(Inventari_2[#All],MATCH(Salidas[[#This Row],[CODIGO ]],Inventari_2[[#Headers],[#Data],[CODIGO]],0),2),"")</f>
        <v/>
      </c>
      <c r="E579">
        <v>1</v>
      </c>
      <c r="F579" s="43" t="e">
        <f>VLOOKUP(Salidas[[#This Row],[CODIGO ]],Inventari_2[],8,FALSE)</f>
        <v>#N/A</v>
      </c>
      <c r="G579" s="44" t="e">
        <f>Salidas[[#This Row],[PRECIO]]*Salidas[[#This Row],[CANTIDAD]]</f>
        <v>#N/A</v>
      </c>
      <c r="H579" s="84" t="e">
        <f>VLOOKUP(Salidas[[#This Row],[CODIGO ]],Inventario[],10,FALSE)*Salidas[[#This Row],[CANTIDAD]]</f>
        <v>#N/A</v>
      </c>
    </row>
    <row r="580" spans="1:8" ht="40.5" customHeight="1">
      <c r="A580" s="18"/>
      <c r="B580" s="20"/>
      <c r="C580" s="86"/>
      <c r="D580" s="83" t="str">
        <f>IFERROR(INDEX(Inventari_2[#All],MATCH(Salidas[[#This Row],[CODIGO ]],Inventari_2[[#Headers],[#Data],[CODIGO]],0),2),"")</f>
        <v/>
      </c>
      <c r="E580">
        <v>1</v>
      </c>
      <c r="F580" s="43" t="e">
        <f>VLOOKUP(Salidas[[#This Row],[CODIGO ]],Inventari_2[],8,FALSE)</f>
        <v>#N/A</v>
      </c>
      <c r="G580" s="44" t="e">
        <f>Salidas[[#This Row],[PRECIO]]*Salidas[[#This Row],[CANTIDAD]]</f>
        <v>#N/A</v>
      </c>
      <c r="H580" s="84" t="e">
        <f>VLOOKUP(Salidas[[#This Row],[CODIGO ]],Inventario[],10,FALSE)*Salidas[[#This Row],[CANTIDAD]]</f>
        <v>#N/A</v>
      </c>
    </row>
    <row r="581" spans="1:8" ht="40.5" customHeight="1">
      <c r="A581" s="18"/>
      <c r="B581" s="20"/>
      <c r="C581" s="86"/>
      <c r="D581" s="83" t="str">
        <f>IFERROR(INDEX(Inventari_2[#All],MATCH(Salidas[[#This Row],[CODIGO ]],Inventari_2[[#Headers],[#Data],[CODIGO]],0),2),"")</f>
        <v/>
      </c>
      <c r="E581">
        <v>1</v>
      </c>
      <c r="F581" s="43" t="e">
        <f>VLOOKUP(Salidas[[#This Row],[CODIGO ]],Inventari_2[],8,FALSE)</f>
        <v>#N/A</v>
      </c>
      <c r="G581" s="44" t="e">
        <f>Salidas[[#This Row],[PRECIO]]*Salidas[[#This Row],[CANTIDAD]]</f>
        <v>#N/A</v>
      </c>
      <c r="H581" s="84" t="e">
        <f>VLOOKUP(Salidas[[#This Row],[CODIGO ]],Inventario[],10,FALSE)*Salidas[[#This Row],[CANTIDAD]]</f>
        <v>#N/A</v>
      </c>
    </row>
    <row r="582" spans="1:8" ht="40.5" customHeight="1">
      <c r="A582" s="18"/>
      <c r="B582" s="20"/>
      <c r="C582" s="86"/>
      <c r="D582" s="83" t="str">
        <f>IFERROR(INDEX(Inventari_2[#All],MATCH(Salidas[[#This Row],[CODIGO ]],Inventari_2[[#Headers],[#Data],[CODIGO]],0),2),"")</f>
        <v/>
      </c>
      <c r="E582">
        <v>1</v>
      </c>
      <c r="F582" s="43" t="e">
        <f>VLOOKUP(Salidas[[#This Row],[CODIGO ]],Inventari_2[],8,FALSE)</f>
        <v>#N/A</v>
      </c>
      <c r="G582" s="44" t="e">
        <f>Salidas[[#This Row],[PRECIO]]*Salidas[[#This Row],[CANTIDAD]]</f>
        <v>#N/A</v>
      </c>
      <c r="H582" s="84" t="e">
        <f>VLOOKUP(Salidas[[#This Row],[CODIGO ]],Inventario[],10,FALSE)*Salidas[[#This Row],[CANTIDAD]]</f>
        <v>#N/A</v>
      </c>
    </row>
    <row r="583" spans="1:8" ht="40.5" customHeight="1">
      <c r="A583" s="18"/>
      <c r="B583" s="20"/>
      <c r="C583" s="86"/>
      <c r="D583" s="83" t="str">
        <f>IFERROR(INDEX(Inventari_2[#All],MATCH(Salidas[[#This Row],[CODIGO ]],Inventari_2[[#Headers],[#Data],[CODIGO]],0),2),"")</f>
        <v/>
      </c>
      <c r="E583">
        <v>1</v>
      </c>
      <c r="F583" s="43" t="e">
        <f>VLOOKUP(Salidas[[#This Row],[CODIGO ]],Inventari_2[],8,FALSE)</f>
        <v>#N/A</v>
      </c>
      <c r="G583" s="44" t="e">
        <f>Salidas[[#This Row],[PRECIO]]*Salidas[[#This Row],[CANTIDAD]]</f>
        <v>#N/A</v>
      </c>
      <c r="H583" s="84" t="e">
        <f>VLOOKUP(Salidas[[#This Row],[CODIGO ]],Inventario[],10,FALSE)*Salidas[[#This Row],[CANTIDAD]]</f>
        <v>#N/A</v>
      </c>
    </row>
    <row r="584" spans="1:8" ht="40.5" customHeight="1">
      <c r="A584" s="18"/>
      <c r="B584" s="20"/>
      <c r="C584" s="86"/>
      <c r="D584" s="83" t="str">
        <f>IFERROR(INDEX(Inventari_2[#All],MATCH(Salidas[[#This Row],[CODIGO ]],Inventari_2[[#Headers],[#Data],[CODIGO]],0),2),"")</f>
        <v/>
      </c>
      <c r="E584">
        <v>1</v>
      </c>
      <c r="F584" s="43" t="e">
        <f>VLOOKUP(Salidas[[#This Row],[CODIGO ]],Inventari_2[],8,FALSE)</f>
        <v>#N/A</v>
      </c>
      <c r="G584" s="44" t="e">
        <f>Salidas[[#This Row],[PRECIO]]*Salidas[[#This Row],[CANTIDAD]]</f>
        <v>#N/A</v>
      </c>
      <c r="H584" s="84" t="e">
        <f>VLOOKUP(Salidas[[#This Row],[CODIGO ]],Inventario[],10,FALSE)*Salidas[[#This Row],[CANTIDAD]]</f>
        <v>#N/A</v>
      </c>
    </row>
    <row r="585" spans="1:8" ht="40.5" customHeight="1">
      <c r="A585" s="18"/>
      <c r="B585" s="20"/>
      <c r="C585" s="86"/>
      <c r="D585" s="83" t="str">
        <f>IFERROR(INDEX(Inventari_2[#All],MATCH(Salidas[[#This Row],[CODIGO ]],Inventari_2[[#Headers],[#Data],[CODIGO]],0),2),"")</f>
        <v/>
      </c>
      <c r="E585">
        <v>1</v>
      </c>
      <c r="F585" s="43" t="e">
        <f>VLOOKUP(Salidas[[#This Row],[CODIGO ]],Inventari_2[],8,FALSE)</f>
        <v>#N/A</v>
      </c>
      <c r="G585" s="44" t="e">
        <f>Salidas[[#This Row],[PRECIO]]*Salidas[[#This Row],[CANTIDAD]]</f>
        <v>#N/A</v>
      </c>
      <c r="H585" s="84" t="e">
        <f>VLOOKUP(Salidas[[#This Row],[CODIGO ]],Inventario[],10,FALSE)*Salidas[[#This Row],[CANTIDAD]]</f>
        <v>#N/A</v>
      </c>
    </row>
    <row r="586" spans="1:8" ht="40.5" customHeight="1">
      <c r="A586" s="18"/>
      <c r="B586" s="20"/>
      <c r="C586" s="86"/>
      <c r="D586" s="83" t="str">
        <f>IFERROR(INDEX(Inventari_2[#All],MATCH(Salidas[[#This Row],[CODIGO ]],Inventari_2[[#Headers],[#Data],[CODIGO]],0),2),"")</f>
        <v/>
      </c>
      <c r="E586">
        <v>1</v>
      </c>
      <c r="F586" s="43" t="e">
        <f>VLOOKUP(Salidas[[#This Row],[CODIGO ]],Inventari_2[],8,FALSE)</f>
        <v>#N/A</v>
      </c>
      <c r="G586" s="44" t="e">
        <f>Salidas[[#This Row],[PRECIO]]*Salidas[[#This Row],[CANTIDAD]]</f>
        <v>#N/A</v>
      </c>
      <c r="H586" s="84" t="e">
        <f>VLOOKUP(Salidas[[#This Row],[CODIGO ]],Inventario[],10,FALSE)*Salidas[[#This Row],[CANTIDAD]]</f>
        <v>#N/A</v>
      </c>
    </row>
    <row r="587" spans="1:8" ht="40.5" customHeight="1">
      <c r="A587" s="18"/>
      <c r="B587" s="20"/>
      <c r="C587" s="86"/>
      <c r="D587" s="83" t="str">
        <f>IFERROR(INDEX(Inventari_2[#All],MATCH(Salidas[[#This Row],[CODIGO ]],Inventari_2[[#Headers],[#Data],[CODIGO]],0),2),"")</f>
        <v/>
      </c>
      <c r="E587">
        <v>1</v>
      </c>
      <c r="F587" s="43" t="e">
        <f>VLOOKUP(Salidas[[#This Row],[CODIGO ]],Inventari_2[],8,FALSE)</f>
        <v>#N/A</v>
      </c>
      <c r="G587" s="44" t="e">
        <f>Salidas[[#This Row],[PRECIO]]*Salidas[[#This Row],[CANTIDAD]]</f>
        <v>#N/A</v>
      </c>
      <c r="H587" s="84" t="e">
        <f>VLOOKUP(Salidas[[#This Row],[CODIGO ]],Inventario[],10,FALSE)*Salidas[[#This Row],[CANTIDAD]]</f>
        <v>#N/A</v>
      </c>
    </row>
    <row r="588" spans="1:8" ht="40.5" customHeight="1">
      <c r="A588" s="18"/>
      <c r="B588" s="20"/>
      <c r="C588" s="86"/>
      <c r="D588" s="83" t="str">
        <f>IFERROR(INDEX(Inventari_2[#All],MATCH(Salidas[[#This Row],[CODIGO ]],Inventari_2[[#Headers],[#Data],[CODIGO]],0),2),"")</f>
        <v/>
      </c>
      <c r="E588">
        <v>1</v>
      </c>
      <c r="F588" s="43" t="e">
        <f>VLOOKUP(Salidas[[#This Row],[CODIGO ]],Inventari_2[],8,FALSE)</f>
        <v>#N/A</v>
      </c>
      <c r="G588" s="44" t="e">
        <f>Salidas[[#This Row],[PRECIO]]*Salidas[[#This Row],[CANTIDAD]]</f>
        <v>#N/A</v>
      </c>
      <c r="H588" s="84" t="e">
        <f>VLOOKUP(Salidas[[#This Row],[CODIGO ]],Inventario[],10,FALSE)*Salidas[[#This Row],[CANTIDAD]]</f>
        <v>#N/A</v>
      </c>
    </row>
    <row r="589" spans="1:8" ht="40.5" customHeight="1">
      <c r="A589" s="18"/>
      <c r="B589" s="20"/>
      <c r="C589" s="86"/>
      <c r="D589" s="83" t="str">
        <f>IFERROR(INDEX(Inventari_2[#All],MATCH(Salidas[[#This Row],[CODIGO ]],Inventari_2[[#Headers],[#Data],[CODIGO]],0),2),"")</f>
        <v/>
      </c>
      <c r="E589">
        <v>1</v>
      </c>
      <c r="F589" s="43" t="e">
        <f>VLOOKUP(Salidas[[#This Row],[CODIGO ]],Inventari_2[],8,FALSE)</f>
        <v>#N/A</v>
      </c>
      <c r="G589" s="44" t="e">
        <f>Salidas[[#This Row],[PRECIO]]*Salidas[[#This Row],[CANTIDAD]]</f>
        <v>#N/A</v>
      </c>
      <c r="H589" s="84" t="e">
        <f>VLOOKUP(Salidas[[#This Row],[CODIGO ]],Inventario[],10,FALSE)*Salidas[[#This Row],[CANTIDAD]]</f>
        <v>#N/A</v>
      </c>
    </row>
    <row r="590" spans="1:8" ht="40.5" customHeight="1">
      <c r="A590" s="18"/>
      <c r="B590" s="20"/>
      <c r="C590" s="86"/>
      <c r="D590" s="83" t="str">
        <f>IFERROR(INDEX(Inventari_2[#All],MATCH(Salidas[[#This Row],[CODIGO ]],Inventari_2[[#Headers],[#Data],[CODIGO]],0),2),"")</f>
        <v/>
      </c>
      <c r="E590">
        <v>1</v>
      </c>
      <c r="F590" s="43" t="e">
        <f>VLOOKUP(Salidas[[#This Row],[CODIGO ]],Inventari_2[],8,FALSE)</f>
        <v>#N/A</v>
      </c>
      <c r="G590" s="44" t="e">
        <f>Salidas[[#This Row],[PRECIO]]*Salidas[[#This Row],[CANTIDAD]]</f>
        <v>#N/A</v>
      </c>
      <c r="H590" s="84" t="e">
        <f>VLOOKUP(Salidas[[#This Row],[CODIGO ]],Inventario[],10,FALSE)*Salidas[[#This Row],[CANTIDAD]]</f>
        <v>#N/A</v>
      </c>
    </row>
    <row r="591" spans="1:8" ht="40.5" customHeight="1">
      <c r="A591" s="18"/>
      <c r="B591" s="20"/>
      <c r="C591" s="86"/>
      <c r="D591" s="83" t="str">
        <f>IFERROR(INDEX(Inventari_2[#All],MATCH(Salidas[[#This Row],[CODIGO ]],Inventari_2[[#Headers],[#Data],[CODIGO]],0),2),"")</f>
        <v/>
      </c>
      <c r="E591">
        <v>1</v>
      </c>
      <c r="F591" s="43" t="e">
        <f>VLOOKUP(Salidas[[#This Row],[CODIGO ]],Inventari_2[],8,FALSE)</f>
        <v>#N/A</v>
      </c>
      <c r="G591" s="44" t="e">
        <f>Salidas[[#This Row],[PRECIO]]*Salidas[[#This Row],[CANTIDAD]]</f>
        <v>#N/A</v>
      </c>
      <c r="H591" s="84" t="e">
        <f>VLOOKUP(Salidas[[#This Row],[CODIGO ]],Inventario[],10,FALSE)*Salidas[[#This Row],[CANTIDAD]]</f>
        <v>#N/A</v>
      </c>
    </row>
    <row r="592" spans="1:8" ht="40.5" customHeight="1">
      <c r="A592" s="18"/>
      <c r="B592" s="20"/>
      <c r="C592" s="86"/>
      <c r="D592" s="83" t="str">
        <f>IFERROR(INDEX(Inventari_2[#All],MATCH(Salidas[[#This Row],[CODIGO ]],Inventari_2[[#Headers],[#Data],[CODIGO]],0),2),"")</f>
        <v/>
      </c>
      <c r="E592">
        <v>1</v>
      </c>
      <c r="F592" s="43" t="e">
        <f>VLOOKUP(Salidas[[#This Row],[CODIGO ]],Inventari_2[],8,FALSE)</f>
        <v>#N/A</v>
      </c>
      <c r="G592" s="44" t="e">
        <f>Salidas[[#This Row],[PRECIO]]*Salidas[[#This Row],[CANTIDAD]]</f>
        <v>#N/A</v>
      </c>
      <c r="H592" s="84" t="e">
        <f>VLOOKUP(Salidas[[#This Row],[CODIGO ]],Inventario[],10,FALSE)*Salidas[[#This Row],[CANTIDAD]]</f>
        <v>#N/A</v>
      </c>
    </row>
    <row r="593" spans="1:8" ht="40.5" customHeight="1">
      <c r="A593" s="18"/>
      <c r="B593" s="20"/>
      <c r="C593" s="86"/>
      <c r="D593" s="83" t="str">
        <f>IFERROR(INDEX(Inventari_2[#All],MATCH(Salidas[[#This Row],[CODIGO ]],Inventari_2[[#Headers],[#Data],[CODIGO]],0),2),"")</f>
        <v/>
      </c>
      <c r="E593">
        <v>1</v>
      </c>
      <c r="F593" s="43" t="e">
        <f>VLOOKUP(Salidas[[#This Row],[CODIGO ]],Inventari_2[],8,FALSE)</f>
        <v>#N/A</v>
      </c>
      <c r="G593" s="44" t="e">
        <f>Salidas[[#This Row],[PRECIO]]*Salidas[[#This Row],[CANTIDAD]]</f>
        <v>#N/A</v>
      </c>
      <c r="H593" s="84" t="e">
        <f>VLOOKUP(Salidas[[#This Row],[CODIGO ]],Inventario[],10,FALSE)*Salidas[[#This Row],[CANTIDAD]]</f>
        <v>#N/A</v>
      </c>
    </row>
    <row r="594" spans="1:8" ht="40.5" customHeight="1">
      <c r="A594" s="18"/>
      <c r="B594" s="20"/>
      <c r="C594" s="86"/>
      <c r="D594" s="83" t="str">
        <f>IFERROR(INDEX(Inventari_2[#All],MATCH(Salidas[[#This Row],[CODIGO ]],Inventari_2[[#Headers],[#Data],[CODIGO]],0),2),"")</f>
        <v/>
      </c>
      <c r="E594">
        <v>1</v>
      </c>
      <c r="F594" s="43" t="e">
        <f>VLOOKUP(Salidas[[#This Row],[CODIGO ]],Inventari_2[],8,FALSE)</f>
        <v>#N/A</v>
      </c>
      <c r="G594" s="44" t="e">
        <f>Salidas[[#This Row],[PRECIO]]*Salidas[[#This Row],[CANTIDAD]]</f>
        <v>#N/A</v>
      </c>
      <c r="H594" s="84" t="e">
        <f>VLOOKUP(Salidas[[#This Row],[CODIGO ]],Inventario[],10,FALSE)*Salidas[[#This Row],[CANTIDAD]]</f>
        <v>#N/A</v>
      </c>
    </row>
    <row r="595" spans="1:8" ht="40.5" customHeight="1">
      <c r="A595" s="18"/>
      <c r="B595" s="20"/>
      <c r="C595" s="86"/>
      <c r="D595" s="83" t="str">
        <f>IFERROR(INDEX(Inventari_2[#All],MATCH(Salidas[[#This Row],[CODIGO ]],Inventari_2[[#Headers],[#Data],[CODIGO]],0),2),"")</f>
        <v/>
      </c>
      <c r="E595">
        <v>1</v>
      </c>
      <c r="F595" s="43" t="e">
        <f>VLOOKUP(Salidas[[#This Row],[CODIGO ]],Inventari_2[],8,FALSE)</f>
        <v>#N/A</v>
      </c>
      <c r="G595" s="44" t="e">
        <f>Salidas[[#This Row],[PRECIO]]*Salidas[[#This Row],[CANTIDAD]]</f>
        <v>#N/A</v>
      </c>
      <c r="H595" s="84" t="e">
        <f>VLOOKUP(Salidas[[#This Row],[CODIGO ]],Inventario[],10,FALSE)*Salidas[[#This Row],[CANTIDAD]]</f>
        <v>#N/A</v>
      </c>
    </row>
    <row r="596" spans="1:8" ht="40.5" customHeight="1">
      <c r="A596" s="18"/>
      <c r="B596" s="20"/>
      <c r="C596" s="86"/>
      <c r="D596" s="83" t="str">
        <f>IFERROR(INDEX(Inventari_2[#All],MATCH(Salidas[[#This Row],[CODIGO ]],Inventari_2[[#Headers],[#Data],[CODIGO]],0),2),"")</f>
        <v/>
      </c>
      <c r="E596">
        <v>1</v>
      </c>
      <c r="F596" s="43" t="e">
        <f>VLOOKUP(Salidas[[#This Row],[CODIGO ]],Inventari_2[],8,FALSE)</f>
        <v>#N/A</v>
      </c>
      <c r="G596" s="44" t="e">
        <f>Salidas[[#This Row],[PRECIO]]*Salidas[[#This Row],[CANTIDAD]]</f>
        <v>#N/A</v>
      </c>
      <c r="H596" s="84" t="e">
        <f>VLOOKUP(Salidas[[#This Row],[CODIGO ]],Inventario[],10,FALSE)*Salidas[[#This Row],[CANTIDAD]]</f>
        <v>#N/A</v>
      </c>
    </row>
    <row r="597" spans="1:8" ht="40.5" customHeight="1">
      <c r="A597" s="18"/>
      <c r="B597" s="20"/>
      <c r="C597" s="86"/>
      <c r="D597" s="83" t="str">
        <f>IFERROR(INDEX(Inventari_2[#All],MATCH(Salidas[[#This Row],[CODIGO ]],Inventari_2[[#Headers],[#Data],[CODIGO]],0),2),"")</f>
        <v/>
      </c>
      <c r="E597">
        <v>1</v>
      </c>
      <c r="F597" s="43" t="e">
        <f>VLOOKUP(Salidas[[#This Row],[CODIGO ]],Inventari_2[],8,FALSE)</f>
        <v>#N/A</v>
      </c>
      <c r="G597" s="44" t="e">
        <f>Salidas[[#This Row],[PRECIO]]*Salidas[[#This Row],[CANTIDAD]]</f>
        <v>#N/A</v>
      </c>
      <c r="H597" s="84" t="e">
        <f>VLOOKUP(Salidas[[#This Row],[CODIGO ]],Inventario[],10,FALSE)*Salidas[[#This Row],[CANTIDAD]]</f>
        <v>#N/A</v>
      </c>
    </row>
    <row r="598" spans="1:8" ht="40.5" customHeight="1">
      <c r="A598" s="18"/>
      <c r="B598" s="20"/>
      <c r="C598" s="86"/>
      <c r="D598" s="83" t="str">
        <f>IFERROR(INDEX(Inventari_2[#All],MATCH(Salidas[[#This Row],[CODIGO ]],Inventari_2[[#Headers],[#Data],[CODIGO]],0),2),"")</f>
        <v/>
      </c>
      <c r="E598">
        <v>1</v>
      </c>
      <c r="F598" s="43" t="e">
        <f>VLOOKUP(Salidas[[#This Row],[CODIGO ]],Inventari_2[],8,FALSE)</f>
        <v>#N/A</v>
      </c>
      <c r="G598" s="44" t="e">
        <f>Salidas[[#This Row],[PRECIO]]*Salidas[[#This Row],[CANTIDAD]]</f>
        <v>#N/A</v>
      </c>
      <c r="H598" s="84" t="e">
        <f>VLOOKUP(Salidas[[#This Row],[CODIGO ]],Inventario[],10,FALSE)*Salidas[[#This Row],[CANTIDAD]]</f>
        <v>#N/A</v>
      </c>
    </row>
    <row r="599" spans="1:8" ht="40.5" customHeight="1">
      <c r="A599" s="18"/>
      <c r="B599" s="20"/>
      <c r="C599" s="86"/>
      <c r="D599" s="83" t="str">
        <f>IFERROR(INDEX(Inventari_2[#All],MATCH(Salidas[[#This Row],[CODIGO ]],Inventari_2[[#Headers],[#Data],[CODIGO]],0),2),"")</f>
        <v/>
      </c>
      <c r="E599">
        <v>1</v>
      </c>
      <c r="F599" s="43" t="e">
        <f>VLOOKUP(Salidas[[#This Row],[CODIGO ]],Inventari_2[],8,FALSE)</f>
        <v>#N/A</v>
      </c>
      <c r="G599" s="44" t="e">
        <f>Salidas[[#This Row],[PRECIO]]*Salidas[[#This Row],[CANTIDAD]]</f>
        <v>#N/A</v>
      </c>
      <c r="H599" s="84" t="e">
        <f>VLOOKUP(Salidas[[#This Row],[CODIGO ]],Inventario[],10,FALSE)*Salidas[[#This Row],[CANTIDAD]]</f>
        <v>#N/A</v>
      </c>
    </row>
    <row r="600" spans="1:8" ht="40.5" customHeight="1">
      <c r="A600" s="18"/>
      <c r="B600" s="20"/>
      <c r="C600" s="86"/>
      <c r="D600" s="83" t="str">
        <f>IFERROR(INDEX(Inventari_2[#All],MATCH(Salidas[[#This Row],[CODIGO ]],Inventari_2[[#Headers],[#Data],[CODIGO]],0),2),"")</f>
        <v/>
      </c>
      <c r="E600">
        <v>1</v>
      </c>
      <c r="F600" s="43" t="e">
        <f>VLOOKUP(Salidas[[#This Row],[CODIGO ]],Inventari_2[],8,FALSE)</f>
        <v>#N/A</v>
      </c>
      <c r="G600" s="44" t="e">
        <f>Salidas[[#This Row],[PRECIO]]*Salidas[[#This Row],[CANTIDAD]]</f>
        <v>#N/A</v>
      </c>
      <c r="H600" s="84" t="e">
        <f>VLOOKUP(Salidas[[#This Row],[CODIGO ]],Inventario[],10,FALSE)*Salidas[[#This Row],[CANTIDAD]]</f>
        <v>#N/A</v>
      </c>
    </row>
    <row r="601" spans="1:8" ht="40.5" customHeight="1">
      <c r="A601" s="18"/>
      <c r="B601" s="20"/>
      <c r="C601" s="86"/>
      <c r="D601" s="83" t="str">
        <f>IFERROR(INDEX(Inventari_2[#All],MATCH(Salidas[[#This Row],[CODIGO ]],Inventari_2[[#Headers],[#Data],[CODIGO]],0),2),"")</f>
        <v/>
      </c>
      <c r="E601">
        <v>1</v>
      </c>
      <c r="F601" s="43" t="e">
        <f>VLOOKUP(Salidas[[#This Row],[CODIGO ]],Inventari_2[],8,FALSE)</f>
        <v>#N/A</v>
      </c>
      <c r="G601" s="44" t="e">
        <f>Salidas[[#This Row],[PRECIO]]*Salidas[[#This Row],[CANTIDAD]]</f>
        <v>#N/A</v>
      </c>
      <c r="H601" s="84" t="e">
        <f>VLOOKUP(Salidas[[#This Row],[CODIGO ]],Inventario[],10,FALSE)*Salidas[[#This Row],[CANTIDAD]]</f>
        <v>#N/A</v>
      </c>
    </row>
    <row r="602" spans="1:8" ht="40.5" customHeight="1">
      <c r="A602" s="18"/>
      <c r="B602" s="20"/>
      <c r="C602" s="86"/>
      <c r="D602" s="83" t="str">
        <f>IFERROR(INDEX(Inventari_2[#All],MATCH(Salidas[[#This Row],[CODIGO ]],Inventari_2[[#Headers],[#Data],[CODIGO]],0),2),"")</f>
        <v/>
      </c>
      <c r="E602">
        <v>1</v>
      </c>
      <c r="F602" s="43" t="e">
        <f>VLOOKUP(Salidas[[#This Row],[CODIGO ]],Inventari_2[],8,FALSE)</f>
        <v>#N/A</v>
      </c>
      <c r="G602" s="44" t="e">
        <f>Salidas[[#This Row],[PRECIO]]*Salidas[[#This Row],[CANTIDAD]]</f>
        <v>#N/A</v>
      </c>
      <c r="H602" s="84" t="e">
        <f>VLOOKUP(Salidas[[#This Row],[CODIGO ]],Inventario[],10,FALSE)*Salidas[[#This Row],[CANTIDAD]]</f>
        <v>#N/A</v>
      </c>
    </row>
    <row r="603" spans="1:8" ht="40.5" customHeight="1">
      <c r="A603" s="18"/>
      <c r="B603" s="20"/>
      <c r="C603" s="86"/>
      <c r="D603" s="83" t="str">
        <f>IFERROR(INDEX(Inventari_2[#All],MATCH(Salidas[[#This Row],[CODIGO ]],Inventari_2[[#Headers],[#Data],[CODIGO]],0),2),"")</f>
        <v/>
      </c>
      <c r="E603">
        <v>1</v>
      </c>
      <c r="F603" s="43" t="e">
        <f>VLOOKUP(Salidas[[#This Row],[CODIGO ]],Inventari_2[],8,FALSE)</f>
        <v>#N/A</v>
      </c>
      <c r="G603" s="44" t="e">
        <f>Salidas[[#This Row],[PRECIO]]*Salidas[[#This Row],[CANTIDAD]]</f>
        <v>#N/A</v>
      </c>
      <c r="H603" s="84" t="e">
        <f>VLOOKUP(Salidas[[#This Row],[CODIGO ]],Inventario[],10,FALSE)*Salidas[[#This Row],[CANTIDAD]]</f>
        <v>#N/A</v>
      </c>
    </row>
    <row r="604" spans="1:8" ht="40.5" customHeight="1">
      <c r="A604" s="18"/>
      <c r="B604" s="20"/>
      <c r="C604" s="86"/>
      <c r="D604" s="83" t="str">
        <f>IFERROR(INDEX(Inventari_2[#All],MATCH(Salidas[[#This Row],[CODIGO ]],Inventari_2[[#Headers],[#Data],[CODIGO]],0),2),"")</f>
        <v/>
      </c>
      <c r="E604">
        <v>1</v>
      </c>
      <c r="F604" s="43" t="e">
        <f>VLOOKUP(Salidas[[#This Row],[CODIGO ]],Inventari_2[],8,FALSE)</f>
        <v>#N/A</v>
      </c>
      <c r="G604" s="44" t="e">
        <f>Salidas[[#This Row],[PRECIO]]*Salidas[[#This Row],[CANTIDAD]]</f>
        <v>#N/A</v>
      </c>
      <c r="H604" s="84" t="e">
        <f>VLOOKUP(Salidas[[#This Row],[CODIGO ]],Inventario[],10,FALSE)*Salidas[[#This Row],[CANTIDAD]]</f>
        <v>#N/A</v>
      </c>
    </row>
    <row r="605" spans="1:8" ht="40.5" customHeight="1">
      <c r="A605" s="18"/>
      <c r="B605" s="20"/>
      <c r="C605" s="86"/>
      <c r="D605" s="83" t="str">
        <f>IFERROR(INDEX(Inventari_2[#All],MATCH(Salidas[[#This Row],[CODIGO ]],Inventari_2[[#Headers],[#Data],[CODIGO]],0),2),"")</f>
        <v/>
      </c>
      <c r="E605">
        <v>1</v>
      </c>
      <c r="F605" s="43" t="e">
        <f>VLOOKUP(Salidas[[#This Row],[CODIGO ]],Inventari_2[],8,FALSE)</f>
        <v>#N/A</v>
      </c>
      <c r="G605" s="44" t="e">
        <f>Salidas[[#This Row],[PRECIO]]*Salidas[[#This Row],[CANTIDAD]]</f>
        <v>#N/A</v>
      </c>
      <c r="H605" s="84" t="e">
        <f>VLOOKUP(Salidas[[#This Row],[CODIGO ]],Inventario[],10,FALSE)*Salidas[[#This Row],[CANTIDAD]]</f>
        <v>#N/A</v>
      </c>
    </row>
    <row r="606" spans="1:8" ht="40.5" customHeight="1">
      <c r="A606" s="18"/>
      <c r="B606" s="20"/>
      <c r="C606" s="86"/>
      <c r="D606" s="83" t="str">
        <f>IFERROR(INDEX(Inventari_2[#All],MATCH(Salidas[[#This Row],[CODIGO ]],Inventari_2[[#Headers],[#Data],[CODIGO]],0),2),"")</f>
        <v/>
      </c>
      <c r="E606">
        <v>1</v>
      </c>
      <c r="F606" s="43" t="e">
        <f>VLOOKUP(Salidas[[#This Row],[CODIGO ]],Inventari_2[],8,FALSE)</f>
        <v>#N/A</v>
      </c>
      <c r="G606" s="44" t="e">
        <f>Salidas[[#This Row],[PRECIO]]*Salidas[[#This Row],[CANTIDAD]]</f>
        <v>#N/A</v>
      </c>
      <c r="H606" s="84" t="e">
        <f>VLOOKUP(Salidas[[#This Row],[CODIGO ]],Inventario[],10,FALSE)*Salidas[[#This Row],[CANTIDAD]]</f>
        <v>#N/A</v>
      </c>
    </row>
    <row r="607" spans="1:8" ht="40.5" customHeight="1">
      <c r="A607" s="18"/>
      <c r="B607" s="20"/>
      <c r="C607" s="86"/>
      <c r="D607" s="83" t="str">
        <f>IFERROR(INDEX(Inventari_2[#All],MATCH(Salidas[[#This Row],[CODIGO ]],Inventari_2[[#Headers],[#Data],[CODIGO]],0),2),"")</f>
        <v/>
      </c>
      <c r="E607">
        <v>1</v>
      </c>
      <c r="F607" s="43" t="e">
        <f>VLOOKUP(Salidas[[#This Row],[CODIGO ]],Inventari_2[],8,FALSE)</f>
        <v>#N/A</v>
      </c>
      <c r="G607" s="44" t="e">
        <f>Salidas[[#This Row],[PRECIO]]*Salidas[[#This Row],[CANTIDAD]]</f>
        <v>#N/A</v>
      </c>
      <c r="H607" s="84" t="e">
        <f>VLOOKUP(Salidas[[#This Row],[CODIGO ]],Inventario[],10,FALSE)*Salidas[[#This Row],[CANTIDAD]]</f>
        <v>#N/A</v>
      </c>
    </row>
    <row r="608" spans="1:8" ht="40.5" customHeight="1">
      <c r="A608" s="18"/>
      <c r="B608" s="20"/>
      <c r="C608" s="86"/>
      <c r="D608" s="83" t="str">
        <f>IFERROR(INDEX(Inventari_2[#All],MATCH(Salidas[[#This Row],[CODIGO ]],Inventari_2[[#Headers],[#Data],[CODIGO]],0),2),"")</f>
        <v/>
      </c>
      <c r="E608">
        <v>1</v>
      </c>
      <c r="F608" s="43" t="e">
        <f>VLOOKUP(Salidas[[#This Row],[CODIGO ]],Inventari_2[],8,FALSE)</f>
        <v>#N/A</v>
      </c>
      <c r="G608" s="44" t="e">
        <f>Salidas[[#This Row],[PRECIO]]*Salidas[[#This Row],[CANTIDAD]]</f>
        <v>#N/A</v>
      </c>
      <c r="H608" s="84" t="e">
        <f>VLOOKUP(Salidas[[#This Row],[CODIGO ]],Inventario[],10,FALSE)*Salidas[[#This Row],[CANTIDAD]]</f>
        <v>#N/A</v>
      </c>
    </row>
    <row r="609" spans="1:8" ht="40.5" customHeight="1">
      <c r="A609" s="18"/>
      <c r="B609" s="20"/>
      <c r="C609" s="86"/>
      <c r="D609" s="83" t="str">
        <f>IFERROR(INDEX(Inventari_2[#All],MATCH(Salidas[[#This Row],[CODIGO ]],Inventari_2[[#Headers],[#Data],[CODIGO]],0),2),"")</f>
        <v/>
      </c>
      <c r="E609">
        <v>1</v>
      </c>
      <c r="F609" s="43" t="e">
        <f>VLOOKUP(Salidas[[#This Row],[CODIGO ]],Inventari_2[],8,FALSE)</f>
        <v>#N/A</v>
      </c>
      <c r="G609" s="44" t="e">
        <f>Salidas[[#This Row],[PRECIO]]*Salidas[[#This Row],[CANTIDAD]]</f>
        <v>#N/A</v>
      </c>
      <c r="H609" s="84" t="e">
        <f>VLOOKUP(Salidas[[#This Row],[CODIGO ]],Inventario[],10,FALSE)*Salidas[[#This Row],[CANTIDAD]]</f>
        <v>#N/A</v>
      </c>
    </row>
    <row r="610" spans="1:8" s="57" customFormat="1" ht="40.5" customHeight="1">
      <c r="A610" s="55"/>
      <c r="B610" s="56"/>
      <c r="C610" s="86"/>
      <c r="D610" s="83" t="str">
        <f>IFERROR(INDEX(Inventari_2[#All],MATCH(Salidas[[#This Row],[CODIGO ]],Inventari_2[[#Headers],[#Data],[CODIGO]],0),2),"")</f>
        <v/>
      </c>
      <c r="E610">
        <v>1</v>
      </c>
      <c r="F610" s="58" t="e">
        <f>VLOOKUP(Salidas[[#This Row],[CODIGO ]],Inventari_2[],8,FALSE)</f>
        <v>#N/A</v>
      </c>
      <c r="G610" s="44" t="e">
        <f>Salidas[[#This Row],[PRECIO]]*Salidas[[#This Row],[CANTIDAD]]</f>
        <v>#N/A</v>
      </c>
      <c r="H610" s="84" t="e">
        <f>VLOOKUP(Salidas[[#This Row],[CODIGO ]],Inventario[],10,FALSE)*Salidas[[#This Row],[CANTIDAD]]</f>
        <v>#N/A</v>
      </c>
    </row>
    <row r="611" spans="1:8" ht="40.5" customHeight="1">
      <c r="A611" s="18"/>
      <c r="B611" s="20"/>
      <c r="C611" s="86"/>
      <c r="D611" s="83" t="str">
        <f>IFERROR(INDEX(Inventari_2[#All],MATCH(Salidas[[#This Row],[CODIGO ]],Inventari_2[[#Headers],[#Data],[CODIGO]],0),2),"")</f>
        <v/>
      </c>
      <c r="E611">
        <v>1</v>
      </c>
      <c r="F611" s="43" t="e">
        <f>VLOOKUP(Salidas[[#This Row],[CODIGO ]],Inventari_2[],8,FALSE)</f>
        <v>#N/A</v>
      </c>
      <c r="G611" s="44" t="e">
        <f>Salidas[[#This Row],[PRECIO]]*Salidas[[#This Row],[CANTIDAD]]</f>
        <v>#N/A</v>
      </c>
      <c r="H611" s="84" t="e">
        <f>VLOOKUP(Salidas[[#This Row],[CODIGO ]],Inventario[],10,FALSE)*Salidas[[#This Row],[CANTIDAD]]</f>
        <v>#N/A</v>
      </c>
    </row>
    <row r="612" spans="1:8" ht="40.5" customHeight="1">
      <c r="A612" s="18"/>
      <c r="B612" s="20"/>
      <c r="C612" s="86"/>
      <c r="D612" s="83" t="str">
        <f>IFERROR(INDEX(Inventari_2[#All],MATCH(Salidas[[#This Row],[CODIGO ]],Inventari_2[[#Headers],[#Data],[CODIGO]],0),2),"")</f>
        <v/>
      </c>
      <c r="E612">
        <v>1</v>
      </c>
      <c r="F612" s="43" t="e">
        <f>VLOOKUP(Salidas[[#This Row],[CODIGO ]],Inventari_2[],8,FALSE)</f>
        <v>#N/A</v>
      </c>
      <c r="G612" s="44" t="e">
        <f>Salidas[[#This Row],[PRECIO]]*Salidas[[#This Row],[CANTIDAD]]</f>
        <v>#N/A</v>
      </c>
      <c r="H612" s="84" t="e">
        <f>VLOOKUP(Salidas[[#This Row],[CODIGO ]],Inventario[],10,FALSE)*Salidas[[#This Row],[CANTIDAD]]</f>
        <v>#N/A</v>
      </c>
    </row>
    <row r="613" spans="1:8" ht="40.5" customHeight="1">
      <c r="A613" s="18"/>
      <c r="B613" s="20"/>
      <c r="C613" s="86"/>
      <c r="D613" s="83" t="str">
        <f>IFERROR(INDEX(Inventari_2[#All],MATCH(Salidas[[#This Row],[CODIGO ]],Inventari_2[[#Headers],[#Data],[CODIGO]],0),2),"")</f>
        <v/>
      </c>
      <c r="E613">
        <v>1</v>
      </c>
      <c r="F613" s="43" t="e">
        <f>VLOOKUP(Salidas[[#This Row],[CODIGO ]],Inventari_2[],8,FALSE)</f>
        <v>#N/A</v>
      </c>
      <c r="G613" s="44" t="e">
        <f>Salidas[[#This Row],[PRECIO]]*Salidas[[#This Row],[CANTIDAD]]</f>
        <v>#N/A</v>
      </c>
      <c r="H613" s="84" t="e">
        <f>VLOOKUP(Salidas[[#This Row],[CODIGO ]],Inventario[],10,FALSE)*Salidas[[#This Row],[CANTIDAD]]</f>
        <v>#N/A</v>
      </c>
    </row>
    <row r="614" spans="1:8" ht="40.5" customHeight="1">
      <c r="A614" s="18"/>
      <c r="B614" s="20"/>
      <c r="C614" s="86"/>
      <c r="D614" s="83" t="str">
        <f>IFERROR(INDEX(Inventari_2[#All],MATCH(Salidas[[#This Row],[CODIGO ]],Inventari_2[[#Headers],[#Data],[CODIGO]],0),2),"")</f>
        <v/>
      </c>
      <c r="E614">
        <v>1</v>
      </c>
      <c r="F614" s="43" t="e">
        <f>VLOOKUP(Salidas[[#This Row],[CODIGO ]],Inventari_2[],8,FALSE)</f>
        <v>#N/A</v>
      </c>
      <c r="G614" s="44" t="e">
        <f>Salidas[[#This Row],[PRECIO]]*Salidas[[#This Row],[CANTIDAD]]</f>
        <v>#N/A</v>
      </c>
      <c r="H614" s="84" t="e">
        <f>VLOOKUP(Salidas[[#This Row],[CODIGO ]],Inventario[],10,FALSE)*Salidas[[#This Row],[CANTIDAD]]</f>
        <v>#N/A</v>
      </c>
    </row>
    <row r="615" spans="1:8" ht="40.5" customHeight="1">
      <c r="A615" s="18"/>
      <c r="B615" s="20"/>
      <c r="C615" s="86"/>
      <c r="D615" s="83" t="str">
        <f>IFERROR(INDEX(Inventari_2[#All],MATCH(Salidas[[#This Row],[CODIGO ]],Inventari_2[[#Headers],[#Data],[CODIGO]],0),2),"")</f>
        <v/>
      </c>
      <c r="E615">
        <v>1</v>
      </c>
      <c r="F615" s="43" t="e">
        <f>VLOOKUP(Salidas[[#This Row],[CODIGO ]],Inventari_2[],8,FALSE)</f>
        <v>#N/A</v>
      </c>
      <c r="G615" s="44" t="e">
        <f>Salidas[[#This Row],[PRECIO]]*Salidas[[#This Row],[CANTIDAD]]</f>
        <v>#N/A</v>
      </c>
      <c r="H615" s="84" t="e">
        <f>VLOOKUP(Salidas[[#This Row],[CODIGO ]],Inventario[],10,FALSE)*Salidas[[#This Row],[CANTIDAD]]</f>
        <v>#N/A</v>
      </c>
    </row>
    <row r="616" spans="1:8" ht="40.5" customHeight="1">
      <c r="A616" s="18"/>
      <c r="B616" s="20"/>
      <c r="C616" s="86"/>
      <c r="D616" s="83" t="str">
        <f>IFERROR(INDEX(Inventari_2[#All],MATCH(Salidas[[#This Row],[CODIGO ]],Inventari_2[[#Headers],[#Data],[CODIGO]],0),2),"")</f>
        <v/>
      </c>
      <c r="E616">
        <v>1</v>
      </c>
      <c r="F616" s="43" t="e">
        <f>VLOOKUP(Salidas[[#This Row],[CODIGO ]],Inventari_2[],8,FALSE)</f>
        <v>#N/A</v>
      </c>
      <c r="G616" s="44" t="e">
        <f>Salidas[[#This Row],[PRECIO]]*Salidas[[#This Row],[CANTIDAD]]</f>
        <v>#N/A</v>
      </c>
      <c r="H616" s="84" t="e">
        <f>VLOOKUP(Salidas[[#This Row],[CODIGO ]],Inventario[],10,FALSE)*Salidas[[#This Row],[CANTIDAD]]</f>
        <v>#N/A</v>
      </c>
    </row>
    <row r="617" spans="1:8" ht="40.5" customHeight="1">
      <c r="A617" s="18"/>
      <c r="B617" s="20"/>
      <c r="C617" s="86"/>
      <c r="D617" s="83" t="str">
        <f>IFERROR(INDEX(Inventari_2[#All],MATCH(Salidas[[#This Row],[CODIGO ]],Inventari_2[[#Headers],[#Data],[CODIGO]],0),2),"")</f>
        <v/>
      </c>
      <c r="E617">
        <v>1</v>
      </c>
      <c r="F617" s="43" t="e">
        <f>VLOOKUP(Salidas[[#This Row],[CODIGO ]],Inventari_2[],8,FALSE)</f>
        <v>#N/A</v>
      </c>
      <c r="G617" s="44" t="e">
        <f>Salidas[[#This Row],[PRECIO]]*Salidas[[#This Row],[CANTIDAD]]</f>
        <v>#N/A</v>
      </c>
      <c r="H617" s="84" t="e">
        <f>VLOOKUP(Salidas[[#This Row],[CODIGO ]],Inventario[],10,FALSE)*Salidas[[#This Row],[CANTIDAD]]</f>
        <v>#N/A</v>
      </c>
    </row>
    <row r="618" spans="1:8" s="57" customFormat="1" ht="40.5" customHeight="1">
      <c r="A618" s="55"/>
      <c r="B618" s="56"/>
      <c r="C618" s="86"/>
      <c r="D618" s="83" t="str">
        <f>IFERROR(INDEX(Inventari_2[#All],MATCH(Salidas[[#This Row],[CODIGO ]],Inventari_2[[#Headers],[#Data],[CODIGO]],0),2),"")</f>
        <v/>
      </c>
      <c r="E618">
        <v>1</v>
      </c>
      <c r="F618" s="58" t="e">
        <f>VLOOKUP(Salidas[[#This Row],[CODIGO ]],Inventari_2[],8,FALSE)</f>
        <v>#N/A</v>
      </c>
      <c r="G618" s="44" t="e">
        <f>Salidas[[#This Row],[PRECIO]]*Salidas[[#This Row],[CANTIDAD]]</f>
        <v>#N/A</v>
      </c>
      <c r="H618" s="84" t="e">
        <f>VLOOKUP(Salidas[[#This Row],[CODIGO ]],Inventario[],10,FALSE)*Salidas[[#This Row],[CANTIDAD]]</f>
        <v>#N/A</v>
      </c>
    </row>
    <row r="619" spans="1:8" ht="40.5" customHeight="1">
      <c r="A619" s="18"/>
      <c r="B619" s="20"/>
      <c r="C619" s="86"/>
      <c r="D619" s="83" t="str">
        <f>IFERROR(INDEX(Inventari_2[#All],MATCH(Salidas[[#This Row],[CODIGO ]],Inventari_2[[#Headers],[#Data],[CODIGO]],0),2),"")</f>
        <v/>
      </c>
      <c r="E619">
        <v>1</v>
      </c>
      <c r="F619" s="43" t="e">
        <f>VLOOKUP(Salidas[[#This Row],[CODIGO ]],Inventari_2[],8,FALSE)</f>
        <v>#N/A</v>
      </c>
      <c r="G619" s="44" t="e">
        <f>Salidas[[#This Row],[PRECIO]]*Salidas[[#This Row],[CANTIDAD]]</f>
        <v>#N/A</v>
      </c>
      <c r="H619" s="84" t="e">
        <f>VLOOKUP(Salidas[[#This Row],[CODIGO ]],Inventario[],10,FALSE)*Salidas[[#This Row],[CANTIDAD]]</f>
        <v>#N/A</v>
      </c>
    </row>
    <row r="620" spans="1:8" ht="40.5" customHeight="1">
      <c r="A620" s="18"/>
      <c r="B620" s="20"/>
      <c r="C620" s="86"/>
      <c r="D620" s="83" t="str">
        <f>IFERROR(INDEX(Inventari_2[#All],MATCH(Salidas[[#This Row],[CODIGO ]],Inventari_2[[#Headers],[#Data],[CODIGO]],0),2),"")</f>
        <v/>
      </c>
      <c r="E620">
        <v>1</v>
      </c>
      <c r="F620" s="43" t="e">
        <f>VLOOKUP(Salidas[[#This Row],[CODIGO ]],Inventari_2[],8,FALSE)</f>
        <v>#N/A</v>
      </c>
      <c r="G620" s="44" t="e">
        <f>Salidas[[#This Row],[PRECIO]]*Salidas[[#This Row],[CANTIDAD]]</f>
        <v>#N/A</v>
      </c>
      <c r="H620" s="84" t="e">
        <f>VLOOKUP(Salidas[[#This Row],[CODIGO ]],Inventario[],10,FALSE)*Salidas[[#This Row],[CANTIDAD]]</f>
        <v>#N/A</v>
      </c>
    </row>
    <row r="621" spans="1:8" ht="40.5" customHeight="1">
      <c r="A621" s="18"/>
      <c r="B621" s="20"/>
      <c r="C621" s="86"/>
      <c r="D621" s="83" t="str">
        <f>IFERROR(INDEX(Inventari_2[#All],MATCH(Salidas[[#This Row],[CODIGO ]],Inventari_2[[#Headers],[#Data],[CODIGO]],0),2),"")</f>
        <v/>
      </c>
      <c r="E621">
        <v>1</v>
      </c>
      <c r="F621" s="43" t="e">
        <f>VLOOKUP(Salidas[[#This Row],[CODIGO ]],Inventari_2[],8,FALSE)</f>
        <v>#N/A</v>
      </c>
      <c r="G621" s="44" t="e">
        <f>Salidas[[#This Row],[PRECIO]]*Salidas[[#This Row],[CANTIDAD]]</f>
        <v>#N/A</v>
      </c>
      <c r="H621" s="84" t="e">
        <f>VLOOKUP(Salidas[[#This Row],[CODIGO ]],Inventario[],10,FALSE)*Salidas[[#This Row],[CANTIDAD]]</f>
        <v>#N/A</v>
      </c>
    </row>
    <row r="622" spans="1:8" ht="40.5" customHeight="1">
      <c r="A622" s="18"/>
      <c r="B622" s="20"/>
      <c r="C622" s="86"/>
      <c r="D622" s="83" t="str">
        <f>IFERROR(INDEX(Inventari_2[#All],MATCH(Salidas[[#This Row],[CODIGO ]],Inventari_2[[#Headers],[#Data],[CODIGO]],0),2),"")</f>
        <v/>
      </c>
      <c r="E622">
        <v>1</v>
      </c>
      <c r="F622" s="43" t="e">
        <f>VLOOKUP(Salidas[[#This Row],[CODIGO ]],Inventari_2[],8,FALSE)</f>
        <v>#N/A</v>
      </c>
      <c r="G622" s="44" t="e">
        <f>Salidas[[#This Row],[PRECIO]]*Salidas[[#This Row],[CANTIDAD]]</f>
        <v>#N/A</v>
      </c>
      <c r="H622" s="84" t="e">
        <f>VLOOKUP(Salidas[[#This Row],[CODIGO ]],Inventario[],10,FALSE)*Salidas[[#This Row],[CANTIDAD]]</f>
        <v>#N/A</v>
      </c>
    </row>
    <row r="623" spans="1:8" ht="40.5" customHeight="1">
      <c r="A623" s="18"/>
      <c r="B623" s="20"/>
      <c r="C623" s="86"/>
      <c r="D623" s="83" t="str">
        <f>IFERROR(INDEX(Inventari_2[#All],MATCH(Salidas[[#This Row],[CODIGO ]],Inventari_2[[#Headers],[#Data],[CODIGO]],0),2),"")</f>
        <v/>
      </c>
      <c r="E623">
        <v>1</v>
      </c>
      <c r="F623" s="43" t="e">
        <f>VLOOKUP(Salidas[[#This Row],[CODIGO ]],Inventari_2[],8,FALSE)</f>
        <v>#N/A</v>
      </c>
      <c r="G623" s="44" t="e">
        <f>Salidas[[#This Row],[PRECIO]]*Salidas[[#This Row],[CANTIDAD]]</f>
        <v>#N/A</v>
      </c>
      <c r="H623" s="84" t="e">
        <f>VLOOKUP(Salidas[[#This Row],[CODIGO ]],Inventario[],10,FALSE)*Salidas[[#This Row],[CANTIDAD]]</f>
        <v>#N/A</v>
      </c>
    </row>
    <row r="624" spans="1:8" ht="40.5" customHeight="1">
      <c r="A624" s="18"/>
      <c r="B624" s="20"/>
      <c r="C624" s="86"/>
      <c r="D624" s="83" t="str">
        <f>IFERROR(INDEX(Inventari_2[#All],MATCH(Salidas[[#This Row],[CODIGO ]],Inventari_2[[#Headers],[#Data],[CODIGO]],0),2),"")</f>
        <v/>
      </c>
      <c r="E624">
        <v>1</v>
      </c>
      <c r="F624" s="43" t="e">
        <f>VLOOKUP(Salidas[[#This Row],[CODIGO ]],Inventari_2[],8,FALSE)</f>
        <v>#N/A</v>
      </c>
      <c r="G624" s="44" t="e">
        <f>Salidas[[#This Row],[PRECIO]]*Salidas[[#This Row],[CANTIDAD]]</f>
        <v>#N/A</v>
      </c>
      <c r="H624" s="84" t="e">
        <f>VLOOKUP(Salidas[[#This Row],[CODIGO ]],Inventario[],10,FALSE)*Salidas[[#This Row],[CANTIDAD]]</f>
        <v>#N/A</v>
      </c>
    </row>
    <row r="625" spans="1:8" ht="40.5" customHeight="1">
      <c r="A625" s="18"/>
      <c r="B625" s="20"/>
      <c r="C625" s="86"/>
      <c r="D625" s="83" t="str">
        <f>IFERROR(INDEX(Inventari_2[#All],MATCH(Salidas[[#This Row],[CODIGO ]],Inventari_2[[#Headers],[#Data],[CODIGO]],0),2),"")</f>
        <v/>
      </c>
      <c r="E625">
        <v>1</v>
      </c>
      <c r="F625" s="43" t="e">
        <f>VLOOKUP(Salidas[[#This Row],[CODIGO ]],Inventari_2[],8,FALSE)</f>
        <v>#N/A</v>
      </c>
      <c r="G625" s="44" t="e">
        <f>Salidas[[#This Row],[PRECIO]]*Salidas[[#This Row],[CANTIDAD]]</f>
        <v>#N/A</v>
      </c>
      <c r="H625" s="84" t="e">
        <f>VLOOKUP(Salidas[[#This Row],[CODIGO ]],Inventario[],10,FALSE)*Salidas[[#This Row],[CANTIDAD]]</f>
        <v>#N/A</v>
      </c>
    </row>
    <row r="626" spans="1:8" ht="40.5" customHeight="1">
      <c r="A626" s="18"/>
      <c r="B626" s="20"/>
      <c r="C626" s="86"/>
      <c r="D626" s="83" t="str">
        <f>IFERROR(INDEX(Inventari_2[#All],MATCH(Salidas[[#This Row],[CODIGO ]],Inventari_2[[#Headers],[#Data],[CODIGO]],0),2),"")</f>
        <v/>
      </c>
      <c r="E626">
        <v>1</v>
      </c>
      <c r="F626" s="43" t="e">
        <f>VLOOKUP(Salidas[[#This Row],[CODIGO ]],Inventari_2[],8,FALSE)</f>
        <v>#N/A</v>
      </c>
      <c r="G626" s="44" t="e">
        <f>Salidas[[#This Row],[PRECIO]]*Salidas[[#This Row],[CANTIDAD]]</f>
        <v>#N/A</v>
      </c>
      <c r="H626" s="84" t="e">
        <f>VLOOKUP(Salidas[[#This Row],[CODIGO ]],Inventario[],10,FALSE)*Salidas[[#This Row],[CANTIDAD]]</f>
        <v>#N/A</v>
      </c>
    </row>
    <row r="627" spans="1:8" s="57" customFormat="1" ht="40.5" customHeight="1">
      <c r="A627" s="55"/>
      <c r="B627" s="56"/>
      <c r="C627" s="86"/>
      <c r="D627" s="83" t="str">
        <f>IFERROR(INDEX(Inventari_2[#All],MATCH(Salidas[[#This Row],[CODIGO ]],Inventari_2[[#Headers],[#Data],[CODIGO]],0),2),"")</f>
        <v/>
      </c>
      <c r="E627">
        <v>1</v>
      </c>
      <c r="F627" s="58" t="e">
        <f>VLOOKUP(Salidas[[#This Row],[CODIGO ]],Inventari_2[],8,FALSE)</f>
        <v>#N/A</v>
      </c>
      <c r="G627" s="44" t="e">
        <f>Salidas[[#This Row],[PRECIO]]*Salidas[[#This Row],[CANTIDAD]]</f>
        <v>#N/A</v>
      </c>
      <c r="H627" s="84" t="e">
        <f>VLOOKUP(Salidas[[#This Row],[CODIGO ]],Inventario[],10,FALSE)*Salidas[[#This Row],[CANTIDAD]]</f>
        <v>#N/A</v>
      </c>
    </row>
    <row r="628" spans="1:8" ht="40.5" customHeight="1">
      <c r="A628" s="18"/>
      <c r="B628" s="20"/>
      <c r="C628" s="86"/>
      <c r="D628" s="83" t="str">
        <f>IFERROR(INDEX(Inventari_2[#All],MATCH(Salidas[[#This Row],[CODIGO ]],Inventari_2[[#Headers],[#Data],[CODIGO]],0),2),"")</f>
        <v/>
      </c>
      <c r="E628">
        <v>1</v>
      </c>
      <c r="F628" s="43" t="e">
        <f>VLOOKUP(Salidas[[#This Row],[CODIGO ]],Inventari_2[],8,FALSE)</f>
        <v>#N/A</v>
      </c>
      <c r="G628" s="44" t="e">
        <f>Salidas[[#This Row],[PRECIO]]*Salidas[[#This Row],[CANTIDAD]]</f>
        <v>#N/A</v>
      </c>
      <c r="H628" s="84" t="e">
        <f>VLOOKUP(Salidas[[#This Row],[CODIGO ]],Inventario[],10,FALSE)*Salidas[[#This Row],[CANTIDAD]]</f>
        <v>#N/A</v>
      </c>
    </row>
    <row r="629" spans="1:8" ht="40.5" customHeight="1">
      <c r="A629" s="18"/>
      <c r="B629" s="20"/>
      <c r="C629" s="86"/>
      <c r="D629" s="83" t="str">
        <f>IFERROR(INDEX(Inventari_2[#All],MATCH(Salidas[[#This Row],[CODIGO ]],Inventari_2[[#Headers],[#Data],[CODIGO]],0),2),"")</f>
        <v/>
      </c>
      <c r="E629">
        <v>1</v>
      </c>
      <c r="F629" s="43" t="e">
        <f>VLOOKUP(Salidas[[#This Row],[CODIGO ]],Inventari_2[],8,FALSE)</f>
        <v>#N/A</v>
      </c>
      <c r="G629" s="44" t="e">
        <f>Salidas[[#This Row],[PRECIO]]*Salidas[[#This Row],[CANTIDAD]]</f>
        <v>#N/A</v>
      </c>
      <c r="H629" s="84" t="e">
        <f>VLOOKUP(Salidas[[#This Row],[CODIGO ]],Inventario[],10,FALSE)*Salidas[[#This Row],[CANTIDAD]]</f>
        <v>#N/A</v>
      </c>
    </row>
    <row r="630" spans="1:8" ht="40.5" customHeight="1">
      <c r="A630" s="18"/>
      <c r="B630" s="20"/>
      <c r="C630" s="86"/>
      <c r="D630" s="83" t="str">
        <f>IFERROR(INDEX(Inventari_2[#All],MATCH(Salidas[[#This Row],[CODIGO ]],Inventari_2[[#Headers],[#Data],[CODIGO]],0),2),"")</f>
        <v/>
      </c>
      <c r="E630">
        <v>1</v>
      </c>
      <c r="F630" s="43" t="e">
        <f>VLOOKUP(Salidas[[#This Row],[CODIGO ]],Inventari_2[],8,FALSE)</f>
        <v>#N/A</v>
      </c>
      <c r="G630" s="44" t="e">
        <f>Salidas[[#This Row],[PRECIO]]*Salidas[[#This Row],[CANTIDAD]]</f>
        <v>#N/A</v>
      </c>
      <c r="H630" s="84" t="e">
        <f>VLOOKUP(Salidas[[#This Row],[CODIGO ]],Inventario[],10,FALSE)*Salidas[[#This Row],[CANTIDAD]]</f>
        <v>#N/A</v>
      </c>
    </row>
    <row r="631" spans="1:8" ht="40.5" customHeight="1">
      <c r="A631" s="18"/>
      <c r="B631" s="20"/>
      <c r="C631" s="86"/>
      <c r="D631" s="83" t="str">
        <f>IFERROR(INDEX(Inventari_2[#All],MATCH(Salidas[[#This Row],[CODIGO ]],Inventari_2[[#Headers],[#Data],[CODIGO]],0),2),"")</f>
        <v/>
      </c>
      <c r="E631">
        <v>1</v>
      </c>
      <c r="F631" s="43" t="e">
        <f>VLOOKUP(Salidas[[#This Row],[CODIGO ]],Inventari_2[],8,FALSE)</f>
        <v>#N/A</v>
      </c>
      <c r="G631" s="44" t="e">
        <f>Salidas[[#This Row],[PRECIO]]*Salidas[[#This Row],[CANTIDAD]]</f>
        <v>#N/A</v>
      </c>
      <c r="H631" s="84" t="e">
        <f>VLOOKUP(Salidas[[#This Row],[CODIGO ]],Inventario[],10,FALSE)*Salidas[[#This Row],[CANTIDAD]]</f>
        <v>#N/A</v>
      </c>
    </row>
    <row r="632" spans="1:8" ht="40.5" customHeight="1">
      <c r="A632" s="18"/>
      <c r="B632" s="20"/>
      <c r="C632" s="86"/>
      <c r="D632" s="83" t="str">
        <f>IFERROR(INDEX(Inventari_2[#All],MATCH(Salidas[[#This Row],[CODIGO ]],Inventari_2[[#Headers],[#Data],[CODIGO]],0),2),"")</f>
        <v/>
      </c>
      <c r="E632">
        <v>1</v>
      </c>
      <c r="F632" s="43" t="e">
        <f>VLOOKUP(Salidas[[#This Row],[CODIGO ]],Inventari_2[],8,FALSE)</f>
        <v>#N/A</v>
      </c>
      <c r="G632" s="44" t="e">
        <f>Salidas[[#This Row],[PRECIO]]*Salidas[[#This Row],[CANTIDAD]]</f>
        <v>#N/A</v>
      </c>
      <c r="H632" s="84" t="e">
        <f>VLOOKUP(Salidas[[#This Row],[CODIGO ]],Inventario[],10,FALSE)*Salidas[[#This Row],[CANTIDAD]]</f>
        <v>#N/A</v>
      </c>
    </row>
    <row r="633" spans="1:8" ht="40.5" customHeight="1">
      <c r="A633" s="18"/>
      <c r="B633" s="20"/>
      <c r="C633" s="86"/>
      <c r="D633" s="83" t="str">
        <f>IFERROR(INDEX(Inventari_2[#All],MATCH(Salidas[[#This Row],[CODIGO ]],Inventari_2[[#Headers],[#Data],[CODIGO]],0),2),"")</f>
        <v/>
      </c>
      <c r="E633">
        <v>1</v>
      </c>
      <c r="F633" s="43" t="e">
        <f>VLOOKUP(Salidas[[#This Row],[CODIGO ]],Inventari_2[],8,FALSE)</f>
        <v>#N/A</v>
      </c>
      <c r="G633" s="44" t="e">
        <f>Salidas[[#This Row],[PRECIO]]*Salidas[[#This Row],[CANTIDAD]]</f>
        <v>#N/A</v>
      </c>
      <c r="H633" s="84" t="e">
        <f>VLOOKUP(Salidas[[#This Row],[CODIGO ]],Inventario[],10,FALSE)*Salidas[[#This Row],[CANTIDAD]]</f>
        <v>#N/A</v>
      </c>
    </row>
    <row r="634" spans="1:8" ht="40.5" customHeight="1">
      <c r="A634" s="18"/>
      <c r="B634" s="20"/>
      <c r="C634" s="86"/>
      <c r="D634" s="83" t="str">
        <f>IFERROR(INDEX(Inventari_2[#All],MATCH(Salidas[[#This Row],[CODIGO ]],Inventari_2[[#Headers],[#Data],[CODIGO]],0),2),"")</f>
        <v/>
      </c>
      <c r="E634">
        <v>1</v>
      </c>
      <c r="F634" s="43" t="e">
        <f>VLOOKUP(Salidas[[#This Row],[CODIGO ]],Inventari_2[],8,FALSE)</f>
        <v>#N/A</v>
      </c>
      <c r="G634" s="44" t="e">
        <f>Salidas[[#This Row],[PRECIO]]*Salidas[[#This Row],[CANTIDAD]]</f>
        <v>#N/A</v>
      </c>
      <c r="H634" s="84" t="e">
        <f>VLOOKUP(Salidas[[#This Row],[CODIGO ]],Inventario[],10,FALSE)*Salidas[[#This Row],[CANTIDAD]]</f>
        <v>#N/A</v>
      </c>
    </row>
    <row r="635" spans="1:8" s="57" customFormat="1" ht="40.5" customHeight="1">
      <c r="A635" s="55"/>
      <c r="B635" s="56"/>
      <c r="C635" s="86"/>
      <c r="D635" s="83" t="str">
        <f>IFERROR(INDEX(Inventari_2[#All],MATCH(Salidas[[#This Row],[CODIGO ]],Inventari_2[[#Headers],[#Data],[CODIGO]],0),2),"")</f>
        <v/>
      </c>
      <c r="E635">
        <v>1</v>
      </c>
      <c r="F635" s="58" t="e">
        <f>VLOOKUP(Salidas[[#This Row],[CODIGO ]],Inventari_2[],8,FALSE)</f>
        <v>#N/A</v>
      </c>
      <c r="G635" s="44" t="e">
        <f>Salidas[[#This Row],[PRECIO]]*Salidas[[#This Row],[CANTIDAD]]</f>
        <v>#N/A</v>
      </c>
      <c r="H635" s="84" t="e">
        <f>VLOOKUP(Salidas[[#This Row],[CODIGO ]],Inventario[],10,FALSE)*Salidas[[#This Row],[CANTIDAD]]</f>
        <v>#N/A</v>
      </c>
    </row>
    <row r="636" spans="1:8" ht="40.5" customHeight="1">
      <c r="A636" s="18"/>
      <c r="B636" s="20"/>
      <c r="C636" s="86"/>
      <c r="D636" s="83" t="str">
        <f>IFERROR(INDEX(Inventari_2[#All],MATCH(Salidas[[#This Row],[CODIGO ]],Inventari_2[[#Headers],[#Data],[CODIGO]],0),2),"")</f>
        <v/>
      </c>
      <c r="E636">
        <v>1</v>
      </c>
      <c r="F636" s="43" t="e">
        <f>VLOOKUP(Salidas[[#This Row],[CODIGO ]],Inventari_2[],8,FALSE)</f>
        <v>#N/A</v>
      </c>
      <c r="G636" s="44" t="e">
        <f>Salidas[[#This Row],[PRECIO]]*Salidas[[#This Row],[CANTIDAD]]</f>
        <v>#N/A</v>
      </c>
      <c r="H636" s="84" t="e">
        <f>VLOOKUP(Salidas[[#This Row],[CODIGO ]],Inventario[],10,FALSE)*Salidas[[#This Row],[CANTIDAD]]</f>
        <v>#N/A</v>
      </c>
    </row>
    <row r="637" spans="1:8" ht="40.5" customHeight="1">
      <c r="A637" s="18"/>
      <c r="B637" s="20"/>
      <c r="C637" s="86"/>
      <c r="D637" s="83" t="str">
        <f>IFERROR(INDEX(Inventari_2[#All],MATCH(Salidas[[#This Row],[CODIGO ]],Inventari_2[[#Headers],[#Data],[CODIGO]],0),2),"")</f>
        <v/>
      </c>
      <c r="E637">
        <v>1</v>
      </c>
      <c r="F637" s="43" t="e">
        <f>VLOOKUP(Salidas[[#This Row],[CODIGO ]],Inventari_2[],8,FALSE)</f>
        <v>#N/A</v>
      </c>
      <c r="G637" s="44" t="e">
        <f>Salidas[[#This Row],[PRECIO]]*Salidas[[#This Row],[CANTIDAD]]</f>
        <v>#N/A</v>
      </c>
      <c r="H637" s="84" t="e">
        <f>VLOOKUP(Salidas[[#This Row],[CODIGO ]],Inventario[],10,FALSE)*Salidas[[#This Row],[CANTIDAD]]</f>
        <v>#N/A</v>
      </c>
    </row>
    <row r="638" spans="1:8" ht="40.5" customHeight="1">
      <c r="A638" s="18"/>
      <c r="B638" s="20"/>
      <c r="C638" s="86"/>
      <c r="D638" s="83" t="str">
        <f>IFERROR(INDEX(Inventari_2[#All],MATCH(Salidas[[#This Row],[CODIGO ]],Inventari_2[[#Headers],[#Data],[CODIGO]],0),2),"")</f>
        <v/>
      </c>
      <c r="E638">
        <v>1</v>
      </c>
      <c r="F638" s="43" t="e">
        <f>VLOOKUP(Salidas[[#This Row],[CODIGO ]],Inventari_2[],8,FALSE)</f>
        <v>#N/A</v>
      </c>
      <c r="G638" s="44" t="e">
        <f>Salidas[[#This Row],[PRECIO]]*Salidas[[#This Row],[CANTIDAD]]</f>
        <v>#N/A</v>
      </c>
      <c r="H638" s="84" t="e">
        <f>VLOOKUP(Salidas[[#This Row],[CODIGO ]],Inventario[],10,FALSE)*Salidas[[#This Row],[CANTIDAD]]</f>
        <v>#N/A</v>
      </c>
    </row>
    <row r="639" spans="1:8" ht="40.5" customHeight="1">
      <c r="A639" s="18"/>
      <c r="B639" s="20"/>
      <c r="C639" s="86"/>
      <c r="D639" s="83" t="str">
        <f>IFERROR(INDEX(Inventari_2[#All],MATCH(Salidas[[#This Row],[CODIGO ]],Inventari_2[[#Headers],[#Data],[CODIGO]],0),2),"")</f>
        <v/>
      </c>
      <c r="E639">
        <v>1</v>
      </c>
      <c r="F639" s="43" t="e">
        <f>VLOOKUP(Salidas[[#This Row],[CODIGO ]],Inventari_2[],8,FALSE)</f>
        <v>#N/A</v>
      </c>
      <c r="G639" s="44" t="e">
        <f>Salidas[[#This Row],[PRECIO]]*Salidas[[#This Row],[CANTIDAD]]</f>
        <v>#N/A</v>
      </c>
      <c r="H639" s="84" t="e">
        <f>VLOOKUP(Salidas[[#This Row],[CODIGO ]],Inventario[],10,FALSE)*Salidas[[#This Row],[CANTIDAD]]</f>
        <v>#N/A</v>
      </c>
    </row>
    <row r="640" spans="1:8" ht="40.5" customHeight="1">
      <c r="A640" s="18"/>
      <c r="B640" s="20"/>
      <c r="C640" s="86"/>
      <c r="D640" s="83" t="str">
        <f>IFERROR(INDEX(Inventari_2[#All],MATCH(Salidas[[#This Row],[CODIGO ]],Inventari_2[[#Headers],[#Data],[CODIGO]],0),2),"")</f>
        <v/>
      </c>
      <c r="E640">
        <v>1</v>
      </c>
      <c r="F640" s="43" t="e">
        <f>VLOOKUP(Salidas[[#This Row],[CODIGO ]],Inventari_2[],8,FALSE)</f>
        <v>#N/A</v>
      </c>
      <c r="G640" s="44" t="e">
        <f>Salidas[[#This Row],[PRECIO]]*Salidas[[#This Row],[CANTIDAD]]</f>
        <v>#N/A</v>
      </c>
      <c r="H640" s="84" t="e">
        <f>VLOOKUP(Salidas[[#This Row],[CODIGO ]],Inventario[],10,FALSE)*Salidas[[#This Row],[CANTIDAD]]</f>
        <v>#N/A</v>
      </c>
    </row>
    <row r="641" spans="1:8" ht="40.5" customHeight="1">
      <c r="A641" s="18"/>
      <c r="B641" s="20"/>
      <c r="C641" s="86"/>
      <c r="D641" s="83" t="str">
        <f>IFERROR(INDEX(Inventari_2[#All],MATCH(Salidas[[#This Row],[CODIGO ]],Inventari_2[[#Headers],[#Data],[CODIGO]],0),2),"")</f>
        <v/>
      </c>
      <c r="E641">
        <v>1</v>
      </c>
      <c r="F641" s="43" t="e">
        <f>VLOOKUP(Salidas[[#This Row],[CODIGO ]],Inventari_2[],8,FALSE)</f>
        <v>#N/A</v>
      </c>
      <c r="G641" s="44" t="e">
        <f>Salidas[[#This Row],[PRECIO]]*Salidas[[#This Row],[CANTIDAD]]</f>
        <v>#N/A</v>
      </c>
      <c r="H641" s="84" t="e">
        <f>VLOOKUP(Salidas[[#This Row],[CODIGO ]],Inventario[],10,FALSE)*Salidas[[#This Row],[CANTIDAD]]</f>
        <v>#N/A</v>
      </c>
    </row>
    <row r="642" spans="1:8" ht="40.5" customHeight="1">
      <c r="A642" s="18"/>
      <c r="B642" s="20"/>
      <c r="C642" s="86"/>
      <c r="D642" s="83" t="str">
        <f>IFERROR(INDEX(Inventari_2[#All],MATCH(Salidas[[#This Row],[CODIGO ]],Inventari_2[[#Headers],[#Data],[CODIGO]],0),2),"")</f>
        <v/>
      </c>
      <c r="E642">
        <v>1</v>
      </c>
      <c r="F642" s="43" t="e">
        <f>VLOOKUP(Salidas[[#This Row],[CODIGO ]],Inventari_2[],8,FALSE)</f>
        <v>#N/A</v>
      </c>
      <c r="G642" s="44" t="e">
        <f>Salidas[[#This Row],[PRECIO]]*Salidas[[#This Row],[CANTIDAD]]</f>
        <v>#N/A</v>
      </c>
      <c r="H642" s="84" t="e">
        <f>VLOOKUP(Salidas[[#This Row],[CODIGO ]],Inventario[],10,FALSE)*Salidas[[#This Row],[CANTIDAD]]</f>
        <v>#N/A</v>
      </c>
    </row>
    <row r="643" spans="1:8" ht="40.5" customHeight="1">
      <c r="A643" s="18"/>
      <c r="B643" s="20"/>
      <c r="C643" s="86"/>
      <c r="D643" s="83" t="str">
        <f>IFERROR(INDEX(Inventari_2[#All],MATCH(Salidas[[#This Row],[CODIGO ]],Inventari_2[[#Headers],[#Data],[CODIGO]],0),2),"")</f>
        <v/>
      </c>
      <c r="E643">
        <v>1</v>
      </c>
      <c r="F643" s="43" t="e">
        <f>VLOOKUP(Salidas[[#This Row],[CODIGO ]],Inventari_2[],8,FALSE)</f>
        <v>#N/A</v>
      </c>
      <c r="G643" s="44" t="e">
        <f>Salidas[[#This Row],[PRECIO]]*Salidas[[#This Row],[CANTIDAD]]</f>
        <v>#N/A</v>
      </c>
      <c r="H643" s="84" t="e">
        <f>VLOOKUP(Salidas[[#This Row],[CODIGO ]],Inventario[],10,FALSE)*Salidas[[#This Row],[CANTIDAD]]</f>
        <v>#N/A</v>
      </c>
    </row>
    <row r="644" spans="1:8" ht="40.5" customHeight="1">
      <c r="A644" s="18"/>
      <c r="B644" s="20"/>
      <c r="C644" s="86"/>
      <c r="D644" s="83" t="str">
        <f>IFERROR(INDEX(Inventari_2[#All],MATCH(Salidas[[#This Row],[CODIGO ]],Inventari_2[[#Headers],[#Data],[CODIGO]],0),2),"")</f>
        <v/>
      </c>
      <c r="E644">
        <v>1</v>
      </c>
      <c r="F644" s="43" t="e">
        <f>VLOOKUP(Salidas[[#This Row],[CODIGO ]],Inventari_2[],8,FALSE)</f>
        <v>#N/A</v>
      </c>
      <c r="G644" s="44" t="e">
        <f>Salidas[[#This Row],[PRECIO]]*Salidas[[#This Row],[CANTIDAD]]</f>
        <v>#N/A</v>
      </c>
      <c r="H644" s="84" t="e">
        <f>VLOOKUP(Salidas[[#This Row],[CODIGO ]],Inventario[],10,FALSE)*Salidas[[#This Row],[CANTIDAD]]</f>
        <v>#N/A</v>
      </c>
    </row>
    <row r="645" spans="1:8" ht="40.5" customHeight="1">
      <c r="A645" s="18"/>
      <c r="B645" s="20"/>
      <c r="C645" s="86"/>
      <c r="D645" s="83" t="str">
        <f>IFERROR(INDEX(Inventari_2[#All],MATCH(Salidas[[#This Row],[CODIGO ]],Inventari_2[[#Headers],[#Data],[CODIGO]],0),2),"")</f>
        <v/>
      </c>
      <c r="E645">
        <v>1</v>
      </c>
      <c r="F645" s="43" t="e">
        <f>VLOOKUP(Salidas[[#This Row],[CODIGO ]],Inventari_2[],8,FALSE)</f>
        <v>#N/A</v>
      </c>
      <c r="G645" s="44" t="e">
        <f>Salidas[[#This Row],[PRECIO]]*Salidas[[#This Row],[CANTIDAD]]</f>
        <v>#N/A</v>
      </c>
      <c r="H645" s="84" t="e">
        <f>VLOOKUP(Salidas[[#This Row],[CODIGO ]],Inventario[],10,FALSE)*Salidas[[#This Row],[CANTIDAD]]</f>
        <v>#N/A</v>
      </c>
    </row>
    <row r="646" spans="1:8" ht="40.5" customHeight="1">
      <c r="A646" s="18"/>
      <c r="B646" s="20"/>
      <c r="C646" s="86"/>
      <c r="D646" s="83" t="str">
        <f>IFERROR(INDEX(Inventari_2[#All],MATCH(Salidas[[#This Row],[CODIGO ]],Inventari_2[[#Headers],[#Data],[CODIGO]],0),2),"")</f>
        <v/>
      </c>
      <c r="E646">
        <v>1</v>
      </c>
      <c r="F646" s="43" t="e">
        <f>VLOOKUP(Salidas[[#This Row],[CODIGO ]],Inventari_2[],8,FALSE)</f>
        <v>#N/A</v>
      </c>
      <c r="G646" s="44" t="e">
        <f>Salidas[[#This Row],[PRECIO]]*Salidas[[#This Row],[CANTIDAD]]</f>
        <v>#N/A</v>
      </c>
      <c r="H646" s="84" t="e">
        <f>VLOOKUP(Salidas[[#This Row],[CODIGO ]],Inventario[],10,FALSE)*Salidas[[#This Row],[CANTIDAD]]</f>
        <v>#N/A</v>
      </c>
    </row>
    <row r="647" spans="1:8" ht="40.5" customHeight="1">
      <c r="A647" s="18"/>
      <c r="B647" s="20"/>
      <c r="C647" s="86"/>
      <c r="D647" s="83" t="str">
        <f>IFERROR(INDEX(Inventari_2[#All],MATCH(Salidas[[#This Row],[CODIGO ]],Inventari_2[[#Headers],[#Data],[CODIGO]],0),2),"")</f>
        <v/>
      </c>
      <c r="E647">
        <v>1</v>
      </c>
      <c r="F647" s="43" t="e">
        <f>VLOOKUP(Salidas[[#This Row],[CODIGO ]],Inventari_2[],8,FALSE)</f>
        <v>#N/A</v>
      </c>
      <c r="G647" s="44" t="e">
        <f>Salidas[[#This Row],[PRECIO]]*Salidas[[#This Row],[CANTIDAD]]</f>
        <v>#N/A</v>
      </c>
      <c r="H647" s="84" t="e">
        <f>VLOOKUP(Salidas[[#This Row],[CODIGO ]],Inventario[],10,FALSE)*Salidas[[#This Row],[CANTIDAD]]</f>
        <v>#N/A</v>
      </c>
    </row>
    <row r="648" spans="1:8" s="57" customFormat="1" ht="40.5" customHeight="1">
      <c r="A648" s="55"/>
      <c r="B648" s="56"/>
      <c r="C648" s="86"/>
      <c r="D648" s="83" t="str">
        <f>IFERROR(INDEX(Inventari_2[#All],MATCH(Salidas[[#This Row],[CODIGO ]],Inventari_2[[#Headers],[#Data],[CODIGO]],0),2),"")</f>
        <v/>
      </c>
      <c r="E648">
        <v>1</v>
      </c>
      <c r="F648" s="58" t="e">
        <f>VLOOKUP(Salidas[[#This Row],[CODIGO ]],Inventari_2[],8,FALSE)</f>
        <v>#N/A</v>
      </c>
      <c r="G648" s="44" t="e">
        <f>Salidas[[#This Row],[PRECIO]]*Salidas[[#This Row],[CANTIDAD]]</f>
        <v>#N/A</v>
      </c>
      <c r="H648" s="84" t="e">
        <f>VLOOKUP(Salidas[[#This Row],[CODIGO ]],Inventario[],10,FALSE)*Salidas[[#This Row],[CANTIDAD]]</f>
        <v>#N/A</v>
      </c>
    </row>
    <row r="649" spans="1:8" ht="40.5" customHeight="1">
      <c r="A649" s="18"/>
      <c r="B649" s="20"/>
      <c r="C649" s="86"/>
      <c r="D649" s="83" t="str">
        <f>IFERROR(INDEX(Inventari_2[#All],MATCH(Salidas[[#This Row],[CODIGO ]],Inventari_2[[#Headers],[#Data],[CODIGO]],0),2),"")</f>
        <v/>
      </c>
      <c r="E649">
        <v>1</v>
      </c>
      <c r="F649" s="43" t="e">
        <f>VLOOKUP(Salidas[[#This Row],[CODIGO ]],Inventari_2[],8,FALSE)</f>
        <v>#N/A</v>
      </c>
      <c r="G649" s="44" t="e">
        <f>Salidas[[#This Row],[PRECIO]]*Salidas[[#This Row],[CANTIDAD]]</f>
        <v>#N/A</v>
      </c>
      <c r="H649" s="84" t="e">
        <f>VLOOKUP(Salidas[[#This Row],[CODIGO ]],Inventario[],10,FALSE)*Salidas[[#This Row],[CANTIDAD]]</f>
        <v>#N/A</v>
      </c>
    </row>
    <row r="650" spans="1:8" ht="40.5" customHeight="1">
      <c r="A650" s="18"/>
      <c r="B650" s="20"/>
      <c r="C650" s="86"/>
      <c r="D650" s="83" t="str">
        <f>IFERROR(INDEX(Inventari_2[#All],MATCH(Salidas[[#This Row],[CODIGO ]],Inventari_2[[#Headers],[#Data],[CODIGO]],0),2),"")</f>
        <v/>
      </c>
      <c r="E650">
        <v>1</v>
      </c>
      <c r="F650" s="43" t="e">
        <f>VLOOKUP(Salidas[[#This Row],[CODIGO ]],Inventari_2[],8,FALSE)</f>
        <v>#N/A</v>
      </c>
      <c r="G650" s="44" t="e">
        <f>Salidas[[#This Row],[PRECIO]]*Salidas[[#This Row],[CANTIDAD]]</f>
        <v>#N/A</v>
      </c>
      <c r="H650" s="84" t="e">
        <f>VLOOKUP(Salidas[[#This Row],[CODIGO ]],Inventario[],10,FALSE)*Salidas[[#This Row],[CANTIDAD]]</f>
        <v>#N/A</v>
      </c>
    </row>
    <row r="651" spans="1:8" ht="40.5" customHeight="1">
      <c r="A651" s="18"/>
      <c r="B651" s="20"/>
      <c r="C651" s="86"/>
      <c r="D651" s="83" t="str">
        <f>IFERROR(INDEX(Inventari_2[#All],MATCH(Salidas[[#This Row],[CODIGO ]],Inventari_2[[#Headers],[#Data],[CODIGO]],0),2),"")</f>
        <v/>
      </c>
      <c r="E651">
        <v>1</v>
      </c>
      <c r="F651" s="43" t="e">
        <f>VLOOKUP(Salidas[[#This Row],[CODIGO ]],Inventari_2[],8,FALSE)</f>
        <v>#N/A</v>
      </c>
      <c r="G651" s="44" t="e">
        <f>Salidas[[#This Row],[PRECIO]]*Salidas[[#This Row],[CANTIDAD]]</f>
        <v>#N/A</v>
      </c>
      <c r="H651" s="84" t="e">
        <f>VLOOKUP(Salidas[[#This Row],[CODIGO ]],Inventario[],10,FALSE)*Salidas[[#This Row],[CANTIDAD]]</f>
        <v>#N/A</v>
      </c>
    </row>
    <row r="652" spans="1:8" ht="40.5" customHeight="1">
      <c r="A652" s="18"/>
      <c r="B652" s="20"/>
      <c r="C652" s="86"/>
      <c r="D652" s="83" t="str">
        <f>IFERROR(INDEX(Inventari_2[#All],MATCH(Salidas[[#This Row],[CODIGO ]],Inventari_2[[#Headers],[#Data],[CODIGO]],0),2),"")</f>
        <v/>
      </c>
      <c r="E652">
        <v>1</v>
      </c>
      <c r="F652" s="43" t="e">
        <f>VLOOKUP(Salidas[[#This Row],[CODIGO ]],Inventari_2[],8,FALSE)</f>
        <v>#N/A</v>
      </c>
      <c r="G652" s="44" t="e">
        <f>Salidas[[#This Row],[PRECIO]]*Salidas[[#This Row],[CANTIDAD]]</f>
        <v>#N/A</v>
      </c>
      <c r="H652" s="84" t="e">
        <f>VLOOKUP(Salidas[[#This Row],[CODIGO ]],Inventario[],10,FALSE)*Salidas[[#This Row],[CANTIDAD]]</f>
        <v>#N/A</v>
      </c>
    </row>
    <row r="653" spans="1:8" ht="40.5" customHeight="1">
      <c r="A653" s="18"/>
      <c r="B653" s="20"/>
      <c r="C653" s="86"/>
      <c r="D653" s="83" t="str">
        <f>IFERROR(INDEX(Inventari_2[#All],MATCH(Salidas[[#This Row],[CODIGO ]],Inventari_2[[#Headers],[#Data],[CODIGO]],0),2),"")</f>
        <v/>
      </c>
      <c r="E653">
        <v>1</v>
      </c>
      <c r="F653" s="43" t="e">
        <f>VLOOKUP(Salidas[[#This Row],[CODIGO ]],Inventari_2[],8,FALSE)</f>
        <v>#N/A</v>
      </c>
      <c r="G653" s="44" t="e">
        <f>Salidas[[#This Row],[PRECIO]]*Salidas[[#This Row],[CANTIDAD]]</f>
        <v>#N/A</v>
      </c>
      <c r="H653" s="84" t="e">
        <f>VLOOKUP(Salidas[[#This Row],[CODIGO ]],Inventario[],10,FALSE)*Salidas[[#This Row],[CANTIDAD]]</f>
        <v>#N/A</v>
      </c>
    </row>
    <row r="654" spans="1:8" ht="40.5" customHeight="1">
      <c r="A654" s="18"/>
      <c r="B654" s="20"/>
      <c r="C654" s="86"/>
      <c r="D654" s="83" t="str">
        <f>IFERROR(INDEX(Inventari_2[#All],MATCH(Salidas[[#This Row],[CODIGO ]],Inventari_2[[#Headers],[#Data],[CODIGO]],0),2),"")</f>
        <v/>
      </c>
      <c r="E654">
        <v>1</v>
      </c>
      <c r="F654" s="43" t="e">
        <f>VLOOKUP(Salidas[[#This Row],[CODIGO ]],Inventari_2[],8,FALSE)</f>
        <v>#N/A</v>
      </c>
      <c r="G654" s="44" t="e">
        <f>Salidas[[#This Row],[PRECIO]]*Salidas[[#This Row],[CANTIDAD]]</f>
        <v>#N/A</v>
      </c>
      <c r="H654" s="84" t="e">
        <f>VLOOKUP(Salidas[[#This Row],[CODIGO ]],Inventario[],10,FALSE)*Salidas[[#This Row],[CANTIDAD]]</f>
        <v>#N/A</v>
      </c>
    </row>
    <row r="655" spans="1:8" ht="40.5" customHeight="1">
      <c r="A655" s="18"/>
      <c r="B655" s="20"/>
      <c r="C655" s="86"/>
      <c r="D655" s="83" t="str">
        <f>IFERROR(INDEX(Inventari_2[#All],MATCH(Salidas[[#This Row],[CODIGO ]],Inventari_2[[#Headers],[#Data],[CODIGO]],0),2),"")</f>
        <v/>
      </c>
      <c r="E655">
        <v>1</v>
      </c>
      <c r="F655" s="43" t="e">
        <f>VLOOKUP(Salidas[[#This Row],[CODIGO ]],Inventari_2[],8,FALSE)</f>
        <v>#N/A</v>
      </c>
      <c r="G655" s="44" t="e">
        <f>Salidas[[#This Row],[PRECIO]]*Salidas[[#This Row],[CANTIDAD]]</f>
        <v>#N/A</v>
      </c>
      <c r="H655" s="84" t="e">
        <f>VLOOKUP(Salidas[[#This Row],[CODIGO ]],Inventario[],10,FALSE)*Salidas[[#This Row],[CANTIDAD]]</f>
        <v>#N/A</v>
      </c>
    </row>
    <row r="656" spans="1:8" ht="40.5" customHeight="1">
      <c r="A656" s="18"/>
      <c r="B656" s="20"/>
      <c r="C656" s="86"/>
      <c r="D656" s="83" t="str">
        <f>IFERROR(INDEX(Inventari_2[#All],MATCH(Salidas[[#This Row],[CODIGO ]],Inventari_2[[#Headers],[#Data],[CODIGO]],0),2),"")</f>
        <v/>
      </c>
      <c r="E656">
        <v>1</v>
      </c>
      <c r="F656" s="43" t="e">
        <f>VLOOKUP(Salidas[[#This Row],[CODIGO ]],Inventari_2[],8,FALSE)</f>
        <v>#N/A</v>
      </c>
      <c r="G656" s="44" t="e">
        <f>Salidas[[#This Row],[PRECIO]]*Salidas[[#This Row],[CANTIDAD]]</f>
        <v>#N/A</v>
      </c>
      <c r="H656" s="84" t="e">
        <f>VLOOKUP(Salidas[[#This Row],[CODIGO ]],Inventario[],10,FALSE)*Salidas[[#This Row],[CANTIDAD]]</f>
        <v>#N/A</v>
      </c>
    </row>
    <row r="657" spans="1:8" ht="40.5" customHeight="1">
      <c r="A657" s="18"/>
      <c r="B657" s="20"/>
      <c r="C657" s="86"/>
      <c r="D657" s="83" t="str">
        <f>IFERROR(INDEX(Inventari_2[#All],MATCH(Salidas[[#This Row],[CODIGO ]],Inventari_2[[#Headers],[#Data],[CODIGO]],0),2),"")</f>
        <v/>
      </c>
      <c r="E657">
        <v>1</v>
      </c>
      <c r="F657" s="43" t="e">
        <f>VLOOKUP(Salidas[[#This Row],[CODIGO ]],Inventari_2[],8,FALSE)</f>
        <v>#N/A</v>
      </c>
      <c r="G657" s="44" t="e">
        <f>Salidas[[#This Row],[PRECIO]]*Salidas[[#This Row],[CANTIDAD]]</f>
        <v>#N/A</v>
      </c>
      <c r="H657" s="84" t="e">
        <f>VLOOKUP(Salidas[[#This Row],[CODIGO ]],Inventario[],10,FALSE)*Salidas[[#This Row],[CANTIDAD]]</f>
        <v>#N/A</v>
      </c>
    </row>
    <row r="658" spans="1:8" ht="40.5" customHeight="1">
      <c r="A658" s="18"/>
      <c r="B658" s="20"/>
      <c r="C658" s="86"/>
      <c r="D658" s="83" t="str">
        <f>IFERROR(INDEX(Inventari_2[#All],MATCH(Salidas[[#This Row],[CODIGO ]],Inventari_2[[#Headers],[#Data],[CODIGO]],0),2),"")</f>
        <v/>
      </c>
      <c r="E658">
        <v>1</v>
      </c>
      <c r="F658" s="43" t="e">
        <f>VLOOKUP(Salidas[[#This Row],[CODIGO ]],Inventari_2[],8,FALSE)</f>
        <v>#N/A</v>
      </c>
      <c r="G658" s="44" t="e">
        <f>Salidas[[#This Row],[PRECIO]]*Salidas[[#This Row],[CANTIDAD]]</f>
        <v>#N/A</v>
      </c>
      <c r="H658" s="84" t="e">
        <f>VLOOKUP(Salidas[[#This Row],[CODIGO ]],Inventario[],10,FALSE)*Salidas[[#This Row],[CANTIDAD]]</f>
        <v>#N/A</v>
      </c>
    </row>
    <row r="659" spans="1:8" ht="40.5" customHeight="1">
      <c r="A659" s="18"/>
      <c r="B659" s="20"/>
      <c r="C659" s="86"/>
      <c r="D659" s="83" t="str">
        <f>IFERROR(INDEX(Inventari_2[#All],MATCH(Salidas[[#This Row],[CODIGO ]],Inventari_2[[#Headers],[#Data],[CODIGO]],0),2),"")</f>
        <v/>
      </c>
      <c r="E659">
        <v>1</v>
      </c>
      <c r="F659" s="43" t="e">
        <f>VLOOKUP(Salidas[[#This Row],[CODIGO ]],Inventari_2[],8,FALSE)</f>
        <v>#N/A</v>
      </c>
      <c r="G659" s="44" t="e">
        <f>Salidas[[#This Row],[PRECIO]]*Salidas[[#This Row],[CANTIDAD]]</f>
        <v>#N/A</v>
      </c>
      <c r="H659" s="84" t="e">
        <f>VLOOKUP(Salidas[[#This Row],[CODIGO ]],Inventario[],10,FALSE)*Salidas[[#This Row],[CANTIDAD]]</f>
        <v>#N/A</v>
      </c>
    </row>
    <row r="660" spans="1:8" ht="40.5" customHeight="1">
      <c r="A660" s="18"/>
      <c r="B660" s="20"/>
      <c r="C660" s="86"/>
      <c r="D660" s="83" t="str">
        <f>IFERROR(INDEX(Inventari_2[#All],MATCH(Salidas[[#This Row],[CODIGO ]],Inventari_2[[#Headers],[#Data],[CODIGO]],0),2),"")</f>
        <v/>
      </c>
      <c r="E660">
        <v>1</v>
      </c>
      <c r="F660" s="43" t="e">
        <f>VLOOKUP(Salidas[[#This Row],[CODIGO ]],Inventari_2[],8,FALSE)</f>
        <v>#N/A</v>
      </c>
      <c r="G660" s="44" t="e">
        <f>Salidas[[#This Row],[PRECIO]]*Salidas[[#This Row],[CANTIDAD]]</f>
        <v>#N/A</v>
      </c>
      <c r="H660" s="84" t="e">
        <f>VLOOKUP(Salidas[[#This Row],[CODIGO ]],Inventario[],10,FALSE)*Salidas[[#This Row],[CANTIDAD]]</f>
        <v>#N/A</v>
      </c>
    </row>
    <row r="661" spans="1:8" ht="40.5" customHeight="1">
      <c r="A661" s="18"/>
      <c r="B661" s="20"/>
      <c r="C661" s="86"/>
      <c r="D661" s="83" t="str">
        <f>IFERROR(INDEX(Inventari_2[#All],MATCH(Salidas[[#This Row],[CODIGO ]],Inventari_2[[#Headers],[#Data],[CODIGO]],0),2),"")</f>
        <v/>
      </c>
      <c r="E661">
        <v>1</v>
      </c>
      <c r="F661" s="43" t="e">
        <f>VLOOKUP(Salidas[[#This Row],[CODIGO ]],Inventari_2[],8,FALSE)</f>
        <v>#N/A</v>
      </c>
      <c r="G661" s="44" t="e">
        <f>Salidas[[#This Row],[PRECIO]]*Salidas[[#This Row],[CANTIDAD]]</f>
        <v>#N/A</v>
      </c>
      <c r="H661" s="84" t="e">
        <f>VLOOKUP(Salidas[[#This Row],[CODIGO ]],Inventario[],10,FALSE)*Salidas[[#This Row],[CANTIDAD]]</f>
        <v>#N/A</v>
      </c>
    </row>
    <row r="662" spans="1:8" ht="40.5" customHeight="1">
      <c r="A662" s="18"/>
      <c r="B662" s="20"/>
      <c r="C662" s="86"/>
      <c r="D662" s="83" t="str">
        <f>IFERROR(INDEX(Inventari_2[#All],MATCH(Salidas[[#This Row],[CODIGO ]],Inventari_2[[#Headers],[#Data],[CODIGO]],0),2),"")</f>
        <v/>
      </c>
      <c r="E662">
        <v>1</v>
      </c>
      <c r="F662" s="43" t="e">
        <f>VLOOKUP(Salidas[[#This Row],[CODIGO ]],Inventari_2[],8,FALSE)</f>
        <v>#N/A</v>
      </c>
      <c r="G662" s="44" t="e">
        <f>Salidas[[#This Row],[PRECIO]]*Salidas[[#This Row],[CANTIDAD]]</f>
        <v>#N/A</v>
      </c>
      <c r="H662" s="84" t="e">
        <f>VLOOKUP(Salidas[[#This Row],[CODIGO ]],Inventario[],10,FALSE)*Salidas[[#This Row],[CANTIDAD]]</f>
        <v>#N/A</v>
      </c>
    </row>
    <row r="663" spans="1:8" ht="40.5" customHeight="1">
      <c r="A663" s="18"/>
      <c r="B663" s="20"/>
      <c r="C663" s="86"/>
      <c r="D663" s="83" t="str">
        <f>IFERROR(INDEX(Inventari_2[#All],MATCH(Salidas[[#This Row],[CODIGO ]],Inventari_2[[#Headers],[#Data],[CODIGO]],0),2),"")</f>
        <v/>
      </c>
      <c r="E663">
        <v>1</v>
      </c>
      <c r="F663" s="43" t="e">
        <f>VLOOKUP(Salidas[[#This Row],[CODIGO ]],Inventari_2[],8,FALSE)</f>
        <v>#N/A</v>
      </c>
      <c r="G663" s="44" t="e">
        <f>Salidas[[#This Row],[PRECIO]]*Salidas[[#This Row],[CANTIDAD]]</f>
        <v>#N/A</v>
      </c>
      <c r="H663" s="84" t="e">
        <f>VLOOKUP(Salidas[[#This Row],[CODIGO ]],Inventario[],10,FALSE)*Salidas[[#This Row],[CANTIDAD]]</f>
        <v>#N/A</v>
      </c>
    </row>
    <row r="664" spans="1:8" ht="40.5" customHeight="1">
      <c r="A664" s="18"/>
      <c r="B664" s="20"/>
      <c r="C664" s="86"/>
      <c r="D664" s="83" t="str">
        <f>IFERROR(INDEX(Inventari_2[#All],MATCH(Salidas[[#This Row],[CODIGO ]],Inventari_2[[#Headers],[#Data],[CODIGO]],0),2),"")</f>
        <v/>
      </c>
      <c r="E664">
        <v>1</v>
      </c>
      <c r="F664" s="43" t="e">
        <f>VLOOKUP(Salidas[[#This Row],[CODIGO ]],Inventari_2[],8,FALSE)</f>
        <v>#N/A</v>
      </c>
      <c r="G664" s="44" t="e">
        <f>Salidas[[#This Row],[PRECIO]]*Salidas[[#This Row],[CANTIDAD]]</f>
        <v>#N/A</v>
      </c>
      <c r="H664" s="84" t="e">
        <f>VLOOKUP(Salidas[[#This Row],[CODIGO ]],Inventario[],10,FALSE)*Salidas[[#This Row],[CANTIDAD]]</f>
        <v>#N/A</v>
      </c>
    </row>
    <row r="665" spans="1:8" ht="40.5" customHeight="1">
      <c r="A665" s="18"/>
      <c r="B665" s="20"/>
      <c r="C665" s="86"/>
      <c r="D665" s="83" t="str">
        <f>IFERROR(INDEX(Inventari_2[#All],MATCH(Salidas[[#This Row],[CODIGO ]],Inventari_2[[#Headers],[#Data],[CODIGO]],0),2),"")</f>
        <v/>
      </c>
      <c r="E665">
        <v>1</v>
      </c>
      <c r="F665" s="43" t="e">
        <f>VLOOKUP(Salidas[[#This Row],[CODIGO ]],Inventari_2[],8,FALSE)</f>
        <v>#N/A</v>
      </c>
      <c r="G665" s="44" t="e">
        <f>Salidas[[#This Row],[PRECIO]]*Salidas[[#This Row],[CANTIDAD]]</f>
        <v>#N/A</v>
      </c>
      <c r="H665" s="84" t="e">
        <f>VLOOKUP(Salidas[[#This Row],[CODIGO ]],Inventario[],10,FALSE)*Salidas[[#This Row],[CANTIDAD]]</f>
        <v>#N/A</v>
      </c>
    </row>
    <row r="666" spans="1:8" ht="40.5" customHeight="1">
      <c r="A666" s="18"/>
      <c r="B666" s="20"/>
      <c r="C666" s="86"/>
      <c r="D666" s="83" t="str">
        <f>IFERROR(INDEX(Inventari_2[#All],MATCH(Salidas[[#This Row],[CODIGO ]],Inventari_2[[#Headers],[#Data],[CODIGO]],0),2),"")</f>
        <v/>
      </c>
      <c r="E666">
        <v>1</v>
      </c>
      <c r="F666" s="43" t="e">
        <f>VLOOKUP(Salidas[[#This Row],[CODIGO ]],Inventari_2[],8,FALSE)</f>
        <v>#N/A</v>
      </c>
      <c r="G666" s="44" t="e">
        <f>Salidas[[#This Row],[PRECIO]]*Salidas[[#This Row],[CANTIDAD]]</f>
        <v>#N/A</v>
      </c>
      <c r="H666" s="84" t="e">
        <f>VLOOKUP(Salidas[[#This Row],[CODIGO ]],Inventario[],10,FALSE)*Salidas[[#This Row],[CANTIDAD]]</f>
        <v>#N/A</v>
      </c>
    </row>
    <row r="667" spans="1:8" ht="40.5" customHeight="1">
      <c r="A667" s="18"/>
      <c r="B667" s="20"/>
      <c r="C667" s="86"/>
      <c r="D667" s="83" t="str">
        <f>IFERROR(INDEX(Inventari_2[#All],MATCH(Salidas[[#This Row],[CODIGO ]],Inventari_2[[#Headers],[#Data],[CODIGO]],0),2),"")</f>
        <v/>
      </c>
      <c r="E667">
        <v>1</v>
      </c>
      <c r="F667" s="43" t="e">
        <f>VLOOKUP(Salidas[[#This Row],[CODIGO ]],Inventari_2[],8,FALSE)</f>
        <v>#N/A</v>
      </c>
      <c r="G667" s="44" t="e">
        <f>Salidas[[#This Row],[PRECIO]]*Salidas[[#This Row],[CANTIDAD]]</f>
        <v>#N/A</v>
      </c>
      <c r="H667" s="84" t="e">
        <f>VLOOKUP(Salidas[[#This Row],[CODIGO ]],Inventario[],10,FALSE)*Salidas[[#This Row],[CANTIDAD]]</f>
        <v>#N/A</v>
      </c>
    </row>
    <row r="668" spans="1:8" ht="40.5" customHeight="1">
      <c r="A668" s="18"/>
      <c r="B668" s="20"/>
      <c r="C668" s="86"/>
      <c r="D668" s="83" t="str">
        <f>IFERROR(INDEX(Inventari_2[#All],MATCH(Salidas[[#This Row],[CODIGO ]],Inventari_2[[#Headers],[#Data],[CODIGO]],0),2),"")</f>
        <v/>
      </c>
      <c r="E668">
        <v>1</v>
      </c>
      <c r="F668" s="43" t="e">
        <f>VLOOKUP(Salidas[[#This Row],[CODIGO ]],Inventari_2[],8,FALSE)</f>
        <v>#N/A</v>
      </c>
      <c r="G668" s="44" t="e">
        <f>Salidas[[#This Row],[PRECIO]]*Salidas[[#This Row],[CANTIDAD]]</f>
        <v>#N/A</v>
      </c>
      <c r="H668" s="84" t="e">
        <f>VLOOKUP(Salidas[[#This Row],[CODIGO ]],Inventario[],10,FALSE)*Salidas[[#This Row],[CANTIDAD]]</f>
        <v>#N/A</v>
      </c>
    </row>
    <row r="669" spans="1:8" ht="40.5" customHeight="1">
      <c r="A669" s="18"/>
      <c r="B669" s="20"/>
      <c r="C669" s="86"/>
      <c r="D669" s="83" t="str">
        <f>IFERROR(INDEX(Inventari_2[#All],MATCH(Salidas[[#This Row],[CODIGO ]],Inventari_2[[#Headers],[#Data],[CODIGO]],0),2),"")</f>
        <v/>
      </c>
      <c r="E669">
        <v>1</v>
      </c>
      <c r="F669" s="43" t="e">
        <f>VLOOKUP(Salidas[[#This Row],[CODIGO ]],Inventari_2[],8,FALSE)</f>
        <v>#N/A</v>
      </c>
      <c r="G669" s="44" t="e">
        <f>Salidas[[#This Row],[PRECIO]]*Salidas[[#This Row],[CANTIDAD]]</f>
        <v>#N/A</v>
      </c>
      <c r="H669" s="84" t="e">
        <f>VLOOKUP(Salidas[[#This Row],[CODIGO ]],Inventario[],10,FALSE)*Salidas[[#This Row],[CANTIDAD]]</f>
        <v>#N/A</v>
      </c>
    </row>
    <row r="670" spans="1:8" ht="40.5" customHeight="1">
      <c r="A670" s="18"/>
      <c r="B670" s="20"/>
      <c r="C670" s="86"/>
      <c r="D670" s="83" t="str">
        <f>IFERROR(INDEX(Inventari_2[#All],MATCH(Salidas[[#This Row],[CODIGO ]],Inventari_2[[#Headers],[#Data],[CODIGO]],0),2),"")</f>
        <v/>
      </c>
      <c r="E670">
        <v>1</v>
      </c>
      <c r="F670" s="43" t="e">
        <f>VLOOKUP(Salidas[[#This Row],[CODIGO ]],Inventari_2[],8,FALSE)</f>
        <v>#N/A</v>
      </c>
      <c r="G670" s="44" t="e">
        <f>Salidas[[#This Row],[PRECIO]]*Salidas[[#This Row],[CANTIDAD]]</f>
        <v>#N/A</v>
      </c>
      <c r="H670" s="84" t="e">
        <f>VLOOKUP(Salidas[[#This Row],[CODIGO ]],Inventario[],10,FALSE)*Salidas[[#This Row],[CANTIDAD]]</f>
        <v>#N/A</v>
      </c>
    </row>
    <row r="671" spans="1:8" ht="40.5" customHeight="1">
      <c r="A671" s="18"/>
      <c r="B671" s="20"/>
      <c r="C671" s="86"/>
      <c r="D671" s="83" t="str">
        <f>IFERROR(INDEX(Inventari_2[#All],MATCH(Salidas[[#This Row],[CODIGO ]],Inventari_2[[#Headers],[#Data],[CODIGO]],0),2),"")</f>
        <v/>
      </c>
      <c r="E671">
        <v>1</v>
      </c>
      <c r="F671" s="43" t="e">
        <f>VLOOKUP(Salidas[[#This Row],[CODIGO ]],Inventari_2[],8,FALSE)</f>
        <v>#N/A</v>
      </c>
      <c r="G671" s="44" t="e">
        <f>Salidas[[#This Row],[PRECIO]]*Salidas[[#This Row],[CANTIDAD]]</f>
        <v>#N/A</v>
      </c>
      <c r="H671" s="84" t="e">
        <f>VLOOKUP(Salidas[[#This Row],[CODIGO ]],Inventario[],10,FALSE)*Salidas[[#This Row],[CANTIDAD]]</f>
        <v>#N/A</v>
      </c>
    </row>
    <row r="672" spans="1:8" ht="40.5" customHeight="1">
      <c r="A672" s="18"/>
      <c r="B672" s="20"/>
      <c r="C672" s="86"/>
      <c r="D672" s="83" t="str">
        <f>IFERROR(INDEX(Inventari_2[#All],MATCH(Salidas[[#This Row],[CODIGO ]],Inventari_2[[#Headers],[#Data],[CODIGO]],0),2),"")</f>
        <v/>
      </c>
      <c r="E672">
        <v>1</v>
      </c>
      <c r="F672" s="43" t="e">
        <f>VLOOKUP(Salidas[[#This Row],[CODIGO ]],Inventari_2[],8,FALSE)</f>
        <v>#N/A</v>
      </c>
      <c r="G672" s="44" t="e">
        <f>Salidas[[#This Row],[PRECIO]]*Salidas[[#This Row],[CANTIDAD]]</f>
        <v>#N/A</v>
      </c>
      <c r="H672" s="84" t="e">
        <f>VLOOKUP(Salidas[[#This Row],[CODIGO ]],Inventario[],10,FALSE)*Salidas[[#This Row],[CANTIDAD]]</f>
        <v>#N/A</v>
      </c>
    </row>
    <row r="673" spans="1:8" ht="40.5" customHeight="1">
      <c r="A673" s="18"/>
      <c r="B673" s="20"/>
      <c r="C673" s="86"/>
      <c r="D673" s="83" t="str">
        <f>IFERROR(INDEX(Inventari_2[#All],MATCH(Salidas[[#This Row],[CODIGO ]],Inventari_2[[#Headers],[#Data],[CODIGO]],0),2),"")</f>
        <v/>
      </c>
      <c r="E673">
        <v>1</v>
      </c>
      <c r="F673" s="43" t="e">
        <f>VLOOKUP(Salidas[[#This Row],[CODIGO ]],Inventari_2[],8,FALSE)</f>
        <v>#N/A</v>
      </c>
      <c r="G673" s="44" t="e">
        <f>Salidas[[#This Row],[PRECIO]]*Salidas[[#This Row],[CANTIDAD]]</f>
        <v>#N/A</v>
      </c>
      <c r="H673" s="84" t="e">
        <f>VLOOKUP(Salidas[[#This Row],[CODIGO ]],Inventario[],10,FALSE)*Salidas[[#This Row],[CANTIDAD]]</f>
        <v>#N/A</v>
      </c>
    </row>
    <row r="674" spans="1:8" ht="40.5" customHeight="1">
      <c r="A674" s="18"/>
      <c r="B674" s="20"/>
      <c r="C674" s="86"/>
      <c r="D674" s="83" t="str">
        <f>IFERROR(INDEX(Inventari_2[#All],MATCH(Salidas[[#This Row],[CODIGO ]],Inventari_2[[#Headers],[#Data],[CODIGO]],0),2),"")</f>
        <v/>
      </c>
      <c r="E674">
        <v>1</v>
      </c>
      <c r="F674" s="43" t="e">
        <f>VLOOKUP(Salidas[[#This Row],[CODIGO ]],Inventari_2[],8,FALSE)</f>
        <v>#N/A</v>
      </c>
      <c r="G674" s="44" t="e">
        <f>Salidas[[#This Row],[PRECIO]]*Salidas[[#This Row],[CANTIDAD]]</f>
        <v>#N/A</v>
      </c>
      <c r="H674" s="84" t="e">
        <f>VLOOKUP(Salidas[[#This Row],[CODIGO ]],Inventario[],10,FALSE)*Salidas[[#This Row],[CANTIDAD]]</f>
        <v>#N/A</v>
      </c>
    </row>
    <row r="675" spans="1:8" ht="40.5" customHeight="1">
      <c r="A675" s="18"/>
      <c r="B675" s="20"/>
      <c r="C675" s="86"/>
      <c r="D675" s="83" t="str">
        <f>IFERROR(INDEX(Inventari_2[#All],MATCH(Salidas[[#This Row],[CODIGO ]],Inventari_2[[#Headers],[#Data],[CODIGO]],0),2),"")</f>
        <v/>
      </c>
      <c r="E675">
        <v>1</v>
      </c>
      <c r="F675" s="43" t="e">
        <f>VLOOKUP(Salidas[[#This Row],[CODIGO ]],Inventari_2[],8,FALSE)</f>
        <v>#N/A</v>
      </c>
      <c r="G675" s="44" t="e">
        <f>Salidas[[#This Row],[PRECIO]]*Salidas[[#This Row],[CANTIDAD]]</f>
        <v>#N/A</v>
      </c>
      <c r="H675" s="84" t="e">
        <f>VLOOKUP(Salidas[[#This Row],[CODIGO ]],Inventario[],10,FALSE)*Salidas[[#This Row],[CANTIDAD]]</f>
        <v>#N/A</v>
      </c>
    </row>
    <row r="676" spans="1:8" ht="40.5" customHeight="1">
      <c r="A676" s="18"/>
      <c r="B676" s="20"/>
      <c r="C676" s="86"/>
      <c r="D676" s="83" t="str">
        <f>IFERROR(INDEX(Inventari_2[#All],MATCH(Salidas[[#This Row],[CODIGO ]],Inventari_2[[#Headers],[#Data],[CODIGO]],0),2),"")</f>
        <v/>
      </c>
      <c r="E676">
        <v>1</v>
      </c>
      <c r="F676" s="43" t="e">
        <f>VLOOKUP(Salidas[[#This Row],[CODIGO ]],Inventari_2[],8,FALSE)</f>
        <v>#N/A</v>
      </c>
      <c r="G676" s="44" t="e">
        <f>Salidas[[#This Row],[PRECIO]]*Salidas[[#This Row],[CANTIDAD]]</f>
        <v>#N/A</v>
      </c>
      <c r="H676" s="84" t="e">
        <f>VLOOKUP(Salidas[[#This Row],[CODIGO ]],Inventario[],10,FALSE)*Salidas[[#This Row],[CANTIDAD]]</f>
        <v>#N/A</v>
      </c>
    </row>
    <row r="677" spans="1:8" ht="40.5" customHeight="1">
      <c r="A677" s="18"/>
      <c r="B677" s="20"/>
      <c r="C677" s="86"/>
      <c r="D677" s="83" t="str">
        <f>IFERROR(INDEX(Inventari_2[#All],MATCH(Salidas[[#This Row],[CODIGO ]],Inventari_2[[#Headers],[#Data],[CODIGO]],0),2),"")</f>
        <v/>
      </c>
      <c r="E677">
        <v>1</v>
      </c>
      <c r="F677" s="43" t="e">
        <f>VLOOKUP(Salidas[[#This Row],[CODIGO ]],Inventari_2[],8,FALSE)</f>
        <v>#N/A</v>
      </c>
      <c r="G677" s="44" t="e">
        <f>Salidas[[#This Row],[PRECIO]]*Salidas[[#This Row],[CANTIDAD]]</f>
        <v>#N/A</v>
      </c>
      <c r="H677" s="84" t="e">
        <f>VLOOKUP(Salidas[[#This Row],[CODIGO ]],Inventario[],10,FALSE)*Salidas[[#This Row],[CANTIDAD]]</f>
        <v>#N/A</v>
      </c>
    </row>
    <row r="678" spans="1:8" ht="40.5" customHeight="1">
      <c r="A678" s="18"/>
      <c r="B678" s="20"/>
      <c r="C678" s="86"/>
      <c r="D678" s="83" t="str">
        <f>IFERROR(INDEX(Inventari_2[#All],MATCH(Salidas[[#This Row],[CODIGO ]],Inventari_2[[#Headers],[#Data],[CODIGO]],0),2),"")</f>
        <v/>
      </c>
      <c r="E678">
        <v>1</v>
      </c>
      <c r="F678" s="43" t="e">
        <f>VLOOKUP(Salidas[[#This Row],[CODIGO ]],Inventari_2[],8,FALSE)</f>
        <v>#N/A</v>
      </c>
      <c r="G678" s="44" t="e">
        <f>Salidas[[#This Row],[PRECIO]]*Salidas[[#This Row],[CANTIDAD]]</f>
        <v>#N/A</v>
      </c>
      <c r="H678" s="84" t="e">
        <f>VLOOKUP(Salidas[[#This Row],[CODIGO ]],Inventario[],10,FALSE)*Salidas[[#This Row],[CANTIDAD]]</f>
        <v>#N/A</v>
      </c>
    </row>
    <row r="679" spans="1:8" ht="40.5" customHeight="1">
      <c r="A679" s="18"/>
      <c r="B679" s="20"/>
      <c r="C679" s="86"/>
      <c r="D679" s="83" t="str">
        <f>IFERROR(INDEX(Inventari_2[#All],MATCH(Salidas[[#This Row],[CODIGO ]],Inventari_2[[#Headers],[#Data],[CODIGO]],0),2),"")</f>
        <v/>
      </c>
      <c r="E679">
        <v>1</v>
      </c>
      <c r="F679" s="43" t="e">
        <f>VLOOKUP(Salidas[[#This Row],[CODIGO ]],Inventari_2[],8,FALSE)</f>
        <v>#N/A</v>
      </c>
      <c r="G679" s="44" t="e">
        <f>Salidas[[#This Row],[PRECIO]]*Salidas[[#This Row],[CANTIDAD]]</f>
        <v>#N/A</v>
      </c>
      <c r="H679" s="84" t="e">
        <f>VLOOKUP(Salidas[[#This Row],[CODIGO ]],Inventario[],10,FALSE)*Salidas[[#This Row],[CANTIDAD]]</f>
        <v>#N/A</v>
      </c>
    </row>
    <row r="680" spans="1:8" ht="40.5" customHeight="1">
      <c r="A680" s="18"/>
      <c r="B680" s="20"/>
      <c r="C680" s="86"/>
      <c r="D680" s="83" t="str">
        <f>IFERROR(INDEX(Inventari_2[#All],MATCH(Salidas[[#This Row],[CODIGO ]],Inventari_2[[#Headers],[#Data],[CODIGO]],0),2),"")</f>
        <v/>
      </c>
      <c r="E680">
        <v>1</v>
      </c>
      <c r="F680" s="43" t="e">
        <f>VLOOKUP(Salidas[[#This Row],[CODIGO ]],Inventari_2[],8,FALSE)</f>
        <v>#N/A</v>
      </c>
      <c r="G680" s="44" t="e">
        <f>Salidas[[#This Row],[PRECIO]]*Salidas[[#This Row],[CANTIDAD]]</f>
        <v>#N/A</v>
      </c>
      <c r="H680" s="84" t="e">
        <f>VLOOKUP(Salidas[[#This Row],[CODIGO ]],Inventario[],10,FALSE)*Salidas[[#This Row],[CANTIDAD]]</f>
        <v>#N/A</v>
      </c>
    </row>
    <row r="681" spans="1:8" ht="40.5" customHeight="1">
      <c r="A681" s="18"/>
      <c r="B681" s="20"/>
      <c r="C681" s="86"/>
      <c r="D681" s="83" t="str">
        <f>IFERROR(INDEX(Inventari_2[#All],MATCH(Salidas[[#This Row],[CODIGO ]],Inventari_2[[#Headers],[#Data],[CODIGO]],0),2),"")</f>
        <v/>
      </c>
      <c r="E681">
        <v>1</v>
      </c>
      <c r="F681" s="43" t="e">
        <f>VLOOKUP(Salidas[[#This Row],[CODIGO ]],Inventari_2[],8,FALSE)</f>
        <v>#N/A</v>
      </c>
      <c r="G681" s="44" t="e">
        <f>Salidas[[#This Row],[PRECIO]]*Salidas[[#This Row],[CANTIDAD]]</f>
        <v>#N/A</v>
      </c>
      <c r="H681" s="84" t="e">
        <f>VLOOKUP(Salidas[[#This Row],[CODIGO ]],Inventario[],10,FALSE)*Salidas[[#This Row],[CANTIDAD]]</f>
        <v>#N/A</v>
      </c>
    </row>
    <row r="682" spans="1:8" ht="40.5" customHeight="1">
      <c r="A682" s="18"/>
      <c r="B682" s="20"/>
      <c r="C682" s="86"/>
      <c r="D682" s="83" t="str">
        <f>IFERROR(INDEX(Inventari_2[#All],MATCH(Salidas[[#This Row],[CODIGO ]],Inventari_2[[#Headers],[#Data],[CODIGO]],0),2),"")</f>
        <v/>
      </c>
      <c r="E682">
        <v>1</v>
      </c>
      <c r="F682" s="43" t="e">
        <f>VLOOKUP(Salidas[[#This Row],[CODIGO ]],Inventari_2[],8,FALSE)</f>
        <v>#N/A</v>
      </c>
      <c r="G682" s="44" t="e">
        <f>Salidas[[#This Row],[PRECIO]]*Salidas[[#This Row],[CANTIDAD]]</f>
        <v>#N/A</v>
      </c>
      <c r="H682" s="84" t="e">
        <f>VLOOKUP(Salidas[[#This Row],[CODIGO ]],Inventario[],10,FALSE)*Salidas[[#This Row],[CANTIDAD]]</f>
        <v>#N/A</v>
      </c>
    </row>
    <row r="683" spans="1:8" ht="40.5" customHeight="1">
      <c r="A683" s="18"/>
      <c r="B683" s="20"/>
      <c r="C683" s="86"/>
      <c r="D683" s="83" t="str">
        <f>IFERROR(INDEX(Inventari_2[#All],MATCH(Salidas[[#This Row],[CODIGO ]],Inventari_2[[#Headers],[#Data],[CODIGO]],0),2),"")</f>
        <v/>
      </c>
      <c r="E683">
        <v>1</v>
      </c>
      <c r="F683" s="43" t="e">
        <f>VLOOKUP(Salidas[[#This Row],[CODIGO ]],Inventari_2[],8,FALSE)</f>
        <v>#N/A</v>
      </c>
      <c r="G683" s="44" t="e">
        <f>Salidas[[#This Row],[PRECIO]]*Salidas[[#This Row],[CANTIDAD]]</f>
        <v>#N/A</v>
      </c>
      <c r="H683" s="84" t="e">
        <f>VLOOKUP(Salidas[[#This Row],[CODIGO ]],Inventario[],10,FALSE)*Salidas[[#This Row],[CANTIDAD]]</f>
        <v>#N/A</v>
      </c>
    </row>
    <row r="684" spans="1:8" ht="40.5" customHeight="1">
      <c r="A684" s="18"/>
      <c r="B684" s="20"/>
      <c r="C684" s="86"/>
      <c r="D684" s="83" t="str">
        <f>IFERROR(INDEX(Inventari_2[#All],MATCH(Salidas[[#This Row],[CODIGO ]],Inventari_2[[#Headers],[#Data],[CODIGO]],0),2),"")</f>
        <v/>
      </c>
      <c r="E684">
        <v>1</v>
      </c>
      <c r="F684" s="43" t="e">
        <f>VLOOKUP(Salidas[[#This Row],[CODIGO ]],Inventari_2[],8,FALSE)</f>
        <v>#N/A</v>
      </c>
      <c r="G684" s="44" t="e">
        <f>Salidas[[#This Row],[PRECIO]]*Salidas[[#This Row],[CANTIDAD]]</f>
        <v>#N/A</v>
      </c>
      <c r="H684" s="84" t="e">
        <f>VLOOKUP(Salidas[[#This Row],[CODIGO ]],Inventario[],10,FALSE)*Salidas[[#This Row],[CANTIDAD]]</f>
        <v>#N/A</v>
      </c>
    </row>
    <row r="685" spans="1:8" ht="40.5" customHeight="1">
      <c r="A685" s="18"/>
      <c r="B685" s="20"/>
      <c r="C685" s="86"/>
      <c r="D685" s="83" t="str">
        <f>IFERROR(INDEX(Inventari_2[#All],MATCH(Salidas[[#This Row],[CODIGO ]],Inventari_2[[#Headers],[#Data],[CODIGO]],0),2),"")</f>
        <v/>
      </c>
      <c r="E685">
        <v>1</v>
      </c>
      <c r="F685" s="43" t="e">
        <f>VLOOKUP(Salidas[[#This Row],[CODIGO ]],Inventari_2[],8,FALSE)</f>
        <v>#N/A</v>
      </c>
      <c r="G685" s="44" t="e">
        <f>Salidas[[#This Row],[PRECIO]]*Salidas[[#This Row],[CANTIDAD]]</f>
        <v>#N/A</v>
      </c>
      <c r="H685" s="84" t="e">
        <f>VLOOKUP(Salidas[[#This Row],[CODIGO ]],Inventario[],10,FALSE)*Salidas[[#This Row],[CANTIDAD]]</f>
        <v>#N/A</v>
      </c>
    </row>
    <row r="686" spans="1:8" ht="40.5" customHeight="1">
      <c r="A686" s="18"/>
      <c r="B686" s="20"/>
      <c r="C686" s="86"/>
      <c r="D686" s="83" t="str">
        <f>IFERROR(INDEX(Inventari_2[#All],MATCH(Salidas[[#This Row],[CODIGO ]],Inventari_2[[#Headers],[#Data],[CODIGO]],0),2),"")</f>
        <v/>
      </c>
      <c r="E686">
        <v>1</v>
      </c>
      <c r="F686" s="43" t="e">
        <f>VLOOKUP(Salidas[[#This Row],[CODIGO ]],Inventari_2[],8,FALSE)</f>
        <v>#N/A</v>
      </c>
      <c r="G686" s="44" t="e">
        <f>Salidas[[#This Row],[PRECIO]]*Salidas[[#This Row],[CANTIDAD]]</f>
        <v>#N/A</v>
      </c>
      <c r="H686" s="84" t="e">
        <f>VLOOKUP(Salidas[[#This Row],[CODIGO ]],Inventario[],10,FALSE)*Salidas[[#This Row],[CANTIDAD]]</f>
        <v>#N/A</v>
      </c>
    </row>
    <row r="687" spans="1:8" ht="40.5" customHeight="1">
      <c r="A687" s="18"/>
      <c r="B687" s="20"/>
      <c r="C687" s="86"/>
      <c r="D687" s="83" t="str">
        <f>IFERROR(INDEX(Inventari_2[#All],MATCH(Salidas[[#This Row],[CODIGO ]],Inventari_2[[#Headers],[#Data],[CODIGO]],0),2),"")</f>
        <v/>
      </c>
      <c r="E687">
        <v>1</v>
      </c>
      <c r="F687" s="43" t="e">
        <f>VLOOKUP(Salidas[[#This Row],[CODIGO ]],Inventari_2[],8,FALSE)</f>
        <v>#N/A</v>
      </c>
      <c r="G687" s="44" t="e">
        <f>Salidas[[#This Row],[PRECIO]]*Salidas[[#This Row],[CANTIDAD]]</f>
        <v>#N/A</v>
      </c>
      <c r="H687" s="84" t="e">
        <f>VLOOKUP(Salidas[[#This Row],[CODIGO ]],Inventario[],10,FALSE)*Salidas[[#This Row],[CANTIDAD]]</f>
        <v>#N/A</v>
      </c>
    </row>
    <row r="688" spans="1:8" ht="40.5" customHeight="1">
      <c r="A688" s="18"/>
      <c r="B688" s="20"/>
      <c r="C688" s="86"/>
      <c r="D688" s="83" t="str">
        <f>IFERROR(INDEX(Inventari_2[#All],MATCH(Salidas[[#This Row],[CODIGO ]],Inventari_2[[#Headers],[#Data],[CODIGO]],0),2),"")</f>
        <v/>
      </c>
      <c r="E688">
        <v>1</v>
      </c>
      <c r="F688" s="43" t="e">
        <f>VLOOKUP(Salidas[[#This Row],[CODIGO ]],Inventari_2[],8,FALSE)</f>
        <v>#N/A</v>
      </c>
      <c r="G688" s="44" t="e">
        <f>Salidas[[#This Row],[PRECIO]]*Salidas[[#This Row],[CANTIDAD]]</f>
        <v>#N/A</v>
      </c>
      <c r="H688" s="84" t="e">
        <f>VLOOKUP(Salidas[[#This Row],[CODIGO ]],Inventario[],10,FALSE)*Salidas[[#This Row],[CANTIDAD]]</f>
        <v>#N/A</v>
      </c>
    </row>
    <row r="689" spans="1:8" ht="40.5" customHeight="1">
      <c r="A689" s="18"/>
      <c r="B689" s="20"/>
      <c r="C689" s="86"/>
      <c r="D689" s="83" t="str">
        <f>IFERROR(INDEX(Inventari_2[#All],MATCH(Salidas[[#This Row],[CODIGO ]],Inventari_2[[#Headers],[#Data],[CODIGO]],0),2),"")</f>
        <v/>
      </c>
      <c r="E689">
        <v>1</v>
      </c>
      <c r="F689" s="43" t="e">
        <f>VLOOKUP(Salidas[[#This Row],[CODIGO ]],Inventari_2[],8,FALSE)</f>
        <v>#N/A</v>
      </c>
      <c r="G689" s="44" t="e">
        <f>Salidas[[#This Row],[PRECIO]]*Salidas[[#This Row],[CANTIDAD]]</f>
        <v>#N/A</v>
      </c>
      <c r="H689" s="84" t="e">
        <f>VLOOKUP(Salidas[[#This Row],[CODIGO ]],Inventario[],10,FALSE)*Salidas[[#This Row],[CANTIDAD]]</f>
        <v>#N/A</v>
      </c>
    </row>
    <row r="690" spans="1:8" ht="40.5" customHeight="1">
      <c r="A690" s="18"/>
      <c r="B690" s="20"/>
      <c r="C690" s="86"/>
      <c r="D690" s="83" t="str">
        <f>IFERROR(INDEX(Inventari_2[#All],MATCH(Salidas[[#This Row],[CODIGO ]],Inventari_2[[#Headers],[#Data],[CODIGO]],0),2),"")</f>
        <v/>
      </c>
      <c r="E690">
        <v>1</v>
      </c>
      <c r="F690" s="43" t="e">
        <f>VLOOKUP(Salidas[[#This Row],[CODIGO ]],Inventari_2[],8,FALSE)</f>
        <v>#N/A</v>
      </c>
      <c r="G690" s="44" t="e">
        <f>Salidas[[#This Row],[PRECIO]]*Salidas[[#This Row],[CANTIDAD]]</f>
        <v>#N/A</v>
      </c>
      <c r="H690" s="84" t="e">
        <f>VLOOKUP(Salidas[[#This Row],[CODIGO ]],Inventario[],10,FALSE)*Salidas[[#This Row],[CANTIDAD]]</f>
        <v>#N/A</v>
      </c>
    </row>
    <row r="691" spans="1:8" ht="40.5" customHeight="1">
      <c r="A691" s="18"/>
      <c r="B691" s="20"/>
      <c r="C691" s="86"/>
      <c r="D691" s="83" t="str">
        <f>IFERROR(INDEX(Inventari_2[#All],MATCH(Salidas[[#This Row],[CODIGO ]],Inventari_2[[#Headers],[#Data],[CODIGO]],0),2),"")</f>
        <v/>
      </c>
      <c r="E691">
        <v>1</v>
      </c>
      <c r="F691" s="43" t="e">
        <f>VLOOKUP(Salidas[[#This Row],[CODIGO ]],Inventari_2[],8,FALSE)</f>
        <v>#N/A</v>
      </c>
      <c r="G691" s="44" t="e">
        <f>Salidas[[#This Row],[PRECIO]]*Salidas[[#This Row],[CANTIDAD]]</f>
        <v>#N/A</v>
      </c>
      <c r="H691" s="84" t="e">
        <f>VLOOKUP(Salidas[[#This Row],[CODIGO ]],Inventario[],10,FALSE)*Salidas[[#This Row],[CANTIDAD]]</f>
        <v>#N/A</v>
      </c>
    </row>
    <row r="692" spans="1:8" ht="40.5" customHeight="1">
      <c r="A692" s="18"/>
      <c r="B692" s="20"/>
      <c r="C692" s="86"/>
      <c r="D692" s="83" t="str">
        <f>IFERROR(INDEX(Inventari_2[#All],MATCH(Salidas[[#This Row],[CODIGO ]],Inventari_2[[#Headers],[#Data],[CODIGO]],0),2),"")</f>
        <v/>
      </c>
      <c r="E692">
        <v>1</v>
      </c>
      <c r="F692" s="43" t="e">
        <f>VLOOKUP(Salidas[[#This Row],[CODIGO ]],Inventari_2[],8,FALSE)</f>
        <v>#N/A</v>
      </c>
      <c r="G692" s="44" t="e">
        <f>Salidas[[#This Row],[PRECIO]]*Salidas[[#This Row],[CANTIDAD]]</f>
        <v>#N/A</v>
      </c>
      <c r="H692" s="84" t="e">
        <f>VLOOKUP(Salidas[[#This Row],[CODIGO ]],Inventario[],10,FALSE)*Salidas[[#This Row],[CANTIDAD]]</f>
        <v>#N/A</v>
      </c>
    </row>
    <row r="693" spans="1:8" ht="40.5" customHeight="1">
      <c r="A693" s="18"/>
      <c r="B693" s="20"/>
      <c r="C693" s="86"/>
      <c r="D693" s="83" t="str">
        <f>IFERROR(INDEX(Inventari_2[#All],MATCH(Salidas[[#This Row],[CODIGO ]],Inventari_2[[#Headers],[#Data],[CODIGO]],0),2),"")</f>
        <v/>
      </c>
      <c r="E693">
        <v>1</v>
      </c>
      <c r="F693" s="43" t="e">
        <f>VLOOKUP(Salidas[[#This Row],[CODIGO ]],Inventari_2[],8,FALSE)</f>
        <v>#N/A</v>
      </c>
      <c r="G693" s="44" t="e">
        <f>Salidas[[#This Row],[PRECIO]]*Salidas[[#This Row],[CANTIDAD]]</f>
        <v>#N/A</v>
      </c>
      <c r="H693" s="84" t="e">
        <f>VLOOKUP(Salidas[[#This Row],[CODIGO ]],Inventario[],10,FALSE)*Salidas[[#This Row],[CANTIDAD]]</f>
        <v>#N/A</v>
      </c>
    </row>
    <row r="694" spans="1:8" ht="40.5" customHeight="1">
      <c r="A694" s="18"/>
      <c r="B694" s="20"/>
      <c r="C694" s="86"/>
      <c r="D694" s="83" t="str">
        <f>IFERROR(INDEX(Inventari_2[#All],MATCH(Salidas[[#This Row],[CODIGO ]],Inventari_2[[#Headers],[#Data],[CODIGO]],0),2),"")</f>
        <v/>
      </c>
      <c r="E694">
        <v>1</v>
      </c>
      <c r="F694" s="43" t="e">
        <f>VLOOKUP(Salidas[[#This Row],[CODIGO ]],Inventari_2[],8,FALSE)</f>
        <v>#N/A</v>
      </c>
      <c r="G694" s="44" t="e">
        <f>Salidas[[#This Row],[PRECIO]]*Salidas[[#This Row],[CANTIDAD]]</f>
        <v>#N/A</v>
      </c>
      <c r="H694" s="84" t="e">
        <f>VLOOKUP(Salidas[[#This Row],[CODIGO ]],Inventario[],10,FALSE)*Salidas[[#This Row],[CANTIDAD]]</f>
        <v>#N/A</v>
      </c>
    </row>
    <row r="695" spans="1:8" ht="40.5" customHeight="1">
      <c r="A695" s="18"/>
      <c r="B695" s="20"/>
      <c r="C695" s="86"/>
      <c r="D695" s="83" t="str">
        <f>IFERROR(INDEX(Inventari_2[#All],MATCH(Salidas[[#This Row],[CODIGO ]],Inventari_2[[#Headers],[#Data],[CODIGO]],0),2),"")</f>
        <v/>
      </c>
      <c r="E695">
        <v>1</v>
      </c>
      <c r="F695" s="43" t="e">
        <f>VLOOKUP(Salidas[[#This Row],[CODIGO ]],Inventari_2[],8,FALSE)</f>
        <v>#N/A</v>
      </c>
      <c r="G695" s="44" t="e">
        <f>Salidas[[#This Row],[PRECIO]]*Salidas[[#This Row],[CANTIDAD]]</f>
        <v>#N/A</v>
      </c>
      <c r="H695" s="84" t="e">
        <f>VLOOKUP(Salidas[[#This Row],[CODIGO ]],Inventario[],10,FALSE)*Salidas[[#This Row],[CANTIDAD]]</f>
        <v>#N/A</v>
      </c>
    </row>
    <row r="696" spans="1:8" ht="40.5" customHeight="1">
      <c r="A696" s="18"/>
      <c r="B696" s="20"/>
      <c r="C696" s="86"/>
      <c r="D696" s="83" t="str">
        <f>IFERROR(INDEX(Inventari_2[#All],MATCH(Salidas[[#This Row],[CODIGO ]],Inventari_2[[#Headers],[#Data],[CODIGO]],0),2),"")</f>
        <v/>
      </c>
      <c r="E696">
        <v>1</v>
      </c>
      <c r="F696" s="43" t="e">
        <f>VLOOKUP(Salidas[[#This Row],[CODIGO ]],Inventari_2[],8,FALSE)</f>
        <v>#N/A</v>
      </c>
      <c r="G696" s="44" t="e">
        <f>Salidas[[#This Row],[PRECIO]]*Salidas[[#This Row],[CANTIDAD]]</f>
        <v>#N/A</v>
      </c>
      <c r="H696" s="84" t="e">
        <f>VLOOKUP(Salidas[[#This Row],[CODIGO ]],Inventario[],10,FALSE)*Salidas[[#This Row],[CANTIDAD]]</f>
        <v>#N/A</v>
      </c>
    </row>
    <row r="697" spans="1:8" ht="40.5" customHeight="1">
      <c r="A697" s="18"/>
      <c r="B697" s="20"/>
      <c r="C697" s="86"/>
      <c r="D697" s="83" t="str">
        <f>IFERROR(INDEX(Inventari_2[#All],MATCH(Salidas[[#This Row],[CODIGO ]],Inventari_2[[#Headers],[#Data],[CODIGO]],0),2),"")</f>
        <v/>
      </c>
      <c r="E697">
        <v>1</v>
      </c>
      <c r="F697" s="43" t="e">
        <f>VLOOKUP(Salidas[[#This Row],[CODIGO ]],Inventari_2[],8,FALSE)</f>
        <v>#N/A</v>
      </c>
      <c r="G697" s="44" t="e">
        <f>Salidas[[#This Row],[PRECIO]]*Salidas[[#This Row],[CANTIDAD]]</f>
        <v>#N/A</v>
      </c>
      <c r="H697" s="84" t="e">
        <f>VLOOKUP(Salidas[[#This Row],[CODIGO ]],Inventario[],10,FALSE)*Salidas[[#This Row],[CANTIDAD]]</f>
        <v>#N/A</v>
      </c>
    </row>
    <row r="698" spans="1:8" ht="40.5" customHeight="1">
      <c r="A698" s="18"/>
      <c r="B698" s="20"/>
      <c r="C698" s="86"/>
      <c r="D698" s="83" t="str">
        <f>IFERROR(INDEX(Inventari_2[#All],MATCH(Salidas[[#This Row],[CODIGO ]],Inventari_2[[#Headers],[#Data],[CODIGO]],0),2),"")</f>
        <v/>
      </c>
      <c r="E698">
        <v>1</v>
      </c>
      <c r="F698" s="43" t="e">
        <f>VLOOKUP(Salidas[[#This Row],[CODIGO ]],Inventari_2[],8,FALSE)</f>
        <v>#N/A</v>
      </c>
      <c r="G698" s="44" t="e">
        <f>Salidas[[#This Row],[PRECIO]]*Salidas[[#This Row],[CANTIDAD]]</f>
        <v>#N/A</v>
      </c>
      <c r="H698" s="84" t="e">
        <f>VLOOKUP(Salidas[[#This Row],[CODIGO ]],Inventario[],10,FALSE)*Salidas[[#This Row],[CANTIDAD]]</f>
        <v>#N/A</v>
      </c>
    </row>
    <row r="699" spans="1:8" ht="40.5" customHeight="1">
      <c r="A699" s="18"/>
      <c r="B699" s="20"/>
      <c r="C699" s="86"/>
      <c r="D699" s="83" t="str">
        <f>IFERROR(INDEX(Inventari_2[#All],MATCH(Salidas[[#This Row],[CODIGO ]],Inventari_2[[#Headers],[#Data],[CODIGO]],0),2),"")</f>
        <v/>
      </c>
      <c r="E699">
        <v>1</v>
      </c>
      <c r="F699" s="43" t="e">
        <f>VLOOKUP(Salidas[[#This Row],[CODIGO ]],Inventari_2[],8,FALSE)</f>
        <v>#N/A</v>
      </c>
      <c r="G699" s="44" t="e">
        <f>Salidas[[#This Row],[PRECIO]]*Salidas[[#This Row],[CANTIDAD]]</f>
        <v>#N/A</v>
      </c>
      <c r="H699" s="84" t="e">
        <f>VLOOKUP(Salidas[[#This Row],[CODIGO ]],Inventario[],10,FALSE)*Salidas[[#This Row],[CANTIDAD]]</f>
        <v>#N/A</v>
      </c>
    </row>
    <row r="700" spans="1:8" ht="40.5" customHeight="1">
      <c r="A700" s="18"/>
      <c r="B700" s="20"/>
      <c r="C700" s="86"/>
      <c r="D700" s="83" t="str">
        <f>IFERROR(INDEX(Inventari_2[#All],MATCH(Salidas[[#This Row],[CODIGO ]],Inventari_2[[#Headers],[#Data],[CODIGO]],0),2),"")</f>
        <v/>
      </c>
      <c r="E700">
        <v>1</v>
      </c>
      <c r="F700" s="43" t="e">
        <f>VLOOKUP(Salidas[[#This Row],[CODIGO ]],Inventari_2[],8,FALSE)</f>
        <v>#N/A</v>
      </c>
      <c r="G700" s="44" t="e">
        <f>Salidas[[#This Row],[PRECIO]]*Salidas[[#This Row],[CANTIDAD]]</f>
        <v>#N/A</v>
      </c>
      <c r="H700" s="84" t="e">
        <f>VLOOKUP(Salidas[[#This Row],[CODIGO ]],Inventario[],10,FALSE)*Salidas[[#This Row],[CANTIDAD]]</f>
        <v>#N/A</v>
      </c>
    </row>
    <row r="701" spans="1:8" ht="40.5" customHeight="1">
      <c r="A701" s="18"/>
      <c r="B701" s="20"/>
      <c r="C701" s="86"/>
      <c r="D701" s="83" t="str">
        <f>IFERROR(INDEX(Inventari_2[#All],MATCH(Salidas[[#This Row],[CODIGO ]],Inventari_2[[#Headers],[#Data],[CODIGO]],0),2),"")</f>
        <v/>
      </c>
      <c r="E701">
        <v>1</v>
      </c>
      <c r="F701" s="43" t="e">
        <f>VLOOKUP(Salidas[[#This Row],[CODIGO ]],Inventari_2[],8,FALSE)</f>
        <v>#N/A</v>
      </c>
      <c r="G701" s="44" t="e">
        <f>Salidas[[#This Row],[PRECIO]]*Salidas[[#This Row],[CANTIDAD]]</f>
        <v>#N/A</v>
      </c>
      <c r="H701" s="84" t="e">
        <f>VLOOKUP(Salidas[[#This Row],[CODIGO ]],Inventario[],10,FALSE)*Salidas[[#This Row],[CANTIDAD]]</f>
        <v>#N/A</v>
      </c>
    </row>
    <row r="702" spans="1:8" ht="40.5" customHeight="1">
      <c r="A702" s="18"/>
      <c r="B702" s="20"/>
      <c r="C702" s="86"/>
      <c r="D702" s="83" t="str">
        <f>IFERROR(INDEX(Inventari_2[#All],MATCH(Salidas[[#This Row],[CODIGO ]],Inventari_2[[#Headers],[#Data],[CODIGO]],0),2),"")</f>
        <v/>
      </c>
      <c r="E702">
        <v>1</v>
      </c>
      <c r="F702" s="43" t="e">
        <f>VLOOKUP(Salidas[[#This Row],[CODIGO ]],Inventari_2[],8,FALSE)</f>
        <v>#N/A</v>
      </c>
      <c r="G702" s="44" t="e">
        <f>Salidas[[#This Row],[PRECIO]]*Salidas[[#This Row],[CANTIDAD]]</f>
        <v>#N/A</v>
      </c>
      <c r="H702" s="84" t="e">
        <f>VLOOKUP(Salidas[[#This Row],[CODIGO ]],Inventario[],10,FALSE)*Salidas[[#This Row],[CANTIDAD]]</f>
        <v>#N/A</v>
      </c>
    </row>
    <row r="703" spans="1:8" ht="40.5" customHeight="1">
      <c r="A703" s="18"/>
      <c r="B703" s="20"/>
      <c r="C703" s="86"/>
      <c r="D703" s="83" t="str">
        <f>IFERROR(INDEX(Inventari_2[#All],MATCH(Salidas[[#This Row],[CODIGO ]],Inventari_2[[#Headers],[#Data],[CODIGO]],0),2),"")</f>
        <v/>
      </c>
      <c r="E703">
        <v>1</v>
      </c>
      <c r="F703" s="43" t="e">
        <f>VLOOKUP(Salidas[[#This Row],[CODIGO ]],Inventari_2[],8,FALSE)</f>
        <v>#N/A</v>
      </c>
      <c r="G703" s="44" t="e">
        <f>Salidas[[#This Row],[PRECIO]]*Salidas[[#This Row],[CANTIDAD]]</f>
        <v>#N/A</v>
      </c>
      <c r="H703" s="84" t="e">
        <f>VLOOKUP(Salidas[[#This Row],[CODIGO ]],Inventario[],10,FALSE)*Salidas[[#This Row],[CANTIDAD]]</f>
        <v>#N/A</v>
      </c>
    </row>
    <row r="704" spans="1:8" ht="40.5" customHeight="1">
      <c r="A704" s="18"/>
      <c r="B704" s="20"/>
      <c r="C704" s="86"/>
      <c r="D704" s="83" t="str">
        <f>IFERROR(INDEX(Inventari_2[#All],MATCH(Salidas[[#This Row],[CODIGO ]],Inventari_2[[#Headers],[#Data],[CODIGO]],0),2),"")</f>
        <v/>
      </c>
      <c r="E704">
        <v>1</v>
      </c>
      <c r="F704" s="43" t="e">
        <f>VLOOKUP(Salidas[[#This Row],[CODIGO ]],Inventari_2[],8,FALSE)</f>
        <v>#N/A</v>
      </c>
      <c r="G704" s="44" t="e">
        <f>Salidas[[#This Row],[PRECIO]]*Salidas[[#This Row],[CANTIDAD]]</f>
        <v>#N/A</v>
      </c>
      <c r="H704" s="84" t="e">
        <f>VLOOKUP(Salidas[[#This Row],[CODIGO ]],Inventario[],10,FALSE)*Salidas[[#This Row],[CANTIDAD]]</f>
        <v>#N/A</v>
      </c>
    </row>
    <row r="705" spans="1:8" ht="40.5" customHeight="1">
      <c r="A705" s="18"/>
      <c r="B705" s="20"/>
      <c r="C705" s="86"/>
      <c r="D705" s="83" t="str">
        <f>IFERROR(INDEX(Inventari_2[#All],MATCH(Salidas[[#This Row],[CODIGO ]],Inventari_2[[#Headers],[#Data],[CODIGO]],0),2),"")</f>
        <v/>
      </c>
      <c r="E705">
        <v>1</v>
      </c>
      <c r="F705" s="43" t="e">
        <f>VLOOKUP(Salidas[[#This Row],[CODIGO ]],Inventari_2[],8,FALSE)</f>
        <v>#N/A</v>
      </c>
      <c r="G705" s="44" t="e">
        <f>Salidas[[#This Row],[PRECIO]]*Salidas[[#This Row],[CANTIDAD]]</f>
        <v>#N/A</v>
      </c>
      <c r="H705" s="84" t="e">
        <f>VLOOKUP(Salidas[[#This Row],[CODIGO ]],Inventario[],10,FALSE)*Salidas[[#This Row],[CANTIDAD]]</f>
        <v>#N/A</v>
      </c>
    </row>
    <row r="706" spans="1:8" ht="40.5" customHeight="1">
      <c r="A706" s="18"/>
      <c r="B706" s="20"/>
      <c r="C706" s="86"/>
      <c r="D706" s="83" t="str">
        <f>IFERROR(INDEX(Inventari_2[#All],MATCH(Salidas[[#This Row],[CODIGO ]],Inventari_2[[#Headers],[#Data],[CODIGO]],0),2),"")</f>
        <v/>
      </c>
      <c r="E706">
        <v>1</v>
      </c>
      <c r="F706" s="43" t="e">
        <f>VLOOKUP(Salidas[[#This Row],[CODIGO ]],Inventari_2[],8,FALSE)</f>
        <v>#N/A</v>
      </c>
      <c r="G706" s="44" t="e">
        <f>Salidas[[#This Row],[PRECIO]]*Salidas[[#This Row],[CANTIDAD]]</f>
        <v>#N/A</v>
      </c>
      <c r="H706" s="84" t="e">
        <f>VLOOKUP(Salidas[[#This Row],[CODIGO ]],Inventario[],10,FALSE)*Salidas[[#This Row],[CANTIDAD]]</f>
        <v>#N/A</v>
      </c>
    </row>
    <row r="707" spans="1:8" ht="40.5" customHeight="1">
      <c r="A707" s="18"/>
      <c r="B707" s="20"/>
      <c r="C707" s="86"/>
      <c r="D707" s="83" t="str">
        <f>IFERROR(INDEX(Inventari_2[#All],MATCH(Salidas[[#This Row],[CODIGO ]],Inventari_2[[#Headers],[#Data],[CODIGO]],0),2),"")</f>
        <v/>
      </c>
      <c r="E707">
        <v>1</v>
      </c>
      <c r="F707" s="43" t="e">
        <f>VLOOKUP(Salidas[[#This Row],[CODIGO ]],Inventari_2[],8,FALSE)</f>
        <v>#N/A</v>
      </c>
      <c r="G707" s="44" t="e">
        <f>Salidas[[#This Row],[PRECIO]]*Salidas[[#This Row],[CANTIDAD]]</f>
        <v>#N/A</v>
      </c>
      <c r="H707" s="84" t="e">
        <f>VLOOKUP(Salidas[[#This Row],[CODIGO ]],Inventario[],10,FALSE)*Salidas[[#This Row],[CANTIDAD]]</f>
        <v>#N/A</v>
      </c>
    </row>
    <row r="708" spans="1:8" ht="40.5" customHeight="1">
      <c r="A708" s="18"/>
      <c r="B708" s="20"/>
      <c r="C708" s="86"/>
      <c r="D708" s="83" t="str">
        <f>IFERROR(INDEX(Inventari_2[#All],MATCH(Salidas[[#This Row],[CODIGO ]],Inventari_2[[#Headers],[#Data],[CODIGO]],0),2),"")</f>
        <v/>
      </c>
      <c r="E708">
        <v>1</v>
      </c>
      <c r="F708" s="43" t="e">
        <f>VLOOKUP(Salidas[[#This Row],[CODIGO ]],Inventari_2[],8,FALSE)</f>
        <v>#N/A</v>
      </c>
      <c r="G708" s="44" t="e">
        <f>Salidas[[#This Row],[PRECIO]]*Salidas[[#This Row],[CANTIDAD]]</f>
        <v>#N/A</v>
      </c>
      <c r="H708" s="84" t="e">
        <f>VLOOKUP(Salidas[[#This Row],[CODIGO ]],Inventario[],10,FALSE)*Salidas[[#This Row],[CANTIDAD]]</f>
        <v>#N/A</v>
      </c>
    </row>
    <row r="709" spans="1:8" ht="40.5" customHeight="1">
      <c r="A709" s="18"/>
      <c r="B709" s="20"/>
      <c r="C709" s="86"/>
      <c r="D709" s="83" t="str">
        <f>IFERROR(INDEX(Inventari_2[#All],MATCH(Salidas[[#This Row],[CODIGO ]],Inventari_2[[#Headers],[#Data],[CODIGO]],0),2),"")</f>
        <v/>
      </c>
      <c r="E709">
        <v>1</v>
      </c>
      <c r="F709" s="43" t="e">
        <f>VLOOKUP(Salidas[[#This Row],[CODIGO ]],Inventari_2[],8,FALSE)</f>
        <v>#N/A</v>
      </c>
      <c r="G709" s="44" t="e">
        <f>Salidas[[#This Row],[PRECIO]]*Salidas[[#This Row],[CANTIDAD]]</f>
        <v>#N/A</v>
      </c>
      <c r="H709" s="84" t="e">
        <f>VLOOKUP(Salidas[[#This Row],[CODIGO ]],Inventario[],10,FALSE)*Salidas[[#This Row],[CANTIDAD]]</f>
        <v>#N/A</v>
      </c>
    </row>
    <row r="710" spans="1:8" ht="40.5" customHeight="1">
      <c r="A710" s="18"/>
      <c r="B710" s="20"/>
      <c r="C710" s="86"/>
      <c r="D710" s="83" t="str">
        <f>IFERROR(INDEX(Inventari_2[#All],MATCH(Salidas[[#This Row],[CODIGO ]],Inventari_2[[#Headers],[#Data],[CODIGO]],0),2),"")</f>
        <v/>
      </c>
      <c r="E710">
        <v>1</v>
      </c>
      <c r="F710" s="43" t="e">
        <f>VLOOKUP(Salidas[[#This Row],[CODIGO ]],Inventari_2[],8,FALSE)</f>
        <v>#N/A</v>
      </c>
      <c r="G710" s="44" t="e">
        <f>Salidas[[#This Row],[PRECIO]]*Salidas[[#This Row],[CANTIDAD]]</f>
        <v>#N/A</v>
      </c>
      <c r="H710" s="84" t="e">
        <f>VLOOKUP(Salidas[[#This Row],[CODIGO ]],Inventario[],10,FALSE)*Salidas[[#This Row],[CANTIDAD]]</f>
        <v>#N/A</v>
      </c>
    </row>
    <row r="711" spans="1:8" ht="40.5" customHeight="1">
      <c r="A711" s="18"/>
      <c r="B711" s="20"/>
      <c r="C711" s="86"/>
      <c r="D711" s="83" t="str">
        <f>IFERROR(INDEX(Inventari_2[#All],MATCH(Salidas[[#This Row],[CODIGO ]],Inventari_2[[#Headers],[#Data],[CODIGO]],0),2),"")</f>
        <v/>
      </c>
      <c r="E711">
        <v>1</v>
      </c>
      <c r="F711" s="43" t="e">
        <f>VLOOKUP(Salidas[[#This Row],[CODIGO ]],Inventari_2[],8,FALSE)</f>
        <v>#N/A</v>
      </c>
      <c r="G711" s="44" t="e">
        <f>Salidas[[#This Row],[PRECIO]]*Salidas[[#This Row],[CANTIDAD]]</f>
        <v>#N/A</v>
      </c>
      <c r="H711" s="84" t="e">
        <f>VLOOKUP(Salidas[[#This Row],[CODIGO ]],Inventario[],10,FALSE)*Salidas[[#This Row],[CANTIDAD]]</f>
        <v>#N/A</v>
      </c>
    </row>
    <row r="712" spans="1:8" ht="40.5" customHeight="1">
      <c r="A712" s="18"/>
      <c r="B712" s="20"/>
      <c r="C712" s="86"/>
      <c r="D712" s="83" t="str">
        <f>IFERROR(INDEX(Inventari_2[#All],MATCH(Salidas[[#This Row],[CODIGO ]],Inventari_2[[#Headers],[#Data],[CODIGO]],0),2),"")</f>
        <v/>
      </c>
      <c r="E712">
        <v>1</v>
      </c>
      <c r="F712" s="43" t="e">
        <f>VLOOKUP(Salidas[[#This Row],[CODIGO ]],Inventari_2[],8,FALSE)</f>
        <v>#N/A</v>
      </c>
      <c r="G712" s="44" t="e">
        <f>Salidas[[#This Row],[PRECIO]]*Salidas[[#This Row],[CANTIDAD]]</f>
        <v>#N/A</v>
      </c>
      <c r="H712" s="84" t="e">
        <f>VLOOKUP(Salidas[[#This Row],[CODIGO ]],Inventario[],10,FALSE)*Salidas[[#This Row],[CANTIDAD]]</f>
        <v>#N/A</v>
      </c>
    </row>
    <row r="713" spans="1:8" ht="40.5" customHeight="1">
      <c r="A713" s="18"/>
      <c r="B713" s="20"/>
      <c r="C713" s="86"/>
      <c r="D713" s="83" t="str">
        <f>IFERROR(INDEX(Inventari_2[#All],MATCH(Salidas[[#This Row],[CODIGO ]],Inventari_2[[#Headers],[#Data],[CODIGO]],0),2),"")</f>
        <v/>
      </c>
      <c r="E713">
        <v>1</v>
      </c>
      <c r="F713" s="43" t="e">
        <f>VLOOKUP(Salidas[[#This Row],[CODIGO ]],Inventari_2[],8,FALSE)</f>
        <v>#N/A</v>
      </c>
      <c r="G713" s="44" t="e">
        <f>Salidas[[#This Row],[PRECIO]]*Salidas[[#This Row],[CANTIDAD]]</f>
        <v>#N/A</v>
      </c>
      <c r="H713" s="84" t="e">
        <f>VLOOKUP(Salidas[[#This Row],[CODIGO ]],Inventario[],10,FALSE)*Salidas[[#This Row],[CANTIDAD]]</f>
        <v>#N/A</v>
      </c>
    </row>
    <row r="714" spans="1:8" ht="40.5" customHeight="1">
      <c r="A714" s="18"/>
      <c r="B714" s="20"/>
      <c r="C714" s="86"/>
      <c r="D714" s="83" t="str">
        <f>IFERROR(INDEX(Inventari_2[#All],MATCH(Salidas[[#This Row],[CODIGO ]],Inventari_2[[#Headers],[#Data],[CODIGO]],0),2),"")</f>
        <v/>
      </c>
      <c r="E714">
        <v>1</v>
      </c>
      <c r="F714" s="43" t="e">
        <f>VLOOKUP(Salidas[[#This Row],[CODIGO ]],Inventari_2[],8,FALSE)</f>
        <v>#N/A</v>
      </c>
      <c r="G714" s="44" t="e">
        <f>Salidas[[#This Row],[PRECIO]]*Salidas[[#This Row],[CANTIDAD]]</f>
        <v>#N/A</v>
      </c>
      <c r="H714" s="84" t="e">
        <f>VLOOKUP(Salidas[[#This Row],[CODIGO ]],Inventario[],10,FALSE)*Salidas[[#This Row],[CANTIDAD]]</f>
        <v>#N/A</v>
      </c>
    </row>
    <row r="715" spans="1:8" ht="40.5" customHeight="1">
      <c r="A715" s="18"/>
      <c r="B715" s="20"/>
      <c r="C715" s="86"/>
      <c r="D715" s="83" t="str">
        <f>IFERROR(INDEX(Inventari_2[#All],MATCH(Salidas[[#This Row],[CODIGO ]],Inventari_2[[#Headers],[#Data],[CODIGO]],0),2),"")</f>
        <v/>
      </c>
      <c r="E715">
        <v>1</v>
      </c>
      <c r="F715" s="43" t="e">
        <f>VLOOKUP(Salidas[[#This Row],[CODIGO ]],Inventari_2[],8,FALSE)</f>
        <v>#N/A</v>
      </c>
      <c r="G715" s="44" t="e">
        <f>Salidas[[#This Row],[PRECIO]]*Salidas[[#This Row],[CANTIDAD]]</f>
        <v>#N/A</v>
      </c>
      <c r="H715" s="84" t="e">
        <f>VLOOKUP(Salidas[[#This Row],[CODIGO ]],Inventario[],10,FALSE)*Salidas[[#This Row],[CANTIDAD]]</f>
        <v>#N/A</v>
      </c>
    </row>
    <row r="716" spans="1:8" ht="40.5" customHeight="1">
      <c r="A716" s="18"/>
      <c r="B716" s="20"/>
      <c r="C716" s="86"/>
      <c r="D716" s="83" t="str">
        <f>IFERROR(INDEX(Inventari_2[#All],MATCH(Salidas[[#This Row],[CODIGO ]],Inventari_2[[#Headers],[#Data],[CODIGO]],0),2),"")</f>
        <v/>
      </c>
      <c r="E716">
        <v>1</v>
      </c>
      <c r="F716" s="43" t="e">
        <f>VLOOKUP(Salidas[[#This Row],[CODIGO ]],Inventari_2[],8,FALSE)</f>
        <v>#N/A</v>
      </c>
      <c r="G716" s="44" t="e">
        <f>Salidas[[#This Row],[PRECIO]]*Salidas[[#This Row],[CANTIDAD]]</f>
        <v>#N/A</v>
      </c>
      <c r="H716" s="84" t="e">
        <f>VLOOKUP(Salidas[[#This Row],[CODIGO ]],Inventario[],10,FALSE)*Salidas[[#This Row],[CANTIDAD]]</f>
        <v>#N/A</v>
      </c>
    </row>
    <row r="717" spans="1:8" ht="40.5" customHeight="1">
      <c r="A717" s="18"/>
      <c r="B717" s="20"/>
      <c r="C717" s="86"/>
      <c r="D717" s="83" t="str">
        <f>IFERROR(INDEX(Inventari_2[#All],MATCH(Salidas[[#This Row],[CODIGO ]],Inventari_2[[#Headers],[#Data],[CODIGO]],0),2),"")</f>
        <v/>
      </c>
      <c r="E717">
        <v>1</v>
      </c>
      <c r="F717" s="43" t="e">
        <f>VLOOKUP(Salidas[[#This Row],[CODIGO ]],Inventari_2[],8,FALSE)</f>
        <v>#N/A</v>
      </c>
      <c r="G717" s="44" t="e">
        <f>Salidas[[#This Row],[PRECIO]]*Salidas[[#This Row],[CANTIDAD]]</f>
        <v>#N/A</v>
      </c>
      <c r="H717" s="84" t="e">
        <f>VLOOKUP(Salidas[[#This Row],[CODIGO ]],Inventario[],10,FALSE)*Salidas[[#This Row],[CANTIDAD]]</f>
        <v>#N/A</v>
      </c>
    </row>
    <row r="718" spans="1:8" ht="40.5" customHeight="1">
      <c r="A718" s="18"/>
      <c r="B718" s="20"/>
      <c r="C718" s="86"/>
      <c r="D718" s="83" t="str">
        <f>IFERROR(INDEX(Inventari_2[#All],MATCH(Salidas[[#This Row],[CODIGO ]],Inventari_2[[#Headers],[#Data],[CODIGO]],0),2),"")</f>
        <v/>
      </c>
      <c r="E718">
        <v>1</v>
      </c>
      <c r="F718" s="43" t="e">
        <f>VLOOKUP(Salidas[[#This Row],[CODIGO ]],Inventari_2[],8,FALSE)</f>
        <v>#N/A</v>
      </c>
      <c r="G718" s="44" t="e">
        <f>Salidas[[#This Row],[PRECIO]]*Salidas[[#This Row],[CANTIDAD]]</f>
        <v>#N/A</v>
      </c>
      <c r="H718" s="84" t="e">
        <f>VLOOKUP(Salidas[[#This Row],[CODIGO ]],Inventario[],10,FALSE)*Salidas[[#This Row],[CANTIDAD]]</f>
        <v>#N/A</v>
      </c>
    </row>
    <row r="719" spans="1:8" ht="40.5" customHeight="1">
      <c r="A719" s="18"/>
      <c r="B719" s="20"/>
      <c r="C719" s="86"/>
      <c r="D719" s="83" t="str">
        <f>IFERROR(INDEX(Inventari_2[#All],MATCH(Salidas[[#This Row],[CODIGO ]],Inventari_2[[#Headers],[#Data],[CODIGO]],0),2),"")</f>
        <v/>
      </c>
      <c r="E719">
        <v>1</v>
      </c>
      <c r="F719" s="43" t="e">
        <f>VLOOKUP(Salidas[[#This Row],[CODIGO ]],Inventari_2[],8,FALSE)</f>
        <v>#N/A</v>
      </c>
      <c r="G719" s="44" t="e">
        <f>Salidas[[#This Row],[PRECIO]]*Salidas[[#This Row],[CANTIDAD]]</f>
        <v>#N/A</v>
      </c>
      <c r="H719" s="84" t="e">
        <f>VLOOKUP(Salidas[[#This Row],[CODIGO ]],Inventario[],10,FALSE)*Salidas[[#This Row],[CANTIDAD]]</f>
        <v>#N/A</v>
      </c>
    </row>
    <row r="720" spans="1:8" ht="40.5" customHeight="1">
      <c r="A720" s="18"/>
      <c r="B720" s="20"/>
      <c r="C720" s="86"/>
      <c r="D720" s="83" t="str">
        <f>IFERROR(INDEX(Inventari_2[#All],MATCH(Salidas[[#This Row],[CODIGO ]],Inventari_2[[#Headers],[#Data],[CODIGO]],0),2),"")</f>
        <v/>
      </c>
      <c r="E720">
        <v>1</v>
      </c>
      <c r="F720" s="43" t="e">
        <f>VLOOKUP(Salidas[[#This Row],[CODIGO ]],Inventari_2[],8,FALSE)</f>
        <v>#N/A</v>
      </c>
      <c r="G720" s="44" t="e">
        <f>Salidas[[#This Row],[PRECIO]]*Salidas[[#This Row],[CANTIDAD]]</f>
        <v>#N/A</v>
      </c>
      <c r="H720" s="84" t="e">
        <f>VLOOKUP(Salidas[[#This Row],[CODIGO ]],Inventario[],10,FALSE)*Salidas[[#This Row],[CANTIDAD]]</f>
        <v>#N/A</v>
      </c>
    </row>
    <row r="721" spans="1:8" ht="40.5" customHeight="1">
      <c r="A721" s="18"/>
      <c r="B721" s="20"/>
      <c r="C721" s="86"/>
      <c r="D721" s="83" t="str">
        <f>IFERROR(INDEX(Inventari_2[#All],MATCH(Salidas[[#This Row],[CODIGO ]],Inventari_2[[#Headers],[#Data],[CODIGO]],0),2),"")</f>
        <v/>
      </c>
      <c r="E721">
        <v>1</v>
      </c>
      <c r="F721" s="43" t="e">
        <f>VLOOKUP(Salidas[[#This Row],[CODIGO ]],Inventari_2[],8,FALSE)</f>
        <v>#N/A</v>
      </c>
      <c r="G721" s="44" t="e">
        <f>Salidas[[#This Row],[PRECIO]]*Salidas[[#This Row],[CANTIDAD]]</f>
        <v>#N/A</v>
      </c>
      <c r="H721" s="84" t="e">
        <f>VLOOKUP(Salidas[[#This Row],[CODIGO ]],Inventario[],10,FALSE)*Salidas[[#This Row],[CANTIDAD]]</f>
        <v>#N/A</v>
      </c>
    </row>
    <row r="722" spans="1:8" ht="40.5" customHeight="1">
      <c r="A722" s="18"/>
      <c r="B722" s="20"/>
      <c r="C722" s="86"/>
      <c r="D722" s="83" t="str">
        <f>IFERROR(INDEX(Inventari_2[#All],MATCH(Salidas[[#This Row],[CODIGO ]],Inventari_2[[#Headers],[#Data],[CODIGO]],0),2),"")</f>
        <v/>
      </c>
      <c r="E722">
        <v>1</v>
      </c>
      <c r="F722" s="43" t="e">
        <f>VLOOKUP(Salidas[[#This Row],[CODIGO ]],Inventari_2[],8,FALSE)</f>
        <v>#N/A</v>
      </c>
      <c r="G722" s="44" t="e">
        <f>Salidas[[#This Row],[PRECIO]]*Salidas[[#This Row],[CANTIDAD]]</f>
        <v>#N/A</v>
      </c>
      <c r="H722" s="84" t="e">
        <f>VLOOKUP(Salidas[[#This Row],[CODIGO ]],Inventario[],10,FALSE)*Salidas[[#This Row],[CANTIDAD]]</f>
        <v>#N/A</v>
      </c>
    </row>
    <row r="723" spans="1:8" ht="40.5" customHeight="1">
      <c r="A723" s="18"/>
      <c r="B723" s="20"/>
      <c r="C723" s="86"/>
      <c r="D723" s="83" t="str">
        <f>IFERROR(INDEX(Inventari_2[#All],MATCH(Salidas[[#This Row],[CODIGO ]],Inventari_2[[#Headers],[#Data],[CODIGO]],0),2),"")</f>
        <v/>
      </c>
      <c r="E723">
        <v>1</v>
      </c>
      <c r="F723" s="43" t="e">
        <f>VLOOKUP(Salidas[[#This Row],[CODIGO ]],Inventari_2[],8,FALSE)</f>
        <v>#N/A</v>
      </c>
      <c r="G723" s="44" t="e">
        <f>Salidas[[#This Row],[PRECIO]]*Salidas[[#This Row],[CANTIDAD]]</f>
        <v>#N/A</v>
      </c>
      <c r="H723" s="84" t="e">
        <f>VLOOKUP(Salidas[[#This Row],[CODIGO ]],Inventario[],10,FALSE)*Salidas[[#This Row],[CANTIDAD]]</f>
        <v>#N/A</v>
      </c>
    </row>
    <row r="724" spans="1:8" ht="40.5" customHeight="1">
      <c r="A724" s="18"/>
      <c r="B724" s="20"/>
      <c r="C724" s="86"/>
      <c r="D724" s="83" t="str">
        <f>IFERROR(INDEX(Inventari_2[#All],MATCH(Salidas[[#This Row],[CODIGO ]],Inventari_2[[#Headers],[#Data],[CODIGO]],0),2),"")</f>
        <v/>
      </c>
      <c r="E724">
        <v>1</v>
      </c>
      <c r="F724" s="43" t="e">
        <f>VLOOKUP(Salidas[[#This Row],[CODIGO ]],Inventari_2[],8,FALSE)</f>
        <v>#N/A</v>
      </c>
      <c r="G724" s="44" t="e">
        <f>Salidas[[#This Row],[PRECIO]]*Salidas[[#This Row],[CANTIDAD]]</f>
        <v>#N/A</v>
      </c>
      <c r="H724" s="84" t="e">
        <f>VLOOKUP(Salidas[[#This Row],[CODIGO ]],Inventario[],10,FALSE)*Salidas[[#This Row],[CANTIDAD]]</f>
        <v>#N/A</v>
      </c>
    </row>
    <row r="725" spans="1:8" ht="40.5" customHeight="1">
      <c r="A725" s="18"/>
      <c r="B725" s="20"/>
      <c r="C725" s="86"/>
      <c r="D725" s="83" t="str">
        <f>IFERROR(INDEX(Inventari_2[#All],MATCH(Salidas[[#This Row],[CODIGO ]],Inventari_2[[#Headers],[#Data],[CODIGO]],0),2),"")</f>
        <v/>
      </c>
      <c r="E725">
        <v>1</v>
      </c>
      <c r="F725" s="43" t="e">
        <f>VLOOKUP(Salidas[[#This Row],[CODIGO ]],Inventari_2[],8,FALSE)</f>
        <v>#N/A</v>
      </c>
      <c r="G725" s="44" t="e">
        <f>Salidas[[#This Row],[PRECIO]]*Salidas[[#This Row],[CANTIDAD]]</f>
        <v>#N/A</v>
      </c>
      <c r="H725" s="84" t="e">
        <f>VLOOKUP(Salidas[[#This Row],[CODIGO ]],Inventario[],10,FALSE)*Salidas[[#This Row],[CANTIDAD]]</f>
        <v>#N/A</v>
      </c>
    </row>
    <row r="726" spans="1:8" ht="40.5" customHeight="1">
      <c r="A726" s="18"/>
      <c r="B726" s="20"/>
      <c r="C726" s="86"/>
      <c r="D726" s="83" t="str">
        <f>IFERROR(INDEX(Inventari_2[#All],MATCH(Salidas[[#This Row],[CODIGO ]],Inventari_2[[#Headers],[#Data],[CODIGO]],0),2),"")</f>
        <v/>
      </c>
      <c r="E726">
        <v>1</v>
      </c>
      <c r="F726" s="43" t="e">
        <f>VLOOKUP(Salidas[[#This Row],[CODIGO ]],Inventari_2[],8,FALSE)</f>
        <v>#N/A</v>
      </c>
      <c r="G726" s="44" t="e">
        <f>Salidas[[#This Row],[PRECIO]]*Salidas[[#This Row],[CANTIDAD]]</f>
        <v>#N/A</v>
      </c>
      <c r="H726" s="84" t="e">
        <f>VLOOKUP(Salidas[[#This Row],[CODIGO ]],Inventario[],10,FALSE)*Salidas[[#This Row],[CANTIDAD]]</f>
        <v>#N/A</v>
      </c>
    </row>
    <row r="727" spans="1:8" ht="40.5" customHeight="1">
      <c r="A727" s="18"/>
      <c r="B727" s="20"/>
      <c r="C727" s="86"/>
      <c r="D727" s="83" t="str">
        <f>IFERROR(INDEX(Inventari_2[#All],MATCH(Salidas[[#This Row],[CODIGO ]],Inventari_2[[#Headers],[#Data],[CODIGO]],0),2),"")</f>
        <v/>
      </c>
      <c r="E727">
        <v>1</v>
      </c>
      <c r="F727" s="43" t="e">
        <f>VLOOKUP(Salidas[[#This Row],[CODIGO ]],Inventari_2[],8,FALSE)</f>
        <v>#N/A</v>
      </c>
      <c r="G727" s="44" t="e">
        <f>Salidas[[#This Row],[PRECIO]]*Salidas[[#This Row],[CANTIDAD]]</f>
        <v>#N/A</v>
      </c>
      <c r="H727" s="84" t="e">
        <f>VLOOKUP(Salidas[[#This Row],[CODIGO ]],Inventario[],10,FALSE)*Salidas[[#This Row],[CANTIDAD]]</f>
        <v>#N/A</v>
      </c>
    </row>
    <row r="728" spans="1:8" ht="40.5" customHeight="1">
      <c r="A728" s="18"/>
      <c r="B728" s="20"/>
      <c r="C728" s="86"/>
      <c r="D728" s="83" t="str">
        <f>IFERROR(INDEX(Inventari_2[#All],MATCH(Salidas[[#This Row],[CODIGO ]],Inventari_2[[#Headers],[#Data],[CODIGO]],0),2),"")</f>
        <v/>
      </c>
      <c r="E728">
        <v>1</v>
      </c>
      <c r="F728" s="43" t="e">
        <f>VLOOKUP(Salidas[[#This Row],[CODIGO ]],Inventari_2[],8,FALSE)</f>
        <v>#N/A</v>
      </c>
      <c r="G728" s="44" t="e">
        <f>Salidas[[#This Row],[PRECIO]]*Salidas[[#This Row],[CANTIDAD]]</f>
        <v>#N/A</v>
      </c>
      <c r="H728" s="84" t="e">
        <f>VLOOKUP(Salidas[[#This Row],[CODIGO ]],Inventario[],10,FALSE)*Salidas[[#This Row],[CANTIDAD]]</f>
        <v>#N/A</v>
      </c>
    </row>
    <row r="729" spans="1:8" ht="40.5" customHeight="1">
      <c r="A729" s="18"/>
      <c r="B729" s="20"/>
      <c r="C729" s="86"/>
      <c r="D729" s="83" t="str">
        <f>IFERROR(INDEX(Inventari_2[#All],MATCH(Salidas[[#This Row],[CODIGO ]],Inventari_2[[#Headers],[#Data],[CODIGO]],0),2),"")</f>
        <v/>
      </c>
      <c r="E729">
        <v>1</v>
      </c>
      <c r="F729" s="43" t="e">
        <f>VLOOKUP(Salidas[[#This Row],[CODIGO ]],Inventari_2[],8,FALSE)</f>
        <v>#N/A</v>
      </c>
      <c r="G729" s="44" t="e">
        <f>Salidas[[#This Row],[PRECIO]]*Salidas[[#This Row],[CANTIDAD]]</f>
        <v>#N/A</v>
      </c>
      <c r="H729" s="84" t="e">
        <f>VLOOKUP(Salidas[[#This Row],[CODIGO ]],Inventario[],10,FALSE)*Salidas[[#This Row],[CANTIDAD]]</f>
        <v>#N/A</v>
      </c>
    </row>
    <row r="730" spans="1:8" ht="40.5" customHeight="1">
      <c r="A730" s="18"/>
      <c r="B730" s="20"/>
      <c r="C730" s="86"/>
      <c r="D730" s="83" t="str">
        <f>IFERROR(INDEX(Inventari_2[#All],MATCH(Salidas[[#This Row],[CODIGO ]],Inventari_2[[#Headers],[#Data],[CODIGO]],0),2),"")</f>
        <v/>
      </c>
      <c r="E730">
        <v>1</v>
      </c>
      <c r="F730" s="43" t="e">
        <f>VLOOKUP(Salidas[[#This Row],[CODIGO ]],Inventari_2[],8,FALSE)</f>
        <v>#N/A</v>
      </c>
      <c r="G730" s="44" t="e">
        <f>Salidas[[#This Row],[PRECIO]]*Salidas[[#This Row],[CANTIDAD]]</f>
        <v>#N/A</v>
      </c>
      <c r="H730" s="84" t="e">
        <f>VLOOKUP(Salidas[[#This Row],[CODIGO ]],Inventario[],10,FALSE)*Salidas[[#This Row],[CANTIDAD]]</f>
        <v>#N/A</v>
      </c>
    </row>
    <row r="731" spans="1:8" ht="40.5" customHeight="1">
      <c r="A731" s="18"/>
      <c r="B731" s="20"/>
      <c r="C731" s="86"/>
      <c r="D731" s="83" t="str">
        <f>IFERROR(INDEX(Inventari_2[#All],MATCH(Salidas[[#This Row],[CODIGO ]],Inventari_2[[#Headers],[#Data],[CODIGO]],0),2),"")</f>
        <v/>
      </c>
      <c r="E731">
        <v>1</v>
      </c>
      <c r="F731" s="43" t="e">
        <f>VLOOKUP(Salidas[[#This Row],[CODIGO ]],Inventari_2[],8,FALSE)</f>
        <v>#N/A</v>
      </c>
      <c r="G731" s="44" t="e">
        <f>Salidas[[#This Row],[PRECIO]]*Salidas[[#This Row],[CANTIDAD]]</f>
        <v>#N/A</v>
      </c>
      <c r="H731" s="84" t="e">
        <f>VLOOKUP(Salidas[[#This Row],[CODIGO ]],Inventario[],10,FALSE)*Salidas[[#This Row],[CANTIDAD]]</f>
        <v>#N/A</v>
      </c>
    </row>
    <row r="732" spans="1:8" ht="40.5" customHeight="1">
      <c r="A732" s="18"/>
      <c r="B732" s="20"/>
      <c r="C732" s="86"/>
      <c r="D732" s="83" t="str">
        <f>IFERROR(INDEX(Inventari_2[#All],MATCH(Salidas[[#This Row],[CODIGO ]],Inventari_2[[#Headers],[#Data],[CODIGO]],0),2),"")</f>
        <v/>
      </c>
      <c r="E732">
        <v>1</v>
      </c>
      <c r="F732" s="43" t="e">
        <f>VLOOKUP(Salidas[[#This Row],[CODIGO ]],Inventari_2[],8,FALSE)</f>
        <v>#N/A</v>
      </c>
      <c r="G732" s="44" t="e">
        <f>Salidas[[#This Row],[PRECIO]]*Salidas[[#This Row],[CANTIDAD]]</f>
        <v>#N/A</v>
      </c>
      <c r="H732" s="84" t="e">
        <f>VLOOKUP(Salidas[[#This Row],[CODIGO ]],Inventario[],10,FALSE)*Salidas[[#This Row],[CANTIDAD]]</f>
        <v>#N/A</v>
      </c>
    </row>
    <row r="733" spans="1:8" ht="40.5" customHeight="1">
      <c r="A733" s="18"/>
      <c r="B733" s="20"/>
      <c r="C733" s="86"/>
      <c r="D733" s="83" t="str">
        <f>IFERROR(INDEX(Inventari_2[#All],MATCH(Salidas[[#This Row],[CODIGO ]],Inventari_2[[#Headers],[#Data],[CODIGO]],0),2),"")</f>
        <v/>
      </c>
      <c r="E733">
        <v>1</v>
      </c>
      <c r="F733" s="43" t="e">
        <f>VLOOKUP(Salidas[[#This Row],[CODIGO ]],Inventari_2[],8,FALSE)</f>
        <v>#N/A</v>
      </c>
      <c r="G733" s="44" t="e">
        <f>Salidas[[#This Row],[PRECIO]]*Salidas[[#This Row],[CANTIDAD]]</f>
        <v>#N/A</v>
      </c>
      <c r="H733" s="84" t="e">
        <f>VLOOKUP(Salidas[[#This Row],[CODIGO ]],Inventario[],10,FALSE)*Salidas[[#This Row],[CANTIDAD]]</f>
        <v>#N/A</v>
      </c>
    </row>
    <row r="734" spans="1:8" ht="40.5" customHeight="1">
      <c r="A734" s="18"/>
      <c r="B734" s="20"/>
      <c r="C734" s="86"/>
      <c r="D734" s="83" t="str">
        <f>IFERROR(INDEX(Inventari_2[#All],MATCH(Salidas[[#This Row],[CODIGO ]],Inventari_2[[#Headers],[#Data],[CODIGO]],0),2),"")</f>
        <v/>
      </c>
      <c r="E734">
        <v>1</v>
      </c>
      <c r="F734" s="43" t="e">
        <f>VLOOKUP(Salidas[[#This Row],[CODIGO ]],Inventari_2[],8,FALSE)</f>
        <v>#N/A</v>
      </c>
      <c r="G734" s="44" t="e">
        <f>Salidas[[#This Row],[PRECIO]]*Salidas[[#This Row],[CANTIDAD]]</f>
        <v>#N/A</v>
      </c>
      <c r="H734" s="84" t="e">
        <f>VLOOKUP(Salidas[[#This Row],[CODIGO ]],Inventario[],10,FALSE)*Salidas[[#This Row],[CANTIDAD]]</f>
        <v>#N/A</v>
      </c>
    </row>
    <row r="735" spans="1:8" ht="40.5" customHeight="1">
      <c r="A735" s="18"/>
      <c r="B735" s="20"/>
      <c r="C735" s="86"/>
      <c r="D735" s="83" t="str">
        <f>IFERROR(INDEX(Inventari_2[#All],MATCH(Salidas[[#This Row],[CODIGO ]],Inventari_2[[#Headers],[#Data],[CODIGO]],0),2),"")</f>
        <v/>
      </c>
      <c r="E735">
        <v>1</v>
      </c>
      <c r="F735" s="43" t="e">
        <f>VLOOKUP(Salidas[[#This Row],[CODIGO ]],Inventari_2[],8,FALSE)</f>
        <v>#N/A</v>
      </c>
      <c r="G735" s="44" t="e">
        <f>Salidas[[#This Row],[PRECIO]]*Salidas[[#This Row],[CANTIDAD]]</f>
        <v>#N/A</v>
      </c>
      <c r="H735" s="84" t="e">
        <f>VLOOKUP(Salidas[[#This Row],[CODIGO ]],Inventario[],10,FALSE)*Salidas[[#This Row],[CANTIDAD]]</f>
        <v>#N/A</v>
      </c>
    </row>
    <row r="736" spans="1:8" ht="40.5" customHeight="1">
      <c r="A736" s="18"/>
      <c r="B736" s="20"/>
      <c r="C736" s="86"/>
      <c r="D736" s="83" t="str">
        <f>IFERROR(INDEX(Inventari_2[#All],MATCH(Salidas[[#This Row],[CODIGO ]],Inventari_2[[#Headers],[#Data],[CODIGO]],0),2),"")</f>
        <v/>
      </c>
      <c r="E736">
        <v>1</v>
      </c>
      <c r="F736" s="43" t="e">
        <f>VLOOKUP(Salidas[[#This Row],[CODIGO ]],Inventari_2[],8,FALSE)</f>
        <v>#N/A</v>
      </c>
      <c r="G736" s="44" t="e">
        <f>Salidas[[#This Row],[PRECIO]]*Salidas[[#This Row],[CANTIDAD]]</f>
        <v>#N/A</v>
      </c>
      <c r="H736" s="84" t="e">
        <f>VLOOKUP(Salidas[[#This Row],[CODIGO ]],Inventario[],10,FALSE)*Salidas[[#This Row],[CANTIDAD]]</f>
        <v>#N/A</v>
      </c>
    </row>
    <row r="737" spans="1:8" ht="40.5" customHeight="1">
      <c r="A737" s="18"/>
      <c r="B737" s="20"/>
      <c r="C737" s="86"/>
      <c r="D737" s="83" t="str">
        <f>IFERROR(INDEX(Inventari_2[#All],MATCH(Salidas[[#This Row],[CODIGO ]],Inventari_2[[#Headers],[#Data],[CODIGO]],0),2),"")</f>
        <v/>
      </c>
      <c r="E737">
        <v>1</v>
      </c>
      <c r="F737" s="43" t="e">
        <f>VLOOKUP(Salidas[[#This Row],[CODIGO ]],Inventari_2[],8,FALSE)</f>
        <v>#N/A</v>
      </c>
      <c r="G737" s="44" t="e">
        <f>Salidas[[#This Row],[PRECIO]]*Salidas[[#This Row],[CANTIDAD]]</f>
        <v>#N/A</v>
      </c>
      <c r="H737" s="84" t="e">
        <f>VLOOKUP(Salidas[[#This Row],[CODIGO ]],Inventario[],10,FALSE)*Salidas[[#This Row],[CANTIDAD]]</f>
        <v>#N/A</v>
      </c>
    </row>
    <row r="738" spans="1:8" ht="40.5" customHeight="1">
      <c r="A738" s="18"/>
      <c r="B738" s="20"/>
      <c r="C738" s="86"/>
      <c r="D738" s="83" t="str">
        <f>IFERROR(INDEX(Inventari_2[#All],MATCH(Salidas[[#This Row],[CODIGO ]],Inventari_2[[#Headers],[#Data],[CODIGO]],0),2),"")</f>
        <v/>
      </c>
      <c r="E738">
        <v>1</v>
      </c>
      <c r="F738" s="43" t="e">
        <f>VLOOKUP(Salidas[[#This Row],[CODIGO ]],Inventari_2[],8,FALSE)</f>
        <v>#N/A</v>
      </c>
      <c r="G738" s="44" t="e">
        <f>Salidas[[#This Row],[PRECIO]]*Salidas[[#This Row],[CANTIDAD]]</f>
        <v>#N/A</v>
      </c>
      <c r="H738" s="84" t="e">
        <f>VLOOKUP(Salidas[[#This Row],[CODIGO ]],Inventario[],10,FALSE)*Salidas[[#This Row],[CANTIDAD]]</f>
        <v>#N/A</v>
      </c>
    </row>
    <row r="739" spans="1:8" ht="40.5" customHeight="1">
      <c r="A739" s="18"/>
      <c r="B739" s="20"/>
      <c r="C739" s="86"/>
      <c r="D739" s="83" t="str">
        <f>IFERROR(INDEX(Inventari_2[#All],MATCH(Salidas[[#This Row],[CODIGO ]],Inventari_2[[#Headers],[#Data],[CODIGO]],0),2),"")</f>
        <v/>
      </c>
      <c r="E739">
        <v>1</v>
      </c>
      <c r="F739" s="43" t="e">
        <f>VLOOKUP(Salidas[[#This Row],[CODIGO ]],Inventari_2[],8,FALSE)</f>
        <v>#N/A</v>
      </c>
      <c r="G739" s="44" t="e">
        <f>Salidas[[#This Row],[PRECIO]]*Salidas[[#This Row],[CANTIDAD]]</f>
        <v>#N/A</v>
      </c>
      <c r="H739" s="84" t="e">
        <f>VLOOKUP(Salidas[[#This Row],[CODIGO ]],Inventario[],10,FALSE)*Salidas[[#This Row],[CANTIDAD]]</f>
        <v>#N/A</v>
      </c>
    </row>
    <row r="740" spans="1:8" ht="40.5" customHeight="1">
      <c r="A740" s="18"/>
      <c r="B740" s="20"/>
      <c r="C740" s="86"/>
      <c r="D740" s="83" t="str">
        <f>IFERROR(INDEX(Inventari_2[#All],MATCH(Salidas[[#This Row],[CODIGO ]],Inventari_2[[#Headers],[#Data],[CODIGO]],0),2),"")</f>
        <v/>
      </c>
      <c r="E740">
        <v>1</v>
      </c>
      <c r="F740" s="43" t="e">
        <f>VLOOKUP(Salidas[[#This Row],[CODIGO ]],Inventari_2[],8,FALSE)</f>
        <v>#N/A</v>
      </c>
      <c r="G740" s="44" t="e">
        <f>Salidas[[#This Row],[PRECIO]]*Salidas[[#This Row],[CANTIDAD]]</f>
        <v>#N/A</v>
      </c>
      <c r="H740" s="84" t="e">
        <f>VLOOKUP(Salidas[[#This Row],[CODIGO ]],Inventario[],10,FALSE)*Salidas[[#This Row],[CANTIDAD]]</f>
        <v>#N/A</v>
      </c>
    </row>
    <row r="741" spans="1:8" ht="40.5" customHeight="1">
      <c r="A741" s="18"/>
      <c r="B741" s="20"/>
      <c r="C741" s="86"/>
      <c r="D741" s="83" t="str">
        <f>IFERROR(INDEX(Inventari_2[#All],MATCH(Salidas[[#This Row],[CODIGO ]],Inventari_2[[#Headers],[#Data],[CODIGO]],0),2),"")</f>
        <v/>
      </c>
      <c r="E741">
        <v>1</v>
      </c>
      <c r="F741" s="43" t="e">
        <f>VLOOKUP(Salidas[[#This Row],[CODIGO ]],Inventari_2[],8,FALSE)</f>
        <v>#N/A</v>
      </c>
      <c r="G741" s="44" t="e">
        <f>Salidas[[#This Row],[PRECIO]]*Salidas[[#This Row],[CANTIDAD]]</f>
        <v>#N/A</v>
      </c>
      <c r="H741" s="84" t="e">
        <f>VLOOKUP(Salidas[[#This Row],[CODIGO ]],Inventario[],10,FALSE)*Salidas[[#This Row],[CANTIDAD]]</f>
        <v>#N/A</v>
      </c>
    </row>
    <row r="742" spans="1:8" ht="40.5" customHeight="1">
      <c r="A742" s="18"/>
      <c r="B742" s="20"/>
      <c r="C742" s="86"/>
      <c r="D742" s="83" t="str">
        <f>IFERROR(INDEX(Inventari_2[#All],MATCH(Salidas[[#This Row],[CODIGO ]],Inventari_2[[#Headers],[#Data],[CODIGO]],0),2),"")</f>
        <v/>
      </c>
      <c r="E742">
        <v>1</v>
      </c>
      <c r="F742" s="43" t="e">
        <f>VLOOKUP(Salidas[[#This Row],[CODIGO ]],Inventari_2[],8,FALSE)</f>
        <v>#N/A</v>
      </c>
      <c r="G742" s="44" t="e">
        <f>Salidas[[#This Row],[PRECIO]]*Salidas[[#This Row],[CANTIDAD]]</f>
        <v>#N/A</v>
      </c>
      <c r="H742" s="84" t="e">
        <f>VLOOKUP(Salidas[[#This Row],[CODIGO ]],Inventario[],10,FALSE)*Salidas[[#This Row],[CANTIDAD]]</f>
        <v>#N/A</v>
      </c>
    </row>
    <row r="743" spans="1:8" ht="40.5" customHeight="1">
      <c r="A743" s="18"/>
      <c r="B743" s="20"/>
      <c r="C743" s="86"/>
      <c r="D743" s="83" t="str">
        <f>IFERROR(INDEX(Inventari_2[#All],MATCH(Salidas[[#This Row],[CODIGO ]],Inventari_2[[#Headers],[#Data],[CODIGO]],0),2),"")</f>
        <v/>
      </c>
      <c r="E743">
        <v>1</v>
      </c>
      <c r="F743" s="43" t="e">
        <f>VLOOKUP(Salidas[[#This Row],[CODIGO ]],Inventari_2[],8,FALSE)</f>
        <v>#N/A</v>
      </c>
      <c r="G743" s="44" t="e">
        <f>Salidas[[#This Row],[PRECIO]]*Salidas[[#This Row],[CANTIDAD]]</f>
        <v>#N/A</v>
      </c>
      <c r="H743" s="84" t="e">
        <f>VLOOKUP(Salidas[[#This Row],[CODIGO ]],Inventario[],10,FALSE)*Salidas[[#This Row],[CANTIDAD]]</f>
        <v>#N/A</v>
      </c>
    </row>
    <row r="744" spans="1:8" ht="40.5" customHeight="1">
      <c r="A744" s="18"/>
      <c r="B744" s="20"/>
      <c r="C744" s="86"/>
      <c r="D744" s="83" t="str">
        <f>IFERROR(INDEX(Inventari_2[#All],MATCH(Salidas[[#This Row],[CODIGO ]],Inventari_2[[#Headers],[#Data],[CODIGO]],0),2),"")</f>
        <v/>
      </c>
      <c r="E744">
        <v>1</v>
      </c>
      <c r="F744" s="43" t="e">
        <f>VLOOKUP(Salidas[[#This Row],[CODIGO ]],Inventari_2[],8,FALSE)</f>
        <v>#N/A</v>
      </c>
      <c r="G744" s="44" t="e">
        <f>Salidas[[#This Row],[PRECIO]]*Salidas[[#This Row],[CANTIDAD]]</f>
        <v>#N/A</v>
      </c>
      <c r="H744" s="84" t="e">
        <f>VLOOKUP(Salidas[[#This Row],[CODIGO ]],Inventario[],10,FALSE)*Salidas[[#This Row],[CANTIDAD]]</f>
        <v>#N/A</v>
      </c>
    </row>
    <row r="745" spans="1:8" ht="40.5" customHeight="1">
      <c r="A745" s="18"/>
      <c r="B745" s="20"/>
      <c r="C745" s="86"/>
      <c r="D745" s="83" t="str">
        <f>IFERROR(INDEX(Inventari_2[#All],MATCH(Salidas[[#This Row],[CODIGO ]],Inventari_2[[#Headers],[#Data],[CODIGO]],0),2),"")</f>
        <v/>
      </c>
      <c r="E745">
        <v>1</v>
      </c>
      <c r="F745" s="43" t="e">
        <f>VLOOKUP(Salidas[[#This Row],[CODIGO ]],Inventari_2[],8,FALSE)</f>
        <v>#N/A</v>
      </c>
      <c r="G745" s="44" t="e">
        <f>Salidas[[#This Row],[PRECIO]]*Salidas[[#This Row],[CANTIDAD]]</f>
        <v>#N/A</v>
      </c>
      <c r="H745" s="84" t="e">
        <f>VLOOKUP(Salidas[[#This Row],[CODIGO ]],Inventario[],10,FALSE)*Salidas[[#This Row],[CANTIDAD]]</f>
        <v>#N/A</v>
      </c>
    </row>
    <row r="746" spans="1:8" ht="40.5" customHeight="1">
      <c r="A746" s="18"/>
      <c r="B746" s="20"/>
      <c r="C746" s="86"/>
      <c r="D746" s="83" t="str">
        <f>IFERROR(INDEX(Inventari_2[#All],MATCH(Salidas[[#This Row],[CODIGO ]],Inventari_2[[#Headers],[#Data],[CODIGO]],0),2),"")</f>
        <v/>
      </c>
      <c r="E746">
        <v>1</v>
      </c>
      <c r="F746" s="43" t="e">
        <f>VLOOKUP(Salidas[[#This Row],[CODIGO ]],Inventari_2[],8,FALSE)</f>
        <v>#N/A</v>
      </c>
      <c r="G746" s="44" t="e">
        <f>Salidas[[#This Row],[PRECIO]]*Salidas[[#This Row],[CANTIDAD]]</f>
        <v>#N/A</v>
      </c>
      <c r="H746" s="84" t="e">
        <f>VLOOKUP(Salidas[[#This Row],[CODIGO ]],Inventario[],10,FALSE)*Salidas[[#This Row],[CANTIDAD]]</f>
        <v>#N/A</v>
      </c>
    </row>
    <row r="747" spans="1:8" ht="40.5" customHeight="1">
      <c r="A747" s="18"/>
      <c r="B747" s="20"/>
      <c r="C747" s="86"/>
      <c r="D747" s="83" t="str">
        <f>IFERROR(INDEX(Inventari_2[#All],MATCH(Salidas[[#This Row],[CODIGO ]],Inventari_2[[#Headers],[#Data],[CODIGO]],0),2),"")</f>
        <v/>
      </c>
      <c r="E747">
        <v>1</v>
      </c>
      <c r="F747" s="43" t="e">
        <f>VLOOKUP(Salidas[[#This Row],[CODIGO ]],Inventari_2[],8,FALSE)</f>
        <v>#N/A</v>
      </c>
      <c r="G747" s="44" t="e">
        <f>Salidas[[#This Row],[PRECIO]]*Salidas[[#This Row],[CANTIDAD]]</f>
        <v>#N/A</v>
      </c>
      <c r="H747" s="84" t="e">
        <f>VLOOKUP(Salidas[[#This Row],[CODIGO ]],Inventario[],10,FALSE)*Salidas[[#This Row],[CANTIDAD]]</f>
        <v>#N/A</v>
      </c>
    </row>
    <row r="748" spans="1:8" ht="40.5" customHeight="1">
      <c r="A748" s="18"/>
      <c r="B748" s="20"/>
      <c r="C748" s="86"/>
      <c r="D748" s="83" t="str">
        <f>IFERROR(INDEX(Inventari_2[#All],MATCH(Salidas[[#This Row],[CODIGO ]],Inventari_2[[#Headers],[#Data],[CODIGO]],0),2),"")</f>
        <v/>
      </c>
      <c r="E748">
        <v>1</v>
      </c>
      <c r="F748" s="43" t="e">
        <f>VLOOKUP(Salidas[[#This Row],[CODIGO ]],Inventari_2[],8,FALSE)</f>
        <v>#N/A</v>
      </c>
      <c r="G748" s="44" t="e">
        <f>Salidas[[#This Row],[PRECIO]]*Salidas[[#This Row],[CANTIDAD]]</f>
        <v>#N/A</v>
      </c>
      <c r="H748" s="84" t="e">
        <f>VLOOKUP(Salidas[[#This Row],[CODIGO ]],Inventario[],10,FALSE)*Salidas[[#This Row],[CANTIDAD]]</f>
        <v>#N/A</v>
      </c>
    </row>
    <row r="749" spans="1:8" ht="40.5" customHeight="1">
      <c r="A749" s="18"/>
      <c r="B749" s="20"/>
      <c r="C749" s="86"/>
      <c r="D749" s="83" t="str">
        <f>IFERROR(INDEX(Inventari_2[#All],MATCH(Salidas[[#This Row],[CODIGO ]],Inventari_2[[#Headers],[#Data],[CODIGO]],0),2),"")</f>
        <v/>
      </c>
      <c r="E749">
        <v>1</v>
      </c>
      <c r="F749" s="43" t="e">
        <f>VLOOKUP(Salidas[[#This Row],[CODIGO ]],Inventari_2[],8,FALSE)</f>
        <v>#N/A</v>
      </c>
      <c r="G749" s="44" t="e">
        <f>Salidas[[#This Row],[PRECIO]]*Salidas[[#This Row],[CANTIDAD]]</f>
        <v>#N/A</v>
      </c>
      <c r="H749" s="84" t="e">
        <f>VLOOKUP(Salidas[[#This Row],[CODIGO ]],Inventario[],10,FALSE)*Salidas[[#This Row],[CANTIDAD]]</f>
        <v>#N/A</v>
      </c>
    </row>
    <row r="750" spans="1:8" ht="40.5" customHeight="1">
      <c r="A750" s="18"/>
      <c r="B750" s="20"/>
      <c r="C750" s="86"/>
      <c r="D750" s="83" t="str">
        <f>IFERROR(INDEX(Inventari_2[#All],MATCH(Salidas[[#This Row],[CODIGO ]],Inventari_2[[#Headers],[#Data],[CODIGO]],0),2),"")</f>
        <v/>
      </c>
      <c r="E750">
        <v>1</v>
      </c>
      <c r="F750" s="43" t="e">
        <f>VLOOKUP(Salidas[[#This Row],[CODIGO ]],Inventari_2[],8,FALSE)</f>
        <v>#N/A</v>
      </c>
      <c r="G750" s="44" t="e">
        <f>Salidas[[#This Row],[PRECIO]]*Salidas[[#This Row],[CANTIDAD]]</f>
        <v>#N/A</v>
      </c>
      <c r="H750" s="84" t="e">
        <f>VLOOKUP(Salidas[[#This Row],[CODIGO ]],Inventario[],10,FALSE)*Salidas[[#This Row],[CANTIDAD]]</f>
        <v>#N/A</v>
      </c>
    </row>
    <row r="751" spans="1:8" ht="40.5" customHeight="1">
      <c r="A751" s="18"/>
      <c r="B751" s="20"/>
      <c r="C751" s="86"/>
      <c r="D751" s="83" t="str">
        <f>IFERROR(INDEX(Inventari_2[#All],MATCH(Salidas[[#This Row],[CODIGO ]],Inventari_2[[#Headers],[#Data],[CODIGO]],0),2),"")</f>
        <v/>
      </c>
      <c r="E751">
        <v>1</v>
      </c>
      <c r="F751" s="43" t="e">
        <f>VLOOKUP(Salidas[[#This Row],[CODIGO ]],Inventari_2[],8,FALSE)</f>
        <v>#N/A</v>
      </c>
      <c r="G751" s="44" t="e">
        <f>Salidas[[#This Row],[PRECIO]]*Salidas[[#This Row],[CANTIDAD]]</f>
        <v>#N/A</v>
      </c>
      <c r="H751" s="84" t="e">
        <f>VLOOKUP(Salidas[[#This Row],[CODIGO ]],Inventario[],10,FALSE)*Salidas[[#This Row],[CANTIDAD]]</f>
        <v>#N/A</v>
      </c>
    </row>
    <row r="752" spans="1:8" ht="40.5" customHeight="1">
      <c r="A752" s="18"/>
      <c r="B752" s="20"/>
      <c r="C752" s="86"/>
      <c r="D752" s="83" t="str">
        <f>IFERROR(INDEX(Inventari_2[#All],MATCH(Salidas[[#This Row],[CODIGO ]],Inventari_2[[#Headers],[#Data],[CODIGO]],0),2),"")</f>
        <v/>
      </c>
      <c r="E752">
        <v>1</v>
      </c>
      <c r="F752" s="43" t="e">
        <f>VLOOKUP(Salidas[[#This Row],[CODIGO ]],Inventari_2[],8,FALSE)</f>
        <v>#N/A</v>
      </c>
      <c r="G752" s="44" t="e">
        <f>Salidas[[#This Row],[PRECIO]]*Salidas[[#This Row],[CANTIDAD]]</f>
        <v>#N/A</v>
      </c>
      <c r="H752" s="84" t="e">
        <f>VLOOKUP(Salidas[[#This Row],[CODIGO ]],Inventario[],10,FALSE)*Salidas[[#This Row],[CANTIDAD]]</f>
        <v>#N/A</v>
      </c>
    </row>
    <row r="753" spans="1:8" ht="40.5" customHeight="1">
      <c r="A753" s="18"/>
      <c r="B753" s="20"/>
      <c r="C753" s="86"/>
      <c r="D753" s="83" t="str">
        <f>IFERROR(INDEX(Inventari_2[#All],MATCH(Salidas[[#This Row],[CODIGO ]],Inventari_2[[#Headers],[#Data],[CODIGO]],0),2),"")</f>
        <v/>
      </c>
      <c r="E753">
        <v>1</v>
      </c>
      <c r="F753" s="43" t="e">
        <f>VLOOKUP(Salidas[[#This Row],[CODIGO ]],Inventari_2[],8,FALSE)</f>
        <v>#N/A</v>
      </c>
      <c r="G753" s="44" t="e">
        <f>Salidas[[#This Row],[PRECIO]]*Salidas[[#This Row],[CANTIDAD]]</f>
        <v>#N/A</v>
      </c>
      <c r="H753" s="84" t="e">
        <f>VLOOKUP(Salidas[[#This Row],[CODIGO ]],Inventario[],10,FALSE)*Salidas[[#This Row],[CANTIDAD]]</f>
        <v>#N/A</v>
      </c>
    </row>
    <row r="754" spans="1:8" ht="40.5" customHeight="1">
      <c r="A754" s="18"/>
      <c r="B754" s="20"/>
      <c r="C754" s="86"/>
      <c r="D754" s="83" t="str">
        <f>IFERROR(INDEX(Inventari_2[#All],MATCH(Salidas[[#This Row],[CODIGO ]],Inventari_2[[#Headers],[#Data],[CODIGO]],0),2),"")</f>
        <v/>
      </c>
      <c r="E754">
        <v>1</v>
      </c>
      <c r="F754" s="43" t="e">
        <f>VLOOKUP(Salidas[[#This Row],[CODIGO ]],Inventari_2[],8,FALSE)</f>
        <v>#N/A</v>
      </c>
      <c r="G754" s="44" t="e">
        <f>Salidas[[#This Row],[PRECIO]]*Salidas[[#This Row],[CANTIDAD]]</f>
        <v>#N/A</v>
      </c>
      <c r="H754" s="84" t="e">
        <f>VLOOKUP(Salidas[[#This Row],[CODIGO ]],Inventario[],10,FALSE)*Salidas[[#This Row],[CANTIDAD]]</f>
        <v>#N/A</v>
      </c>
    </row>
    <row r="755" spans="1:8" ht="40.5" customHeight="1">
      <c r="A755" s="18"/>
      <c r="B755" s="20"/>
      <c r="C755" s="86"/>
      <c r="D755" s="83" t="str">
        <f>IFERROR(INDEX(Inventari_2[#All],MATCH(Salidas[[#This Row],[CODIGO ]],Inventari_2[[#Headers],[#Data],[CODIGO]],0),2),"")</f>
        <v/>
      </c>
      <c r="E755">
        <v>1</v>
      </c>
      <c r="F755" s="43" t="e">
        <f>VLOOKUP(Salidas[[#This Row],[CODIGO ]],Inventari_2[],8,FALSE)</f>
        <v>#N/A</v>
      </c>
      <c r="G755" s="44" t="e">
        <f>Salidas[[#This Row],[PRECIO]]*Salidas[[#This Row],[CANTIDAD]]</f>
        <v>#N/A</v>
      </c>
      <c r="H755" s="84" t="e">
        <f>VLOOKUP(Salidas[[#This Row],[CODIGO ]],Inventario[],10,FALSE)*Salidas[[#This Row],[CANTIDAD]]</f>
        <v>#N/A</v>
      </c>
    </row>
    <row r="756" spans="1:8" ht="40.5" customHeight="1">
      <c r="A756" s="18"/>
      <c r="B756" s="20"/>
      <c r="C756" s="86"/>
      <c r="D756" s="83" t="str">
        <f>IFERROR(INDEX(Inventari_2[#All],MATCH(Salidas[[#This Row],[CODIGO ]],Inventari_2[[#Headers],[#Data],[CODIGO]],0),2),"")</f>
        <v/>
      </c>
      <c r="E756">
        <v>1</v>
      </c>
      <c r="F756" s="43" t="e">
        <f>VLOOKUP(Salidas[[#This Row],[CODIGO ]],Inventari_2[],8,FALSE)</f>
        <v>#N/A</v>
      </c>
      <c r="G756" s="44" t="e">
        <f>Salidas[[#This Row],[PRECIO]]*Salidas[[#This Row],[CANTIDAD]]</f>
        <v>#N/A</v>
      </c>
      <c r="H756" s="84" t="e">
        <f>VLOOKUP(Salidas[[#This Row],[CODIGO ]],Inventario[],10,FALSE)*Salidas[[#This Row],[CANTIDAD]]</f>
        <v>#N/A</v>
      </c>
    </row>
    <row r="757" spans="1:8" ht="40.5" customHeight="1">
      <c r="A757" s="18"/>
      <c r="B757" s="20"/>
      <c r="C757" s="86"/>
      <c r="D757" s="83" t="str">
        <f>IFERROR(INDEX(Inventari_2[#All],MATCH(Salidas[[#This Row],[CODIGO ]],Inventari_2[[#Headers],[#Data],[CODIGO]],0),2),"")</f>
        <v/>
      </c>
      <c r="E757">
        <v>1</v>
      </c>
      <c r="F757" s="43" t="e">
        <f>VLOOKUP(Salidas[[#This Row],[CODIGO ]],Inventari_2[],8,FALSE)</f>
        <v>#N/A</v>
      </c>
      <c r="G757" s="44" t="e">
        <f>Salidas[[#This Row],[PRECIO]]*Salidas[[#This Row],[CANTIDAD]]</f>
        <v>#N/A</v>
      </c>
      <c r="H757" s="84" t="e">
        <f>VLOOKUP(Salidas[[#This Row],[CODIGO ]],Inventario[],10,FALSE)*Salidas[[#This Row],[CANTIDAD]]</f>
        <v>#N/A</v>
      </c>
    </row>
    <row r="758" spans="1:8" ht="40.5" customHeight="1">
      <c r="A758" s="18"/>
      <c r="B758" s="20"/>
      <c r="C758" s="86"/>
      <c r="D758" s="83" t="str">
        <f>IFERROR(INDEX(Inventari_2[#All],MATCH(Salidas[[#This Row],[CODIGO ]],Inventari_2[[#Headers],[#Data],[CODIGO]],0),2),"")</f>
        <v/>
      </c>
      <c r="E758">
        <v>1</v>
      </c>
      <c r="F758" s="43" t="e">
        <f>VLOOKUP(Salidas[[#This Row],[CODIGO ]],Inventari_2[],8,FALSE)</f>
        <v>#N/A</v>
      </c>
      <c r="G758" s="44" t="e">
        <f>Salidas[[#This Row],[PRECIO]]*Salidas[[#This Row],[CANTIDAD]]</f>
        <v>#N/A</v>
      </c>
      <c r="H758" s="84" t="e">
        <f>VLOOKUP(Salidas[[#This Row],[CODIGO ]],Inventario[],10,FALSE)*Salidas[[#This Row],[CANTIDAD]]</f>
        <v>#N/A</v>
      </c>
    </row>
    <row r="759" spans="1:8" ht="40.5" customHeight="1">
      <c r="A759" s="18"/>
      <c r="B759" s="20"/>
      <c r="C759" s="86"/>
      <c r="D759" s="83" t="str">
        <f>IFERROR(INDEX(Inventari_2[#All],MATCH(Salidas[[#This Row],[CODIGO ]],Inventari_2[[#Headers],[#Data],[CODIGO]],0),2),"")</f>
        <v/>
      </c>
      <c r="E759">
        <v>1</v>
      </c>
      <c r="F759" s="43" t="e">
        <f>VLOOKUP(Salidas[[#This Row],[CODIGO ]],Inventari_2[],8,FALSE)</f>
        <v>#N/A</v>
      </c>
      <c r="G759" s="44" t="e">
        <f>Salidas[[#This Row],[PRECIO]]*Salidas[[#This Row],[CANTIDAD]]</f>
        <v>#N/A</v>
      </c>
      <c r="H759" s="84" t="e">
        <f>VLOOKUP(Salidas[[#This Row],[CODIGO ]],Inventario[],10,FALSE)*Salidas[[#This Row],[CANTIDAD]]</f>
        <v>#N/A</v>
      </c>
    </row>
    <row r="760" spans="1:8" ht="40.5" customHeight="1">
      <c r="A760" s="18"/>
      <c r="B760" s="20"/>
      <c r="C760" s="86"/>
      <c r="D760" s="83" t="str">
        <f>IFERROR(INDEX(Inventari_2[#All],MATCH(Salidas[[#This Row],[CODIGO ]],Inventari_2[[#Headers],[#Data],[CODIGO]],0),2),"")</f>
        <v/>
      </c>
      <c r="E760">
        <v>1</v>
      </c>
      <c r="F760" s="43" t="e">
        <f>VLOOKUP(Salidas[[#This Row],[CODIGO ]],Inventari_2[],8,FALSE)</f>
        <v>#N/A</v>
      </c>
      <c r="G760" s="44" t="e">
        <f>Salidas[[#This Row],[PRECIO]]*Salidas[[#This Row],[CANTIDAD]]</f>
        <v>#N/A</v>
      </c>
      <c r="H760" s="84" t="e">
        <f>VLOOKUP(Salidas[[#This Row],[CODIGO ]],Inventario[],10,FALSE)*Salidas[[#This Row],[CANTIDAD]]</f>
        <v>#N/A</v>
      </c>
    </row>
    <row r="761" spans="1:8" ht="40.5" customHeight="1">
      <c r="A761" s="18"/>
      <c r="B761" s="20"/>
      <c r="C761" s="86"/>
      <c r="D761" s="83" t="str">
        <f>IFERROR(INDEX(Inventari_2[#All],MATCH(Salidas[[#This Row],[CODIGO ]],Inventari_2[[#Headers],[#Data],[CODIGO]],0),2),"")</f>
        <v/>
      </c>
      <c r="E761">
        <v>1</v>
      </c>
      <c r="F761" s="43" t="e">
        <f>VLOOKUP(Salidas[[#This Row],[CODIGO ]],Inventari_2[],8,FALSE)</f>
        <v>#N/A</v>
      </c>
      <c r="G761" s="44" t="e">
        <f>Salidas[[#This Row],[PRECIO]]*Salidas[[#This Row],[CANTIDAD]]</f>
        <v>#N/A</v>
      </c>
      <c r="H761" s="84" t="e">
        <f>VLOOKUP(Salidas[[#This Row],[CODIGO ]],Inventario[],10,FALSE)*Salidas[[#This Row],[CANTIDAD]]</f>
        <v>#N/A</v>
      </c>
    </row>
    <row r="762" spans="1:8" ht="40.5" customHeight="1">
      <c r="A762" s="18"/>
      <c r="B762" s="20"/>
      <c r="C762" s="86"/>
      <c r="D762" s="83" t="str">
        <f>IFERROR(INDEX(Inventari_2[#All],MATCH(Salidas[[#This Row],[CODIGO ]],Inventari_2[[#Headers],[#Data],[CODIGO]],0),2),"")</f>
        <v/>
      </c>
      <c r="E762">
        <v>1</v>
      </c>
      <c r="F762" s="43" t="e">
        <f>VLOOKUP(Salidas[[#This Row],[CODIGO ]],Inventari_2[],8,FALSE)</f>
        <v>#N/A</v>
      </c>
      <c r="G762" s="44" t="e">
        <f>Salidas[[#This Row],[PRECIO]]*Salidas[[#This Row],[CANTIDAD]]</f>
        <v>#N/A</v>
      </c>
      <c r="H762" s="84" t="e">
        <f>VLOOKUP(Salidas[[#This Row],[CODIGO ]],Inventario[],10,FALSE)*Salidas[[#This Row],[CANTIDAD]]</f>
        <v>#N/A</v>
      </c>
    </row>
    <row r="763" spans="1:8" ht="40.5" customHeight="1">
      <c r="A763" s="18"/>
      <c r="B763" s="20"/>
      <c r="C763" s="86"/>
      <c r="D763" s="83" t="str">
        <f>IFERROR(INDEX(Inventari_2[#All],MATCH(Salidas[[#This Row],[CODIGO ]],Inventari_2[[#Headers],[#Data],[CODIGO]],0),2),"")</f>
        <v/>
      </c>
      <c r="E763">
        <v>1</v>
      </c>
      <c r="F763" s="43" t="e">
        <f>VLOOKUP(Salidas[[#This Row],[CODIGO ]],Inventari_2[],8,FALSE)</f>
        <v>#N/A</v>
      </c>
      <c r="G763" s="44" t="e">
        <f>Salidas[[#This Row],[PRECIO]]*Salidas[[#This Row],[CANTIDAD]]</f>
        <v>#N/A</v>
      </c>
      <c r="H763" s="84" t="e">
        <f>VLOOKUP(Salidas[[#This Row],[CODIGO ]],Inventario[],10,FALSE)*Salidas[[#This Row],[CANTIDAD]]</f>
        <v>#N/A</v>
      </c>
    </row>
    <row r="764" spans="1:8" ht="40.5" customHeight="1">
      <c r="A764" s="18"/>
      <c r="B764" s="20"/>
      <c r="C764" s="86"/>
      <c r="D764" s="83" t="str">
        <f>IFERROR(INDEX(Inventari_2[#All],MATCH(Salidas[[#This Row],[CODIGO ]],Inventari_2[[#Headers],[#Data],[CODIGO]],0),2),"")</f>
        <v/>
      </c>
      <c r="E764">
        <v>1</v>
      </c>
      <c r="F764" s="43" t="e">
        <f>VLOOKUP(Salidas[[#This Row],[CODIGO ]],Inventari_2[],8,FALSE)</f>
        <v>#N/A</v>
      </c>
      <c r="G764" s="44" t="e">
        <f>Salidas[[#This Row],[PRECIO]]*Salidas[[#This Row],[CANTIDAD]]</f>
        <v>#N/A</v>
      </c>
      <c r="H764" s="84" t="e">
        <f>VLOOKUP(Salidas[[#This Row],[CODIGO ]],Inventario[],10,FALSE)*Salidas[[#This Row],[CANTIDAD]]</f>
        <v>#N/A</v>
      </c>
    </row>
    <row r="765" spans="1:8" ht="40.5" customHeight="1">
      <c r="A765" s="18"/>
      <c r="B765" s="20"/>
      <c r="C765" s="86"/>
      <c r="D765" s="83" t="str">
        <f>IFERROR(INDEX(Inventari_2[#All],MATCH(Salidas[[#This Row],[CODIGO ]],Inventari_2[[#Headers],[#Data],[CODIGO]],0),2),"")</f>
        <v/>
      </c>
      <c r="E765">
        <v>1</v>
      </c>
      <c r="F765" s="43" t="e">
        <f>VLOOKUP(Salidas[[#This Row],[CODIGO ]],Inventari_2[],8,FALSE)</f>
        <v>#N/A</v>
      </c>
      <c r="G765" s="44" t="e">
        <f>Salidas[[#This Row],[PRECIO]]*Salidas[[#This Row],[CANTIDAD]]</f>
        <v>#N/A</v>
      </c>
      <c r="H765" s="84" t="e">
        <f>VLOOKUP(Salidas[[#This Row],[CODIGO ]],Inventario[],10,FALSE)*Salidas[[#This Row],[CANTIDAD]]</f>
        <v>#N/A</v>
      </c>
    </row>
    <row r="766" spans="1:8" ht="40.5" customHeight="1">
      <c r="A766" s="18"/>
      <c r="B766" s="20"/>
      <c r="C766" s="86"/>
      <c r="D766" s="83" t="str">
        <f>IFERROR(INDEX(Inventari_2[#All],MATCH(Salidas[[#This Row],[CODIGO ]],Inventari_2[[#Headers],[#Data],[CODIGO]],0),2),"")</f>
        <v/>
      </c>
      <c r="E766">
        <v>1</v>
      </c>
      <c r="F766" s="43" t="e">
        <f>VLOOKUP(Salidas[[#This Row],[CODIGO ]],Inventari_2[],8,FALSE)</f>
        <v>#N/A</v>
      </c>
      <c r="G766" s="44" t="e">
        <f>Salidas[[#This Row],[PRECIO]]*Salidas[[#This Row],[CANTIDAD]]</f>
        <v>#N/A</v>
      </c>
      <c r="H766" s="84" t="e">
        <f>VLOOKUP(Salidas[[#This Row],[CODIGO ]],Inventario[],10,FALSE)*Salidas[[#This Row],[CANTIDAD]]</f>
        <v>#N/A</v>
      </c>
    </row>
    <row r="767" spans="1:8" ht="40.5" customHeight="1">
      <c r="A767" s="18"/>
      <c r="B767" s="20"/>
      <c r="C767" s="86"/>
      <c r="D767" s="83" t="str">
        <f>IFERROR(INDEX(Inventari_2[#All],MATCH(Salidas[[#This Row],[CODIGO ]],Inventari_2[[#Headers],[#Data],[CODIGO]],0),2),"")</f>
        <v/>
      </c>
      <c r="E767">
        <v>1</v>
      </c>
      <c r="F767" s="43" t="e">
        <f>VLOOKUP(Salidas[[#This Row],[CODIGO ]],Inventari_2[],8,FALSE)</f>
        <v>#N/A</v>
      </c>
      <c r="G767" s="44" t="e">
        <f>Salidas[[#This Row],[PRECIO]]*Salidas[[#This Row],[CANTIDAD]]</f>
        <v>#N/A</v>
      </c>
      <c r="H767" s="84" t="e">
        <f>VLOOKUP(Salidas[[#This Row],[CODIGO ]],Inventario[],10,FALSE)*Salidas[[#This Row],[CANTIDAD]]</f>
        <v>#N/A</v>
      </c>
    </row>
    <row r="768" spans="1:8" ht="40.5" customHeight="1">
      <c r="A768" s="18"/>
      <c r="B768" s="20"/>
      <c r="C768" s="86"/>
      <c r="D768" s="83" t="str">
        <f>IFERROR(INDEX(Inventari_2[#All],MATCH(Salidas[[#This Row],[CODIGO ]],Inventari_2[[#Headers],[#Data],[CODIGO]],0),2),"")</f>
        <v/>
      </c>
      <c r="E768">
        <v>1</v>
      </c>
      <c r="F768" s="43" t="e">
        <f>VLOOKUP(Salidas[[#This Row],[CODIGO ]],Inventari_2[],8,FALSE)</f>
        <v>#N/A</v>
      </c>
      <c r="G768" s="44" t="e">
        <f>Salidas[[#This Row],[PRECIO]]*Salidas[[#This Row],[CANTIDAD]]</f>
        <v>#N/A</v>
      </c>
      <c r="H768" s="84" t="e">
        <f>VLOOKUP(Salidas[[#This Row],[CODIGO ]],Inventario[],10,FALSE)*Salidas[[#This Row],[CANTIDAD]]</f>
        <v>#N/A</v>
      </c>
    </row>
    <row r="769" spans="1:8" ht="40.5" customHeight="1">
      <c r="A769" s="18"/>
      <c r="B769" s="20"/>
      <c r="C769" s="86"/>
      <c r="D769" s="83" t="str">
        <f>IFERROR(INDEX(Inventari_2[#All],MATCH(Salidas[[#This Row],[CODIGO ]],Inventari_2[[#Headers],[#Data],[CODIGO]],0),2),"")</f>
        <v/>
      </c>
      <c r="E769">
        <v>1</v>
      </c>
      <c r="F769" s="43" t="e">
        <f>VLOOKUP(Salidas[[#This Row],[CODIGO ]],Inventari_2[],8,FALSE)</f>
        <v>#N/A</v>
      </c>
      <c r="G769" s="44" t="e">
        <f>Salidas[[#This Row],[PRECIO]]*Salidas[[#This Row],[CANTIDAD]]</f>
        <v>#N/A</v>
      </c>
      <c r="H769" s="84" t="e">
        <f>VLOOKUP(Salidas[[#This Row],[CODIGO ]],Inventario[],10,FALSE)*Salidas[[#This Row],[CANTIDAD]]</f>
        <v>#N/A</v>
      </c>
    </row>
    <row r="770" spans="1:8" ht="40.5" customHeight="1">
      <c r="A770" s="18"/>
      <c r="B770" s="20"/>
      <c r="C770" s="86"/>
      <c r="D770" s="83" t="str">
        <f>IFERROR(INDEX(Inventari_2[#All],MATCH(Salidas[[#This Row],[CODIGO ]],Inventari_2[[#Headers],[#Data],[CODIGO]],0),2),"")</f>
        <v/>
      </c>
      <c r="E770">
        <v>1</v>
      </c>
      <c r="F770" s="43" t="e">
        <f>VLOOKUP(Salidas[[#This Row],[CODIGO ]],Inventari_2[],8,FALSE)</f>
        <v>#N/A</v>
      </c>
      <c r="G770" s="44" t="e">
        <f>Salidas[[#This Row],[PRECIO]]*Salidas[[#This Row],[CANTIDAD]]</f>
        <v>#N/A</v>
      </c>
      <c r="H770" s="84" t="e">
        <f>VLOOKUP(Salidas[[#This Row],[CODIGO ]],Inventario[],10,FALSE)*Salidas[[#This Row],[CANTIDAD]]</f>
        <v>#N/A</v>
      </c>
    </row>
    <row r="771" spans="1:8" ht="40.5" customHeight="1">
      <c r="A771" s="18"/>
      <c r="B771" s="20"/>
      <c r="C771" s="86"/>
      <c r="D771" s="83" t="str">
        <f>IFERROR(INDEX(Inventari_2[#All],MATCH(Salidas[[#This Row],[CODIGO ]],Inventari_2[[#Headers],[#Data],[CODIGO]],0),2),"")</f>
        <v/>
      </c>
      <c r="E771">
        <v>1</v>
      </c>
      <c r="F771" s="43" t="e">
        <f>VLOOKUP(Salidas[[#This Row],[CODIGO ]],Inventari_2[],8,FALSE)</f>
        <v>#N/A</v>
      </c>
      <c r="G771" s="44" t="e">
        <f>Salidas[[#This Row],[PRECIO]]*Salidas[[#This Row],[CANTIDAD]]</f>
        <v>#N/A</v>
      </c>
      <c r="H771" s="84" t="e">
        <f>VLOOKUP(Salidas[[#This Row],[CODIGO ]],Inventario[],10,FALSE)*Salidas[[#This Row],[CANTIDAD]]</f>
        <v>#N/A</v>
      </c>
    </row>
    <row r="772" spans="1:8" ht="40.5" customHeight="1">
      <c r="A772" s="18"/>
      <c r="B772" s="20"/>
      <c r="C772" s="86"/>
      <c r="D772" s="83" t="str">
        <f>IFERROR(INDEX(Inventari_2[#All],MATCH(Salidas[[#This Row],[CODIGO ]],Inventari_2[[#Headers],[#Data],[CODIGO]],0),2),"")</f>
        <v/>
      </c>
      <c r="E772">
        <v>1</v>
      </c>
      <c r="F772" s="43" t="e">
        <f>VLOOKUP(Salidas[[#This Row],[CODIGO ]],Inventari_2[],8,FALSE)</f>
        <v>#N/A</v>
      </c>
      <c r="G772" s="44" t="e">
        <f>Salidas[[#This Row],[PRECIO]]*Salidas[[#This Row],[CANTIDAD]]</f>
        <v>#N/A</v>
      </c>
      <c r="H772" s="84" t="e">
        <f>VLOOKUP(Salidas[[#This Row],[CODIGO ]],Inventario[],10,FALSE)*Salidas[[#This Row],[CANTIDAD]]</f>
        <v>#N/A</v>
      </c>
    </row>
    <row r="773" spans="1:8" ht="40.5" customHeight="1">
      <c r="A773" s="18"/>
      <c r="B773" s="20"/>
      <c r="C773" s="86"/>
      <c r="D773" s="83" t="str">
        <f>IFERROR(INDEX(Inventari_2[#All],MATCH(Salidas[[#This Row],[CODIGO ]],Inventari_2[[#Headers],[#Data],[CODIGO]],0),2),"")</f>
        <v/>
      </c>
      <c r="E773">
        <v>1</v>
      </c>
      <c r="F773" s="43" t="e">
        <f>VLOOKUP(Salidas[[#This Row],[CODIGO ]],Inventari_2[],8,FALSE)</f>
        <v>#N/A</v>
      </c>
      <c r="G773" s="44" t="e">
        <f>Salidas[[#This Row],[PRECIO]]*Salidas[[#This Row],[CANTIDAD]]</f>
        <v>#N/A</v>
      </c>
      <c r="H773" s="84" t="e">
        <f>VLOOKUP(Salidas[[#This Row],[CODIGO ]],Inventario[],10,FALSE)*Salidas[[#This Row],[CANTIDAD]]</f>
        <v>#N/A</v>
      </c>
    </row>
    <row r="774" spans="1:8" ht="40.5" customHeight="1">
      <c r="A774" s="18"/>
      <c r="B774" s="20"/>
      <c r="C774" s="86"/>
      <c r="D774" s="83" t="str">
        <f>IFERROR(INDEX(Inventari_2[#All],MATCH(Salidas[[#This Row],[CODIGO ]],Inventari_2[[#Headers],[#Data],[CODIGO]],0),2),"")</f>
        <v/>
      </c>
      <c r="E774">
        <v>1</v>
      </c>
      <c r="F774" s="43" t="e">
        <f>VLOOKUP(Salidas[[#This Row],[CODIGO ]],Inventari_2[],8,FALSE)</f>
        <v>#N/A</v>
      </c>
      <c r="G774" s="44" t="e">
        <f>Salidas[[#This Row],[PRECIO]]*Salidas[[#This Row],[CANTIDAD]]</f>
        <v>#N/A</v>
      </c>
      <c r="H774" s="84" t="e">
        <f>VLOOKUP(Salidas[[#This Row],[CODIGO ]],Inventario[],10,FALSE)*Salidas[[#This Row],[CANTIDAD]]</f>
        <v>#N/A</v>
      </c>
    </row>
    <row r="775" spans="1:8" ht="40.5" customHeight="1">
      <c r="A775" s="18"/>
      <c r="B775" s="20"/>
      <c r="C775" s="86"/>
      <c r="D775" s="83" t="str">
        <f>IFERROR(INDEX(Inventari_2[#All],MATCH(Salidas[[#This Row],[CODIGO ]],Inventari_2[[#Headers],[#Data],[CODIGO]],0),2),"")</f>
        <v/>
      </c>
      <c r="E775">
        <v>1</v>
      </c>
      <c r="F775" s="43" t="e">
        <f>VLOOKUP(Salidas[[#This Row],[CODIGO ]],Inventari_2[],8,FALSE)</f>
        <v>#N/A</v>
      </c>
      <c r="G775" s="44" t="e">
        <f>Salidas[[#This Row],[PRECIO]]*Salidas[[#This Row],[CANTIDAD]]</f>
        <v>#N/A</v>
      </c>
      <c r="H775" s="84" t="e">
        <f>VLOOKUP(Salidas[[#This Row],[CODIGO ]],Inventario[],10,FALSE)*Salidas[[#This Row],[CANTIDAD]]</f>
        <v>#N/A</v>
      </c>
    </row>
    <row r="776" spans="1:8" ht="40.5" customHeight="1">
      <c r="A776" s="18"/>
      <c r="B776" s="20"/>
      <c r="C776" s="86"/>
      <c r="D776" s="83" t="str">
        <f>IFERROR(INDEX(Inventari_2[#All],MATCH(Salidas[[#This Row],[CODIGO ]],Inventari_2[[#Headers],[#Data],[CODIGO]],0),2),"")</f>
        <v/>
      </c>
      <c r="E776">
        <v>1</v>
      </c>
      <c r="F776" s="43" t="e">
        <f>VLOOKUP(Salidas[[#This Row],[CODIGO ]],Inventari_2[],8,FALSE)</f>
        <v>#N/A</v>
      </c>
      <c r="G776" s="44" t="e">
        <f>Salidas[[#This Row],[PRECIO]]*Salidas[[#This Row],[CANTIDAD]]</f>
        <v>#N/A</v>
      </c>
      <c r="H776" s="84" t="e">
        <f>VLOOKUP(Salidas[[#This Row],[CODIGO ]],Inventario[],10,FALSE)*Salidas[[#This Row],[CANTIDAD]]</f>
        <v>#N/A</v>
      </c>
    </row>
    <row r="777" spans="1:8" ht="40.5" customHeight="1">
      <c r="A777" s="18"/>
      <c r="B777" s="20"/>
      <c r="C777" s="86"/>
      <c r="D777" s="83" t="str">
        <f>IFERROR(INDEX(Inventari_2[#All],MATCH(Salidas[[#This Row],[CODIGO ]],Inventari_2[[#Headers],[#Data],[CODIGO]],0),2),"")</f>
        <v/>
      </c>
      <c r="E777">
        <v>1</v>
      </c>
      <c r="F777" s="43" t="e">
        <f>VLOOKUP(Salidas[[#This Row],[CODIGO ]],Inventari_2[],8,FALSE)</f>
        <v>#N/A</v>
      </c>
      <c r="G777" s="44" t="e">
        <f>Salidas[[#This Row],[PRECIO]]*Salidas[[#This Row],[CANTIDAD]]</f>
        <v>#N/A</v>
      </c>
      <c r="H777" s="84" t="e">
        <f>VLOOKUP(Salidas[[#This Row],[CODIGO ]],Inventario[],10,FALSE)*Salidas[[#This Row],[CANTIDAD]]</f>
        <v>#N/A</v>
      </c>
    </row>
    <row r="778" spans="1:8" ht="40.5" customHeight="1">
      <c r="A778" s="18"/>
      <c r="B778" s="20"/>
      <c r="C778" s="86"/>
      <c r="D778" s="83" t="str">
        <f>IFERROR(INDEX(Inventari_2[#All],MATCH(Salidas[[#This Row],[CODIGO ]],Inventari_2[[#Headers],[#Data],[CODIGO]],0),2),"")</f>
        <v/>
      </c>
      <c r="E778">
        <v>1</v>
      </c>
      <c r="F778" s="43" t="e">
        <f>VLOOKUP(Salidas[[#This Row],[CODIGO ]],Inventari_2[],8,FALSE)</f>
        <v>#N/A</v>
      </c>
      <c r="G778" s="44" t="e">
        <f>Salidas[[#This Row],[PRECIO]]*Salidas[[#This Row],[CANTIDAD]]</f>
        <v>#N/A</v>
      </c>
      <c r="H778" s="84" t="e">
        <f>VLOOKUP(Salidas[[#This Row],[CODIGO ]],Inventario[],10,FALSE)*Salidas[[#This Row],[CANTIDAD]]</f>
        <v>#N/A</v>
      </c>
    </row>
    <row r="779" spans="1:8" ht="40.5" customHeight="1">
      <c r="A779" s="18"/>
      <c r="B779" s="20"/>
      <c r="C779" s="86"/>
      <c r="D779" s="83" t="str">
        <f>IFERROR(INDEX(Inventari_2[#All],MATCH(Salidas[[#This Row],[CODIGO ]],Inventari_2[[#Headers],[#Data],[CODIGO]],0),2),"")</f>
        <v/>
      </c>
      <c r="E779">
        <v>1</v>
      </c>
      <c r="F779" s="43" t="e">
        <f>VLOOKUP(Salidas[[#This Row],[CODIGO ]],Inventari_2[],8,FALSE)</f>
        <v>#N/A</v>
      </c>
      <c r="G779" s="44" t="e">
        <f>Salidas[[#This Row],[PRECIO]]*Salidas[[#This Row],[CANTIDAD]]</f>
        <v>#N/A</v>
      </c>
      <c r="H779" s="84" t="e">
        <f>VLOOKUP(Salidas[[#This Row],[CODIGO ]],Inventario[],10,FALSE)*Salidas[[#This Row],[CANTIDAD]]</f>
        <v>#N/A</v>
      </c>
    </row>
    <row r="780" spans="1:8" ht="40.5" customHeight="1">
      <c r="A780" s="18"/>
      <c r="B780" s="20"/>
      <c r="C780" s="86"/>
      <c r="D780" s="83" t="str">
        <f>IFERROR(INDEX(Inventari_2[#All],MATCH(Salidas[[#This Row],[CODIGO ]],Inventari_2[[#Headers],[#Data],[CODIGO]],0),2),"")</f>
        <v/>
      </c>
      <c r="E780">
        <v>1</v>
      </c>
      <c r="F780" s="43" t="e">
        <f>VLOOKUP(Salidas[[#This Row],[CODIGO ]],Inventari_2[],8,FALSE)</f>
        <v>#N/A</v>
      </c>
      <c r="G780" s="44" t="e">
        <f>Salidas[[#This Row],[PRECIO]]*Salidas[[#This Row],[CANTIDAD]]</f>
        <v>#N/A</v>
      </c>
      <c r="H780" s="84" t="e">
        <f>VLOOKUP(Salidas[[#This Row],[CODIGO ]],Inventario[],10,FALSE)*Salidas[[#This Row],[CANTIDAD]]</f>
        <v>#N/A</v>
      </c>
    </row>
    <row r="781" spans="1:8" ht="40.5" customHeight="1">
      <c r="A781" s="18"/>
      <c r="B781" s="20"/>
      <c r="C781" s="86"/>
      <c r="D781" s="83" t="str">
        <f>IFERROR(INDEX(Inventari_2[#All],MATCH(Salidas[[#This Row],[CODIGO ]],Inventari_2[[#Headers],[#Data],[CODIGO]],0),2),"")</f>
        <v/>
      </c>
      <c r="E781">
        <v>1</v>
      </c>
      <c r="F781" s="43" t="e">
        <f>VLOOKUP(Salidas[[#This Row],[CODIGO ]],Inventari_2[],8,FALSE)</f>
        <v>#N/A</v>
      </c>
      <c r="G781" s="44" t="e">
        <f>Salidas[[#This Row],[PRECIO]]*Salidas[[#This Row],[CANTIDAD]]</f>
        <v>#N/A</v>
      </c>
      <c r="H781" s="84" t="e">
        <f>VLOOKUP(Salidas[[#This Row],[CODIGO ]],Inventario[],10,FALSE)*Salidas[[#This Row],[CANTIDAD]]</f>
        <v>#N/A</v>
      </c>
    </row>
    <row r="782" spans="1:8" ht="40.5" customHeight="1">
      <c r="A782" s="18"/>
      <c r="B782" s="20"/>
      <c r="C782" s="86"/>
      <c r="D782" s="83" t="str">
        <f>IFERROR(INDEX(Inventari_2[#All],MATCH(Salidas[[#This Row],[CODIGO ]],Inventari_2[[#Headers],[#Data],[CODIGO]],0),2),"")</f>
        <v/>
      </c>
      <c r="E782">
        <v>1</v>
      </c>
      <c r="F782" s="43" t="e">
        <f>VLOOKUP(Salidas[[#This Row],[CODIGO ]],Inventari_2[],8,FALSE)</f>
        <v>#N/A</v>
      </c>
      <c r="G782" s="44" t="e">
        <f>Salidas[[#This Row],[PRECIO]]*Salidas[[#This Row],[CANTIDAD]]</f>
        <v>#N/A</v>
      </c>
      <c r="H782" s="84" t="e">
        <f>VLOOKUP(Salidas[[#This Row],[CODIGO ]],Inventario[],10,FALSE)*Salidas[[#This Row],[CANTIDAD]]</f>
        <v>#N/A</v>
      </c>
    </row>
    <row r="783" spans="1:8" ht="40.5" customHeight="1">
      <c r="A783" s="18"/>
      <c r="B783" s="20"/>
      <c r="C783" s="86"/>
      <c r="D783" s="83" t="str">
        <f>IFERROR(INDEX(Inventari_2[#All],MATCH(Salidas[[#This Row],[CODIGO ]],Inventari_2[[#Headers],[#Data],[CODIGO]],0),2),"")</f>
        <v/>
      </c>
      <c r="E783">
        <v>1</v>
      </c>
      <c r="F783" s="43" t="e">
        <f>VLOOKUP(Salidas[[#This Row],[CODIGO ]],Inventari_2[],8,FALSE)</f>
        <v>#N/A</v>
      </c>
      <c r="G783" s="44" t="e">
        <f>Salidas[[#This Row],[PRECIO]]*Salidas[[#This Row],[CANTIDAD]]</f>
        <v>#N/A</v>
      </c>
      <c r="H783" s="84" t="e">
        <f>VLOOKUP(Salidas[[#This Row],[CODIGO ]],Inventario[],10,FALSE)*Salidas[[#This Row],[CANTIDAD]]</f>
        <v>#N/A</v>
      </c>
    </row>
  </sheetData>
  <phoneticPr fontId="13" type="noConversion"/>
  <dataValidations count="1">
    <dataValidation type="list" allowBlank="1" showInputMessage="1" showErrorMessage="1" sqref="C3:C48 C70:C72 C74:C137 C139:C783" xr:uid="{4E38CE4D-0F40-44A4-87DC-8A95B59383C4}">
      <formula1>INDIRECT("CODI")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397F-431D-4B75-98BF-7C1489C795FB}">
  <sheetPr codeName="Hoja3"/>
  <dimension ref="A1:H379"/>
  <sheetViews>
    <sheetView topLeftCell="A27" workbookViewId="0">
      <selection activeCell="F34" sqref="F34"/>
    </sheetView>
  </sheetViews>
  <sheetFormatPr baseColWidth="10" defaultColWidth="0" defaultRowHeight="31.5" customHeight="1"/>
  <cols>
    <col min="1" max="1" width="18.875" customWidth="1"/>
    <col min="2" max="2" width="23.625" customWidth="1"/>
    <col min="3" max="3" width="26.125" customWidth="1"/>
    <col min="4" max="4" width="29.125" customWidth="1"/>
    <col min="5" max="5" width="20.5" customWidth="1"/>
    <col min="6" max="8" width="11" customWidth="1"/>
    <col min="9" max="16384" width="11" hidden="1"/>
  </cols>
  <sheetData>
    <row r="1" spans="1:6" ht="31.5" customHeight="1">
      <c r="A1" s="251" t="s">
        <v>825</v>
      </c>
      <c r="B1" s="251"/>
      <c r="C1" s="251"/>
      <c r="D1" s="251"/>
      <c r="E1" s="251"/>
      <c r="F1" s="251"/>
    </row>
    <row r="2" spans="1:6" ht="31.5" customHeight="1">
      <c r="A2" t="s">
        <v>826</v>
      </c>
      <c r="B2" t="s">
        <v>809</v>
      </c>
      <c r="C2" t="s">
        <v>0</v>
      </c>
      <c r="D2" t="s">
        <v>3</v>
      </c>
      <c r="E2" t="s">
        <v>771</v>
      </c>
      <c r="F2" t="s">
        <v>5</v>
      </c>
    </row>
    <row r="3" spans="1:6" ht="31.5" customHeight="1">
      <c r="A3" s="18" t="s">
        <v>370</v>
      </c>
      <c r="B3" s="19"/>
      <c r="C3" s="171">
        <v>6938542010239</v>
      </c>
      <c r="D3" t="str">
        <f>INDEX(Inventari_2[[#Headers],[#Data]],MATCH(Entrada[[#This Row],[CODIGO]],Inventari_2[[#Headers],[#Data],[CODIGO]],0),2)</f>
        <v>SLIME BOLSA</v>
      </c>
      <c r="E3" t="str">
        <f>IFERROR(VLOOKUP(Entrada[[#This Row],[CODIGO]],Inventari_2[],3,FALSE),"-")</f>
        <v>BULLTOYS</v>
      </c>
      <c r="F3">
        <v>2</v>
      </c>
    </row>
    <row r="4" spans="1:6" ht="31.5" customHeight="1">
      <c r="A4" s="18"/>
      <c r="B4" s="19"/>
      <c r="C4" s="171" t="s">
        <v>483</v>
      </c>
      <c r="D4" t="e">
        <f>INDEX(Inventari_2[[#Headers],[#Data]],MATCH(Entrada[[#This Row],[CODIGO]],Inventari_2[[#Headers],[#Data],[CODIGO]],0),2)</f>
        <v>#N/A</v>
      </c>
      <c r="E4" t="str">
        <f>IFERROR(VLOOKUP(Entrada[[#This Row],[CODIGO]],Inventari_2[],3,FALSE),"-")</f>
        <v>-</v>
      </c>
      <c r="F4">
        <v>4</v>
      </c>
    </row>
    <row r="5" spans="1:6" ht="31.5" customHeight="1">
      <c r="A5" s="18"/>
      <c r="B5" s="19"/>
      <c r="C5" s="21" t="s">
        <v>472</v>
      </c>
      <c r="D5" t="str">
        <f>INDEX(Inventari_2[[#Headers],[#Data]],MATCH(Entrada[[#This Row],[CODIGO]],Inventari_2[[#Headers],[#Data],[CODIGO]],0),2)</f>
        <v xml:space="preserve">PORTA CARNET </v>
      </c>
      <c r="E5" t="str">
        <f>IFERROR(VLOOKUP(Entrada[[#This Row],[CODIGO]],Inventari_2[],3,FALSE),"-")</f>
        <v>XIOMARA</v>
      </c>
      <c r="F5">
        <v>6</v>
      </c>
    </row>
    <row r="6" spans="1:6" ht="31.5" customHeight="1">
      <c r="A6" s="18"/>
      <c r="B6" s="19"/>
      <c r="C6" s="142" t="s">
        <v>35</v>
      </c>
      <c r="D6" t="str">
        <f>INDEX(Inventari_2[[#Headers],[#Data]],MATCH(Entrada[[#This Row],[CODIGO]],Inventari_2[[#Headers],[#Data],[CODIGO]],0),2)</f>
        <v>ARETE PEQUEÑO</v>
      </c>
      <c r="E6" t="str">
        <f>IFERROR(VLOOKUP(Entrada[[#This Row],[CODIGO]],Inventari_2[],3,FALSE),"-")</f>
        <v>MUNDO ANIME</v>
      </c>
      <c r="F6">
        <v>4</v>
      </c>
    </row>
    <row r="7" spans="1:6" ht="31.5" customHeight="1">
      <c r="A7" s="18"/>
      <c r="B7" s="19"/>
      <c r="C7" s="171" t="s">
        <v>27</v>
      </c>
      <c r="D7" t="str">
        <f>INDEX(Inventari_2[[#Headers],[#Data]],MATCH(Entrada[[#This Row],[CODIGO]],Inventari_2[[#Headers],[#Data],[CODIGO]],0),2)</f>
        <v>AGENDA IMANTADA HARRY POTTER</v>
      </c>
      <c r="E7" t="str">
        <f>IFERROR(VLOOKUP(Entrada[[#This Row],[CODIGO]],Inventari_2[],3,FALSE),"-")</f>
        <v>ZHOTICO</v>
      </c>
      <c r="F7">
        <v>2</v>
      </c>
    </row>
    <row r="8" spans="1:6" ht="31.5" customHeight="1">
      <c r="A8" s="18"/>
      <c r="B8" s="19"/>
      <c r="C8" s="144">
        <v>6975260472888</v>
      </c>
      <c r="D8" t="str">
        <f>INDEX(Inventari_2[[#Headers],[#Data]],MATCH(Entrada[[#This Row],[CODIGO]],Inventari_2[[#Headers],[#Data],[CODIGO]],0),2)</f>
        <v>MAPA HARRY POTTER</v>
      </c>
      <c r="E8" t="str">
        <f>IFERROR(VLOOKUP(Entrada[[#This Row],[CODIGO]],Inventari_2[],3,FALSE),"-")</f>
        <v>MUNDO COMICS</v>
      </c>
      <c r="F8">
        <v>1</v>
      </c>
    </row>
    <row r="9" spans="1:6" ht="31.5" customHeight="1">
      <c r="A9" s="18"/>
      <c r="B9" s="19"/>
      <c r="C9" s="171" t="s">
        <v>279</v>
      </c>
      <c r="D9" t="str">
        <f>INDEX(Inventari_2[[#Headers],[#Data]],MATCH(Entrada[[#This Row],[CODIGO]],Inventari_2[[#Headers],[#Data],[CODIGO]],0),2)</f>
        <v xml:space="preserve">KIT DE HARRY PLUMA </v>
      </c>
      <c r="E9" t="str">
        <f>IFERROR(VLOOKUP(Entrada[[#This Row],[CODIGO]],Inventari_2[],3,FALSE),"-")</f>
        <v>MUNDO COMICS</v>
      </c>
      <c r="F9">
        <v>1</v>
      </c>
    </row>
    <row r="10" spans="1:6" ht="31.5" customHeight="1">
      <c r="A10" s="18"/>
      <c r="B10" s="19"/>
      <c r="C10" s="142" t="s">
        <v>39</v>
      </c>
      <c r="D10" t="str">
        <f>INDEX(Inventari_2[[#Headers],[#Data]],MATCH(Entrada[[#This Row],[CODIGO]],Inventari_2[[#Headers],[#Data],[CODIGO]],0),2)</f>
        <v>ARETE GRANDE</v>
      </c>
      <c r="E10" t="str">
        <f>IFERROR(VLOOKUP(Entrada[[#This Row],[CODIGO]],Inventari_2[],3,FALSE),"-")</f>
        <v>MUNDO ANIME</v>
      </c>
      <c r="F10">
        <v>1</v>
      </c>
    </row>
    <row r="11" spans="1:6" ht="31.5" customHeight="1">
      <c r="A11" s="18"/>
      <c r="B11" s="19"/>
      <c r="C11" s="171" t="s">
        <v>515</v>
      </c>
      <c r="D11" t="e">
        <f>INDEX(Inventari_2[[#Headers],[#Data]],MATCH(Entrada[[#This Row],[CODIGO]],Inventari_2[[#Headers],[#Data],[CODIGO]],0),2)</f>
        <v>#N/A</v>
      </c>
      <c r="E11" t="str">
        <f>IFERROR(VLOOKUP(Entrada[[#This Row],[CODIGO]],Inventari_2[],3,FALSE),"-")</f>
        <v>-</v>
      </c>
      <c r="F11">
        <v>5</v>
      </c>
    </row>
    <row r="12" spans="1:6" ht="31.5" customHeight="1">
      <c r="A12" s="18"/>
      <c r="B12" s="19"/>
      <c r="C12" s="142" t="s">
        <v>27</v>
      </c>
      <c r="D12" t="str">
        <f>INDEX(Inventari_2[[#Headers],[#Data]],MATCH(Entrada[[#This Row],[CODIGO]],Inventari_2[[#Headers],[#Data],[CODIGO]],0),2)</f>
        <v>AGENDA IMANTADA HARRY POTTER</v>
      </c>
      <c r="E12" t="str">
        <f>IFERROR(VLOOKUP(Entrada[[#This Row],[CODIGO]],Inventari_2[],3,FALSE),"-")</f>
        <v>ZHOTICO</v>
      </c>
      <c r="F12">
        <v>1</v>
      </c>
    </row>
    <row r="13" spans="1:6" ht="31.5" customHeight="1">
      <c r="A13" s="18"/>
      <c r="B13" s="19"/>
      <c r="C13" s="142" t="s">
        <v>129</v>
      </c>
      <c r="D13" t="e">
        <f>INDEX(Inventari_2[[#Headers],[#Data]],MATCH(Entrada[[#This Row],[CODIGO]],Inventari_2[[#Headers],[#Data],[CODIGO]],0),2)</f>
        <v>#N/A</v>
      </c>
      <c r="E13" t="str">
        <f>IFERROR(VLOOKUP(Entrada[[#This Row],[CODIGO]],Inventari_2[],3,FALSE),"-")</f>
        <v>-</v>
      </c>
      <c r="F13">
        <v>1</v>
      </c>
    </row>
    <row r="14" spans="1:6" ht="31.5" customHeight="1">
      <c r="A14" s="173"/>
      <c r="B14" s="19">
        <v>45780</v>
      </c>
      <c r="C14" s="171">
        <v>6954855226570</v>
      </c>
      <c r="D14" t="str">
        <f>INDEX(Inventari_2[[#Headers],[#Data]],MATCH(Entrada[[#This Row],[CODIGO]],Inventari_2[[#Headers],[#Data],[CODIGO]],0),2)</f>
        <v>LEGOS COLECCIÓN *6</v>
      </c>
      <c r="E14" t="str">
        <f>IFERROR(VLOOKUP(Entrada[[#This Row],[CODIGO]],Inventari_2[],3,FALSE),"-")</f>
        <v>ZHOTICO</v>
      </c>
      <c r="F14">
        <v>2</v>
      </c>
    </row>
    <row r="15" spans="1:6" ht="31.5" customHeight="1">
      <c r="A15" s="18"/>
      <c r="B15" s="19"/>
      <c r="C15" s="171" t="s">
        <v>196</v>
      </c>
      <c r="D15" t="str">
        <f>INDEX(Inventari_2[[#Headers],[#Data]],MATCH(Entrada[[#This Row],[CODIGO]],Inventari_2[[#Headers],[#Data],[CODIGO]],0),2)</f>
        <v>COLLARES ANIME</v>
      </c>
      <c r="E15" t="str">
        <f>IFERROR(VLOOKUP(Entrada[[#This Row],[CODIGO]],Inventari_2[],3,FALSE),"-")</f>
        <v>MUNDO ANIME</v>
      </c>
      <c r="F15">
        <v>2</v>
      </c>
    </row>
    <row r="16" spans="1:6" ht="31.5" customHeight="1">
      <c r="A16" s="18"/>
      <c r="B16" s="19"/>
      <c r="C16" s="171" t="s">
        <v>416</v>
      </c>
      <c r="D16" t="e">
        <f>INDEX(Inventari_2[[#Headers],[#Data]],MATCH(Entrada[[#This Row],[CODIGO]],Inventari_2[[#Headers],[#Data],[CODIGO]],0),2)</f>
        <v>#N/A</v>
      </c>
      <c r="E16" t="str">
        <f>IFERROR(VLOOKUP(Entrada[[#This Row],[CODIGO]],Inventari_2[],3,FALSE),"-")</f>
        <v>-</v>
      </c>
      <c r="F16">
        <v>6</v>
      </c>
    </row>
    <row r="17" spans="1:6" ht="31.5" customHeight="1">
      <c r="A17" s="18"/>
      <c r="B17" s="19"/>
      <c r="C17" s="171" t="s">
        <v>472</v>
      </c>
      <c r="D17" t="str">
        <f>INDEX(Inventari_2[[#Headers],[#Data]],MATCH(Entrada[[#This Row],[CODIGO]],Inventari_2[[#Headers],[#Data],[CODIGO]],0),2)</f>
        <v xml:space="preserve">PORTA CARNET </v>
      </c>
      <c r="E17" t="str">
        <f>IFERROR(VLOOKUP(Entrada[[#This Row],[CODIGO]],Inventari_2[],3,FALSE),"-")</f>
        <v>XIOMARA</v>
      </c>
      <c r="F17">
        <v>1</v>
      </c>
    </row>
    <row r="18" spans="1:6" ht="31.5" customHeight="1">
      <c r="A18" s="18"/>
      <c r="B18" s="19"/>
      <c r="C18" s="171" t="s">
        <v>686</v>
      </c>
      <c r="D18" t="e">
        <f>INDEX(Inventari_2[[#Headers],[#Data]],MATCH(Entrada[[#This Row],[CODIGO]],Inventari_2[[#Headers],[#Data],[CODIGO]],0),2)</f>
        <v>#N/A</v>
      </c>
      <c r="E18" t="str">
        <f>IFERROR(VLOOKUP(Entrada[[#This Row],[CODIGO]],Inventari_2[],3,FALSE),"-")</f>
        <v>-</v>
      </c>
      <c r="F18">
        <v>1</v>
      </c>
    </row>
    <row r="19" spans="1:6" ht="31.5" customHeight="1">
      <c r="A19" s="18"/>
      <c r="B19" s="19"/>
      <c r="C19" s="171" t="s">
        <v>677</v>
      </c>
      <c r="D19" t="e">
        <f>INDEX(Inventari_2[[#Headers],[#Data]],MATCH(Entrada[[#This Row],[CODIGO]],Inventari_2[[#Headers],[#Data],[CODIGO]],0),2)</f>
        <v>#N/A</v>
      </c>
      <c r="E19" t="str">
        <f>IFERROR(VLOOKUP(Entrada[[#This Row],[CODIGO]],Inventari_2[],3,FALSE),"-")</f>
        <v>-</v>
      </c>
      <c r="F19">
        <v>2</v>
      </c>
    </row>
    <row r="20" spans="1:6" ht="31.5" customHeight="1">
      <c r="A20" s="18"/>
      <c r="B20" s="19"/>
      <c r="C20" s="171" t="s">
        <v>279</v>
      </c>
      <c r="D20" t="str">
        <f>INDEX(Inventari_2[[#Headers],[#Data]],MATCH(Entrada[[#This Row],[CODIGO]],Inventari_2[[#Headers],[#Data],[CODIGO]],0),2)</f>
        <v xml:space="preserve">KIT DE HARRY PLUMA </v>
      </c>
      <c r="E20" t="str">
        <f>IFERROR(VLOOKUP(Entrada[[#This Row],[CODIGO]],Inventari_2[],3,FALSE),"-")</f>
        <v>MUNDO COMICS</v>
      </c>
      <c r="F20">
        <v>1</v>
      </c>
    </row>
    <row r="21" spans="1:6" ht="31.5" customHeight="1">
      <c r="A21" s="18"/>
      <c r="B21" s="19"/>
      <c r="C21" s="181">
        <v>6971010802493</v>
      </c>
      <c r="D21" t="str">
        <f>INDEX(Inventari_2[[#Headers],[#Data]],MATCH(Entrada[[#This Row],[CODIGO]],Inventari_2[[#Headers],[#Data],[CODIGO]],0),2)</f>
        <v>ESFERO MULTIMINAS *10</v>
      </c>
      <c r="E21" t="str">
        <f>IFERROR(VLOOKUP(Entrada[[#This Row],[CODIGO]],Inventari_2[],3,FALSE),"-")</f>
        <v>LA TIENDA DEL ESFERO</v>
      </c>
      <c r="F21">
        <v>18</v>
      </c>
    </row>
    <row r="22" spans="1:6" ht="31.5" customHeight="1">
      <c r="A22" s="18"/>
      <c r="B22" s="19"/>
      <c r="C22" s="181" t="s">
        <v>62</v>
      </c>
      <c r="D22" t="str">
        <f>INDEX(Inventari_2[[#Headers],[#Data]],MATCH(Entrada[[#This Row],[CODIGO]],Inventari_2[[#Headers],[#Data],[CODIGO]],0),2)</f>
        <v>BOLIGRAFO GEL</v>
      </c>
      <c r="E22" t="str">
        <f>IFERROR(VLOOKUP(Entrada[[#This Row],[CODIGO]],Inventari_2[],3,FALSE),"-")</f>
        <v>BULLTOYS</v>
      </c>
      <c r="F22">
        <v>25</v>
      </c>
    </row>
    <row r="23" spans="1:6" ht="31.5" customHeight="1">
      <c r="A23" s="18"/>
      <c r="B23" s="19"/>
      <c r="C23" s="35" t="s">
        <v>196</v>
      </c>
      <c r="D23" t="str">
        <f>INDEX(Inventari_2[[#Headers],[#Data]],MATCH(Entrada[[#This Row],[CODIGO]],Inventari_2[[#Headers],[#Data],[CODIGO]],0),2)</f>
        <v>COLLARES ANIME</v>
      </c>
      <c r="E23" t="str">
        <f>IFERROR(VLOOKUP(Entrada[[#This Row],[CODIGO]],Inventari_2[],3,FALSE),"-")</f>
        <v>MUNDO ANIME</v>
      </c>
      <c r="F23">
        <v>7</v>
      </c>
    </row>
    <row r="24" spans="1:6" ht="31.5" customHeight="1">
      <c r="A24" s="18"/>
      <c r="B24" s="19"/>
      <c r="C24" t="s">
        <v>589</v>
      </c>
      <c r="D24" t="str">
        <f>INDEX(Inventari_2[[#Headers],[#Data]],MATCH(Entrada[[#This Row],[CODIGO]],Inventari_2[[#Headers],[#Data],[CODIGO]],0),2)</f>
        <v>STIKERS</v>
      </c>
      <c r="E24" t="str">
        <f>IFERROR(VLOOKUP(Entrada[[#This Row],[CODIGO]],Inventari_2[],3,FALSE),"-")</f>
        <v>MUNDO ANIME</v>
      </c>
      <c r="F24">
        <v>10</v>
      </c>
    </row>
    <row r="25" spans="1:6" ht="31.5" customHeight="1">
      <c r="A25" s="18"/>
      <c r="B25" s="19"/>
      <c r="C25" s="10" t="s">
        <v>50</v>
      </c>
      <c r="D25" t="e">
        <f>INDEX(Inventari_2[[#Headers],[#Data]],MATCH(Entrada[[#This Row],[CODIGO]],Inventari_2[[#Headers],[#Data],[CODIGO]],0),2)</f>
        <v>#N/A</v>
      </c>
      <c r="E25" t="str">
        <f>IFERROR(VLOOKUP(Entrada[[#This Row],[CODIGO]],Inventari_2[],3,FALSE),"-")</f>
        <v>-</v>
      </c>
      <c r="F25">
        <v>5</v>
      </c>
    </row>
    <row r="26" spans="1:6" ht="31.5" customHeight="1">
      <c r="A26" s="18"/>
      <c r="B26" s="19"/>
      <c r="C26" s="21" t="s">
        <v>325</v>
      </c>
      <c r="D26" t="str">
        <f>INDEX(Inventari_2[[#Headers],[#Data]],MATCH(Entrada[[#This Row],[CODIGO]],Inventari_2[[#Headers],[#Data],[CODIGO]],0),2)</f>
        <v>LAMPARA TOTORO</v>
      </c>
      <c r="E26" t="str">
        <f>IFERROR(VLOOKUP(Entrada[[#This Row],[CODIGO]],Inventari_2[],3,FALSE),"-")</f>
        <v>ZHOTICO</v>
      </c>
      <c r="F26">
        <v>1</v>
      </c>
    </row>
    <row r="27" spans="1:6" ht="31.5" customHeight="1">
      <c r="A27" s="18"/>
      <c r="B27" s="19"/>
      <c r="C27" s="54">
        <v>6975608880603</v>
      </c>
      <c r="D27" t="str">
        <f>INDEX(Inventari_2[[#Headers],[#Data]],MATCH(Entrada[[#This Row],[CODIGO]],Inventari_2[[#Headers],[#Data],[CODIGO]],0),2)</f>
        <v>LAMPARA 3D DBZ</v>
      </c>
      <c r="E27" t="str">
        <f>IFERROR(VLOOKUP(Entrada[[#This Row],[CODIGO]],Inventari_2[],3,FALSE),"-")</f>
        <v>ZHOTICO</v>
      </c>
      <c r="F27">
        <v>1</v>
      </c>
    </row>
    <row r="28" spans="1:6" ht="31.5" customHeight="1">
      <c r="A28" s="18"/>
      <c r="B28" s="19"/>
      <c r="C28" s="203" t="s">
        <v>341</v>
      </c>
      <c r="D28" t="str">
        <f>INDEX(Inventari_2[[#Headers],[#Data]],MATCH(Entrada[[#This Row],[CODIGO]],Inventari_2[[#Headers],[#Data],[CODIGO]],0),2)</f>
        <v>LEGO DE FIGURAS PEQUEÑO</v>
      </c>
      <c r="E28" t="str">
        <f>IFERROR(VLOOKUP(Entrada[[#This Row],[CODIGO]],Inventari_2[],3,FALSE),"-")</f>
        <v>ZHOTICO</v>
      </c>
      <c r="F28">
        <v>12</v>
      </c>
    </row>
    <row r="29" spans="1:6" ht="31.5" customHeight="1">
      <c r="A29" s="18"/>
      <c r="B29" s="19"/>
      <c r="C29" s="21" t="s">
        <v>765</v>
      </c>
      <c r="D29" t="str">
        <f>INDEX(Inventari_2[[#Headers],[#Data]],MATCH(Entrada[[#This Row],[CODIGO]],Inventari_2[[#Headers],[#Data],[CODIGO]],0),2)</f>
        <v>PORTA CARNETS ANIME</v>
      </c>
      <c r="E29" t="str">
        <f>IFERROR(VLOOKUP(Entrada[[#This Row],[CODIGO]],Inventari_2[],3,FALSE),"-")</f>
        <v>MUNDO COMIC</v>
      </c>
      <c r="F29">
        <v>9</v>
      </c>
    </row>
    <row r="30" spans="1:6" ht="31.5" customHeight="1">
      <c r="A30" s="18"/>
      <c r="B30" s="19"/>
      <c r="C30" s="142">
        <v>6923450670910</v>
      </c>
      <c r="D30" t="str">
        <f>INDEX(Inventari_2[[#Headers],[#Data]],MATCH(Entrada[[#This Row],[CODIGO]],Inventari_2[[#Headers],[#Data],[CODIGO]],0),2)</f>
        <v xml:space="preserve">AGENDA PASTA DURA </v>
      </c>
      <c r="E30" t="str">
        <f>IFERROR(VLOOKUP(Entrada[[#This Row],[CODIGO]],Inventari_2[],3,FALSE),"-")</f>
        <v>LA TIENDA DEL ESFERO</v>
      </c>
      <c r="F30">
        <v>1</v>
      </c>
    </row>
    <row r="31" spans="1:6" ht="31.5" customHeight="1">
      <c r="A31" s="18"/>
      <c r="B31" s="19"/>
      <c r="C31" s="21">
        <v>6978156215019</v>
      </c>
      <c r="D31" t="str">
        <f>INDEX(Inventari_2[[#Headers],[#Data]],MATCH(Entrada[[#This Row],[CODIGO]],Inventari_2[[#Headers],[#Data],[CODIGO]],0),2)</f>
        <v>TABLET MAGICO</v>
      </c>
      <c r="E31" t="str">
        <f>IFERROR(VLOOKUP(Entrada[[#This Row],[CODIGO]],Inventari_2[],3,FALSE),"-")</f>
        <v>LA TIENDA DEL ESFERO</v>
      </c>
      <c r="F31">
        <v>2</v>
      </c>
    </row>
    <row r="32" spans="1:6" ht="31.5" customHeight="1">
      <c r="A32" s="18"/>
      <c r="B32" s="19"/>
      <c r="C32" s="35" t="s">
        <v>401</v>
      </c>
      <c r="D32" t="str">
        <f>INDEX(Inventari_2[[#Headers],[#Data]],MATCH(Entrada[[#This Row],[CODIGO]],Inventari_2[[#Headers],[#Data],[CODIGO]],0),2)</f>
        <v>MINI AGENDA SANRIO</v>
      </c>
      <c r="E32" t="str">
        <f>IFERROR(VLOOKUP(Entrada[[#This Row],[CODIGO]],Inventari_2[],3,FALSE),"-")</f>
        <v>LA TIENDA DEL ESFERO</v>
      </c>
      <c r="F32">
        <v>8</v>
      </c>
    </row>
    <row r="33" spans="1:6" ht="31.5" customHeight="1">
      <c r="A33" s="18"/>
      <c r="B33" s="19"/>
      <c r="C33" s="144" t="s">
        <v>62</v>
      </c>
      <c r="D33" t="str">
        <f>INDEX(Inventari_2[[#Headers],[#Data]],MATCH(Entrada[[#This Row],[CODIGO]],Inventari_2[[#Headers],[#Data],[CODIGO]],0),2)</f>
        <v>BOLIGRAFO GEL</v>
      </c>
      <c r="E33" t="str">
        <f>IFERROR(VLOOKUP(Entrada[[#This Row],[CODIGO]],Inventari_2[],3,FALSE),"-")</f>
        <v>BULLTOYS</v>
      </c>
      <c r="F33">
        <v>12</v>
      </c>
    </row>
    <row r="34" spans="1:6" ht="31.5" customHeight="1">
      <c r="A34" s="18"/>
      <c r="B34" s="19"/>
      <c r="C34" s="10"/>
      <c r="D34" t="e">
        <f>INDEX(Inventari_2[[#Headers],[#Data]],MATCH(Entrada[[#This Row],[CODIGO]],Inventari_2[[#Headers],[#Data],[CODIGO]],0),2)</f>
        <v>#N/A</v>
      </c>
      <c r="E34" t="str">
        <f>IFERROR(VLOOKUP(Entrada[[#This Row],[CODIGO]],Inventari_2[],3,FALSE),"-")</f>
        <v>-</v>
      </c>
    </row>
    <row r="35" spans="1:6" ht="31.5" customHeight="1">
      <c r="A35" s="18"/>
      <c r="B35" s="19"/>
      <c r="C35" s="144"/>
      <c r="D35" t="e">
        <f>INDEX(Inventari_2[[#Headers],[#Data]],MATCH(Entrada[[#This Row],[CODIGO]],Inventari_2[[#Headers],[#Data],[CODIGO]],0),2)</f>
        <v>#N/A</v>
      </c>
      <c r="E35" t="str">
        <f>IFERROR(VLOOKUP(Entrada[[#This Row],[CODIGO]],Inventari_2[],3,FALSE),"-")</f>
        <v>-</v>
      </c>
    </row>
    <row r="36" spans="1:6" ht="31.5" customHeight="1">
      <c r="A36" s="18"/>
      <c r="B36" s="19"/>
      <c r="C36" s="144"/>
      <c r="D36" t="e">
        <f>INDEX(Inventari_2[[#Headers],[#Data]],MATCH(Entrada[[#This Row],[CODIGO]],Inventari_2[[#Headers],[#Data],[CODIGO]],0),2)</f>
        <v>#N/A</v>
      </c>
      <c r="E36" t="str">
        <f>IFERROR(VLOOKUP(Entrada[[#This Row],[CODIGO]],Inventari_2[],3,FALSE),"-")</f>
        <v>-</v>
      </c>
    </row>
    <row r="37" spans="1:6" ht="31.5" customHeight="1">
      <c r="A37" s="18"/>
      <c r="B37" s="19"/>
      <c r="C37" s="144"/>
      <c r="D37" t="e">
        <f>INDEX(Inventari_2[[#Headers],[#Data]],MATCH(Entrada[[#This Row],[CODIGO]],Inventari_2[[#Headers],[#Data],[CODIGO]],0),2)</f>
        <v>#N/A</v>
      </c>
      <c r="E37" t="str">
        <f>IFERROR(VLOOKUP(Entrada[[#This Row],[CODIGO]],Inventari_2[],3,FALSE),"-")</f>
        <v>-</v>
      </c>
    </row>
    <row r="38" spans="1:6" ht="31.5" customHeight="1">
      <c r="A38" s="18"/>
      <c r="B38" s="19"/>
      <c r="C38" s="142"/>
      <c r="D38" t="e">
        <f>INDEX(Inventari_2[[#Headers],[#Data]],MATCH(Entrada[[#This Row],[CODIGO]],Inventari_2[[#Headers],[#Data],[CODIGO]],0),2)</f>
        <v>#N/A</v>
      </c>
      <c r="E38" t="str">
        <f>IFERROR(VLOOKUP(Entrada[[#This Row],[CODIGO]],Inventari_2[],3,FALSE),"-")</f>
        <v>-</v>
      </c>
    </row>
    <row r="39" spans="1:6" ht="31.5" customHeight="1">
      <c r="A39" s="18"/>
      <c r="B39" s="19"/>
      <c r="C39" s="142"/>
      <c r="D39" t="e">
        <f>INDEX(Inventari_2[[#Headers],[#Data]],MATCH(Entrada[[#This Row],[CODIGO]],Inventari_2[[#Headers],[#Data],[CODIGO]],0),2)</f>
        <v>#N/A</v>
      </c>
      <c r="E39" t="str">
        <f>IFERROR(VLOOKUP(Entrada[[#This Row],[CODIGO]],Inventari_2[],3,FALSE),"-")</f>
        <v>-</v>
      </c>
    </row>
    <row r="40" spans="1:6" ht="31.5" customHeight="1">
      <c r="A40" s="18"/>
      <c r="B40" s="19"/>
      <c r="C40" s="35"/>
      <c r="D40" t="e">
        <f>INDEX(Inventari_2[[#Headers],[#Data]],MATCH(Entrada[[#This Row],[CODIGO]],Inventari_2[[#Headers],[#Data],[CODIGO]],0),2)</f>
        <v>#N/A</v>
      </c>
      <c r="E40" t="str">
        <f>IFERROR(VLOOKUP(Entrada[[#This Row],[CODIGO]],Inventari_2[],3,FALSE),"-")</f>
        <v>-</v>
      </c>
    </row>
    <row r="41" spans="1:6" ht="31.5" customHeight="1">
      <c r="A41" s="18"/>
      <c r="B41" s="19"/>
      <c r="C41" s="10"/>
      <c r="D41" t="e">
        <f>INDEX(Inventari_2[[#Headers],[#Data]],MATCH(Entrada[[#This Row],[CODIGO]],Inventari_2[[#Headers],[#Data],[CODIGO]],0),2)</f>
        <v>#N/A</v>
      </c>
      <c r="E41" t="str">
        <f>IFERROR(VLOOKUP(Entrada[[#This Row],[CODIGO]],Inventari_2[],3,FALSE),"-")</f>
        <v>-</v>
      </c>
    </row>
    <row r="42" spans="1:6" ht="31.5" customHeight="1">
      <c r="A42" s="18"/>
      <c r="B42" s="19"/>
      <c r="C42" s="142"/>
      <c r="D42" t="e">
        <f>INDEX(Inventari_2[[#Headers],[#Data]],MATCH(Entrada[[#This Row],[CODIGO]],Inventari_2[[#Headers],[#Data],[CODIGO]],0),2)</f>
        <v>#N/A</v>
      </c>
      <c r="E42" t="str">
        <f>IFERROR(VLOOKUP(Entrada[[#This Row],[CODIGO]],Inventari_2[],3,FALSE),"-")</f>
        <v>-</v>
      </c>
    </row>
    <row r="43" spans="1:6" ht="31.5" customHeight="1">
      <c r="A43" s="18"/>
      <c r="B43" s="19"/>
      <c r="C43" s="142"/>
      <c r="D43" t="e">
        <f>INDEX(Inventari_2[[#Headers],[#Data]],MATCH(Entrada[[#This Row],[CODIGO]],Inventari_2[[#Headers],[#Data],[CODIGO]],0),2)</f>
        <v>#N/A</v>
      </c>
      <c r="E43" t="str">
        <f>IFERROR(VLOOKUP(Entrada[[#This Row],[CODIGO]],Inventari_2[],3,FALSE),"-")</f>
        <v>-</v>
      </c>
    </row>
    <row r="44" spans="1:6" ht="31.5" customHeight="1">
      <c r="A44" s="18"/>
      <c r="B44" s="19"/>
      <c r="C44" s="142"/>
      <c r="D44" t="e">
        <f>INDEX(Inventari_2[[#Headers],[#Data]],MATCH(Entrada[[#This Row],[CODIGO]],Inventari_2[[#Headers],[#Data],[CODIGO]],0),2)</f>
        <v>#N/A</v>
      </c>
      <c r="E44" t="str">
        <f>IFERROR(VLOOKUP(Entrada[[#This Row],[CODIGO]],Inventari_2[],3,FALSE),"-")</f>
        <v>-</v>
      </c>
    </row>
    <row r="45" spans="1:6" ht="31.5" customHeight="1">
      <c r="A45" s="18"/>
      <c r="B45" s="19"/>
      <c r="C45" s="142"/>
      <c r="D45" t="e">
        <f>INDEX(Inventari_2[[#Headers],[#Data]],MATCH(Entrada[[#This Row],[CODIGO]],Inventari_2[[#Headers],[#Data],[CODIGO]],0),2)</f>
        <v>#N/A</v>
      </c>
      <c r="E45" t="str">
        <f>IFERROR(VLOOKUP(Entrada[[#This Row],[CODIGO]],Inventari_2[],3,FALSE),"-")</f>
        <v>-</v>
      </c>
    </row>
    <row r="46" spans="1:6" ht="31.5" customHeight="1">
      <c r="A46" s="18"/>
      <c r="B46" s="19"/>
      <c r="C46" s="142"/>
      <c r="D46" t="e">
        <f>INDEX(Inventari_2[[#Headers],[#Data]],MATCH(Entrada[[#This Row],[CODIGO]],Inventari_2[[#Headers],[#Data],[CODIGO]],0),2)</f>
        <v>#N/A</v>
      </c>
      <c r="E46" t="str">
        <f>IFERROR(VLOOKUP(Entrada[[#This Row],[CODIGO]],Inventari_2[],3,FALSE),"-")</f>
        <v>-</v>
      </c>
    </row>
    <row r="47" spans="1:6" ht="31.5" customHeight="1">
      <c r="A47" s="18"/>
      <c r="B47" s="19"/>
      <c r="C47" s="142"/>
      <c r="D47" t="e">
        <f>INDEX(Inventari_2[[#Headers],[#Data]],MATCH(Entrada[[#This Row],[CODIGO]],Inventari_2[[#Headers],[#Data],[CODIGO]],0),2)</f>
        <v>#N/A</v>
      </c>
      <c r="E47" t="str">
        <f>IFERROR(VLOOKUP(Entrada[[#This Row],[CODIGO]],Inventari_2[],3,FALSE),"-")</f>
        <v>-</v>
      </c>
    </row>
    <row r="48" spans="1:6" ht="31.5" customHeight="1">
      <c r="A48" s="18"/>
      <c r="B48" s="19"/>
      <c r="C48" s="142"/>
      <c r="D48" t="e">
        <f>INDEX(Inventari_2[[#Headers],[#Data]],MATCH(Entrada[[#This Row],[CODIGO]],Inventari_2[[#Headers],[#Data],[CODIGO]],0),2)</f>
        <v>#N/A</v>
      </c>
      <c r="E48" t="str">
        <f>IFERROR(VLOOKUP(Entrada[[#This Row],[CODIGO]],Inventari_2[],3,FALSE),"-")</f>
        <v>-</v>
      </c>
    </row>
    <row r="49" spans="1:5" ht="31.5" customHeight="1">
      <c r="A49" s="18"/>
      <c r="B49" s="19"/>
      <c r="C49" s="142"/>
      <c r="D49" t="e">
        <f>INDEX(Inventari_2[[#Headers],[#Data]],MATCH(Entrada[[#This Row],[CODIGO]],Inventari_2[[#Headers],[#Data],[CODIGO]],0),2)</f>
        <v>#N/A</v>
      </c>
      <c r="E49" t="str">
        <f>IFERROR(VLOOKUP(Entrada[[#This Row],[CODIGO]],Inventari_2[],3,FALSE),"-")</f>
        <v>-</v>
      </c>
    </row>
    <row r="50" spans="1:5" ht="31.5" customHeight="1">
      <c r="A50" s="18"/>
      <c r="B50" s="19"/>
      <c r="C50" s="35"/>
      <c r="D50" t="e">
        <f>INDEX(Inventari_2[[#Headers],[#Data]],MATCH(Entrada[[#This Row],[CODIGO]],Inventari_2[[#Headers],[#Data],[CODIGO]],0),2)</f>
        <v>#N/A</v>
      </c>
      <c r="E50" t="str">
        <f>IFERROR(VLOOKUP(Entrada[[#This Row],[CODIGO]],Inventari_2[],3,FALSE),"-")</f>
        <v>-</v>
      </c>
    </row>
    <row r="51" spans="1:5" ht="31.5" customHeight="1">
      <c r="A51" s="18"/>
      <c r="B51" s="19"/>
      <c r="C51" s="142"/>
      <c r="D51" t="e">
        <f>INDEX(Inventari_2[[#Headers],[#Data]],MATCH(Entrada[[#This Row],[CODIGO]],Inventari_2[[#Headers],[#Data],[CODIGO]],0),2)</f>
        <v>#N/A</v>
      </c>
      <c r="E51" t="str">
        <f>IFERROR(VLOOKUP(Entrada[[#This Row],[CODIGO]],Inventari_2[],3,FALSE),"-")</f>
        <v>-</v>
      </c>
    </row>
    <row r="52" spans="1:5" ht="31.5" customHeight="1">
      <c r="A52" s="18"/>
      <c r="B52" s="19"/>
      <c r="C52" s="21"/>
      <c r="D52" t="e">
        <f>INDEX(Inventari_2[[#Headers],[#Data]],MATCH(Entrada[[#This Row],[CODIGO]],Inventari_2[[#Headers],[#Data],[CODIGO]],0),2)</f>
        <v>#N/A</v>
      </c>
      <c r="E52" t="str">
        <f>IFERROR(VLOOKUP(Entrada[[#This Row],[CODIGO]],Inventari_2[],3,FALSE),"-")</f>
        <v>-</v>
      </c>
    </row>
    <row r="53" spans="1:5" ht="31.5" customHeight="1">
      <c r="A53" s="18"/>
      <c r="B53" s="19"/>
      <c r="C53" s="142"/>
      <c r="D53" t="e">
        <f>INDEX(Inventari_2[[#Headers],[#Data]],MATCH(Entrada[[#This Row],[CODIGO]],Inventari_2[[#Headers],[#Data],[CODIGO]],0),2)</f>
        <v>#N/A</v>
      </c>
      <c r="E53" t="str">
        <f>IFERROR(VLOOKUP(Entrada[[#This Row],[CODIGO]],Inventari_2[],3,FALSE),"-")</f>
        <v>-</v>
      </c>
    </row>
    <row r="54" spans="1:5" ht="31.5" customHeight="1">
      <c r="A54" s="18"/>
      <c r="B54" s="19"/>
      <c r="C54" s="142"/>
      <c r="D54" t="e">
        <f>INDEX(Inventari_2[[#Headers],[#Data]],MATCH(Entrada[[#This Row],[CODIGO]],Inventari_2[[#Headers],[#Data],[CODIGO]],0),2)</f>
        <v>#N/A</v>
      </c>
      <c r="E54" t="str">
        <f>IFERROR(VLOOKUP(Entrada[[#This Row],[CODIGO]],Inventari_2[],3,FALSE),"-")</f>
        <v>-</v>
      </c>
    </row>
    <row r="55" spans="1:5" ht="31.5" customHeight="1">
      <c r="A55" s="18"/>
      <c r="B55" s="19"/>
      <c r="C55" s="10"/>
      <c r="D55" t="e">
        <f>INDEX(Inventari_2[[#Headers],[#Data]],MATCH(Entrada[[#This Row],[CODIGO]],Inventari_2[[#Headers],[#Data],[CODIGO]],0),2)</f>
        <v>#N/A</v>
      </c>
      <c r="E55" t="str">
        <f>IFERROR(VLOOKUP(Entrada[[#This Row],[CODIGO]],Inventari_2[],3,FALSE),"-")</f>
        <v>-</v>
      </c>
    </row>
    <row r="56" spans="1:5" ht="31.5" customHeight="1">
      <c r="A56" s="18"/>
      <c r="B56" s="19"/>
      <c r="C56" s="35"/>
      <c r="D56" t="e">
        <f>INDEX(Inventari_2[[#Headers],[#Data]],MATCH(Entrada[[#This Row],[CODIGO]],Inventari_2[[#Headers],[#Data],[CODIGO]],0),2)</f>
        <v>#N/A</v>
      </c>
      <c r="E56" t="str">
        <f>IFERROR(VLOOKUP(Entrada[[#This Row],[CODIGO]],Inventari_2[],3,FALSE),"-")</f>
        <v>-</v>
      </c>
    </row>
    <row r="57" spans="1:5" ht="31.5" customHeight="1">
      <c r="A57" s="18"/>
      <c r="B57" s="19"/>
      <c r="C57" s="142"/>
      <c r="D57" t="e">
        <f>INDEX(Inventari_2[[#Headers],[#Data]],MATCH(Entrada[[#This Row],[CODIGO]],Inventari_2[[#Headers],[#Data],[CODIGO]],0),2)</f>
        <v>#N/A</v>
      </c>
      <c r="E57" t="str">
        <f>IFERROR(VLOOKUP(Entrada[[#This Row],[CODIGO]],Inventari_2[],3,FALSE),"-")</f>
        <v>-</v>
      </c>
    </row>
    <row r="58" spans="1:5" ht="31.5" customHeight="1">
      <c r="A58" s="18"/>
      <c r="B58" s="19"/>
      <c r="C58" s="142"/>
      <c r="D58" t="e">
        <f>INDEX(Inventari_2[[#Headers],[#Data]],MATCH(Entrada[[#This Row],[CODIGO]],Inventari_2[[#Headers],[#Data],[CODIGO]],0),2)</f>
        <v>#N/A</v>
      </c>
      <c r="E58" t="str">
        <f>IFERROR(VLOOKUP(Entrada[[#This Row],[CODIGO]],Inventari_2[],3,FALSE),"-")</f>
        <v>-</v>
      </c>
    </row>
    <row r="59" spans="1:5" ht="31.5" customHeight="1">
      <c r="A59" s="18"/>
      <c r="B59" s="19"/>
      <c r="C59" s="16"/>
      <c r="D59" t="e">
        <f>INDEX(Inventari_2[[#Headers],[#Data]],MATCH(Entrada[[#This Row],[CODIGO]],Inventari_2[[#Headers],[#Data],[CODIGO]],0),2)</f>
        <v>#N/A</v>
      </c>
      <c r="E59" t="str">
        <f>IFERROR(VLOOKUP(Entrada[[#This Row],[CODIGO]],Inventari_2[],3,FALSE),"-")</f>
        <v>-</v>
      </c>
    </row>
    <row r="60" spans="1:5" ht="31.5" customHeight="1">
      <c r="A60" s="18"/>
      <c r="B60" s="19"/>
      <c r="C60" s="144"/>
      <c r="D60" t="e">
        <f>INDEX(Inventari_2[[#Headers],[#Data]],MATCH(Entrada[[#This Row],[CODIGO]],Inventari_2[[#Headers],[#Data],[CODIGO]],0),2)</f>
        <v>#N/A</v>
      </c>
      <c r="E60" t="str">
        <f>IFERROR(VLOOKUP(Entrada[[#This Row],[CODIGO]],Inventari_2[],3,FALSE),"-")</f>
        <v>-</v>
      </c>
    </row>
    <row r="61" spans="1:5" ht="31.5" customHeight="1">
      <c r="A61" s="18"/>
      <c r="B61" s="19"/>
      <c r="C61" s="142"/>
      <c r="D61" t="e">
        <f>INDEX(Inventari_2[[#Headers],[#Data]],MATCH(Entrada[[#This Row],[CODIGO]],Inventari_2[[#Headers],[#Data],[CODIGO]],0),2)</f>
        <v>#N/A</v>
      </c>
      <c r="E61" t="str">
        <f>IFERROR(VLOOKUP(Entrada[[#This Row],[CODIGO]],Inventari_2[],3,FALSE),"-")</f>
        <v>-</v>
      </c>
    </row>
    <row r="62" spans="1:5" ht="31.5" customHeight="1">
      <c r="A62" s="18"/>
      <c r="B62" s="19"/>
      <c r="C62" s="142"/>
      <c r="D62" t="e">
        <f>INDEX(Inventari_2[[#Headers],[#Data]],MATCH(Entrada[[#This Row],[CODIGO]],Inventari_2[[#Headers],[#Data],[CODIGO]],0),2)</f>
        <v>#N/A</v>
      </c>
      <c r="E62" t="str">
        <f>IFERROR(VLOOKUP(Entrada[[#This Row],[CODIGO]],Inventari_2[],3,FALSE),"-")</f>
        <v>-</v>
      </c>
    </row>
    <row r="63" spans="1:5" ht="31.5" customHeight="1">
      <c r="A63" s="18"/>
      <c r="B63" s="19"/>
      <c r="C63" s="144"/>
      <c r="D63" t="e">
        <f>INDEX(Inventari_2[[#Headers],[#Data]],MATCH(Entrada[[#This Row],[CODIGO]],Inventari_2[[#Headers],[#Data],[CODIGO]],0),2)</f>
        <v>#N/A</v>
      </c>
      <c r="E63" t="str">
        <f>IFERROR(VLOOKUP(Entrada[[#This Row],[CODIGO]],Inventari_2[],3,FALSE),"-")</f>
        <v>-</v>
      </c>
    </row>
    <row r="64" spans="1:5" ht="31.5" customHeight="1">
      <c r="A64" s="18"/>
      <c r="B64" s="19"/>
      <c r="C64" s="64"/>
      <c r="D64" t="e">
        <f>INDEX(Inventari_2[[#Headers],[#Data]],MATCH(Entrada[[#This Row],[CODIGO]],Inventari_2[[#Headers],[#Data],[CODIGO]],0),2)</f>
        <v>#N/A</v>
      </c>
      <c r="E64" t="str">
        <f>IFERROR(VLOOKUP(Entrada[[#This Row],[CODIGO]],Inventari_2[],3,FALSE),"-")</f>
        <v>-</v>
      </c>
    </row>
    <row r="65" spans="1:5" ht="31.5" customHeight="1">
      <c r="A65" s="18"/>
      <c r="B65" s="19"/>
      <c r="C65" s="21"/>
      <c r="D65" t="e">
        <f>INDEX(Inventari_2[[#Headers],[#Data]],MATCH(Entrada[[#This Row],[CODIGO]],Inventari_2[[#Headers],[#Data],[CODIGO]],0),2)</f>
        <v>#N/A</v>
      </c>
      <c r="E65" t="str">
        <f>IFERROR(VLOOKUP(Entrada[[#This Row],[CODIGO]],Inventari_2[],3,FALSE),"-")</f>
        <v>-</v>
      </c>
    </row>
    <row r="66" spans="1:5" ht="31.5" customHeight="1">
      <c r="A66" s="18"/>
      <c r="B66" s="19"/>
      <c r="C66" s="21"/>
      <c r="D66" t="e">
        <f>INDEX(Inventari_2[[#Headers],[#Data]],MATCH(Entrada[[#This Row],[CODIGO]],Inventari_2[[#Headers],[#Data],[CODIGO]],0),2)</f>
        <v>#N/A</v>
      </c>
      <c r="E66" t="str">
        <f>IFERROR(VLOOKUP(Entrada[[#This Row],[CODIGO]],Inventari_2[],3,FALSE),"-")</f>
        <v>-</v>
      </c>
    </row>
    <row r="67" spans="1:5" ht="31.5" customHeight="1">
      <c r="A67" s="18"/>
      <c r="B67" s="19"/>
      <c r="C67" s="142"/>
      <c r="D67" t="e">
        <f>INDEX(Inventari_2[[#Headers],[#Data]],MATCH(Entrada[[#This Row],[CODIGO]],Inventari_2[[#Headers],[#Data],[CODIGO]],0),2)</f>
        <v>#N/A</v>
      </c>
      <c r="E67" t="str">
        <f>IFERROR(VLOOKUP(Entrada[[#This Row],[CODIGO]],Inventari_2[],3,FALSE),"-")</f>
        <v>-</v>
      </c>
    </row>
    <row r="68" spans="1:5" ht="31.5" customHeight="1">
      <c r="A68" s="18"/>
      <c r="B68" s="19"/>
      <c r="C68" s="142"/>
      <c r="D68" t="e">
        <f>INDEX(Inventari_2[[#Headers],[#Data]],MATCH(Entrada[[#This Row],[CODIGO]],Inventari_2[[#Headers],[#Data],[CODIGO]],0),2)</f>
        <v>#N/A</v>
      </c>
      <c r="E68" t="str">
        <f>IFERROR(VLOOKUP(Entrada[[#This Row],[CODIGO]],Inventari_2[],3,FALSE),"-")</f>
        <v>-</v>
      </c>
    </row>
    <row r="69" spans="1:5" ht="31.5" customHeight="1">
      <c r="A69" s="18"/>
      <c r="B69" s="19"/>
      <c r="C69" s="142"/>
      <c r="D69" t="e">
        <f>INDEX(Inventari_2[[#Headers],[#Data]],MATCH(Entrada[[#This Row],[CODIGO]],Inventari_2[[#Headers],[#Data],[CODIGO]],0),2)</f>
        <v>#N/A</v>
      </c>
      <c r="E69" t="str">
        <f>IFERROR(VLOOKUP(Entrada[[#This Row],[CODIGO]],Inventari_2[],3,FALSE),"-")</f>
        <v>-</v>
      </c>
    </row>
    <row r="70" spans="1:5" ht="31.5" customHeight="1">
      <c r="A70" s="18"/>
      <c r="B70" s="19"/>
      <c r="C70" s="21"/>
      <c r="D70" t="e">
        <f>INDEX(Inventari_2[[#Headers],[#Data]],MATCH(Entrada[[#This Row],[CODIGO]],Inventari_2[[#Headers],[#Data],[CODIGO]],0),2)</f>
        <v>#N/A</v>
      </c>
      <c r="E70" t="str">
        <f>IFERROR(VLOOKUP(Entrada[[#This Row],[CODIGO]],Inventari_2[],3,FALSE),"-")</f>
        <v>-</v>
      </c>
    </row>
    <row r="71" spans="1:5" ht="31.5" customHeight="1">
      <c r="A71" s="18"/>
      <c r="B71" s="19"/>
      <c r="C71" s="35"/>
      <c r="D71" t="e">
        <f>INDEX(Inventari_2[[#Headers],[#Data]],MATCH(Entrada[[#This Row],[CODIGO]],Inventari_2[[#Headers],[#Data],[CODIGO]],0),2)</f>
        <v>#N/A</v>
      </c>
      <c r="E71" t="str">
        <f>IFERROR(VLOOKUP(Entrada[[#This Row],[CODIGO]],Inventari_2[],3,FALSE),"-")</f>
        <v>-</v>
      </c>
    </row>
    <row r="72" spans="1:5" ht="31.5" customHeight="1">
      <c r="A72" s="18"/>
      <c r="B72" s="19"/>
      <c r="C72" s="21"/>
      <c r="D72" t="e">
        <f>INDEX(Inventari_2[[#Headers],[#Data]],MATCH(Entrada[[#This Row],[CODIGO]],Inventari_2[[#Headers],[#Data],[CODIGO]],0),2)</f>
        <v>#N/A</v>
      </c>
      <c r="E72" t="str">
        <f>IFERROR(VLOOKUP(Entrada[[#This Row],[CODIGO]],Inventari_2[],3,FALSE),"-")</f>
        <v>-</v>
      </c>
    </row>
    <row r="73" spans="1:5" ht="31.5" customHeight="1">
      <c r="A73" s="18"/>
      <c r="B73" s="19"/>
      <c r="C73" s="21"/>
      <c r="D73" t="e">
        <f>INDEX(Inventari_2[[#Headers],[#Data]],MATCH(Entrada[[#This Row],[CODIGO]],Inventari_2[[#Headers],[#Data],[CODIGO]],0),2)</f>
        <v>#N/A</v>
      </c>
      <c r="E73" t="str">
        <f>IFERROR(VLOOKUP(Entrada[[#This Row],[CODIGO]],Inventari_2[],3,FALSE),"-")</f>
        <v>-</v>
      </c>
    </row>
    <row r="74" spans="1:5" ht="31.5" customHeight="1">
      <c r="A74" s="18"/>
      <c r="B74" s="19"/>
      <c r="D74" t="e">
        <f>INDEX(Inventari_2[[#Headers],[#Data]],MATCH(Entrada[[#This Row],[CODIGO]],Inventari_2[[#Headers],[#Data],[CODIGO]],0),2)</f>
        <v>#N/A</v>
      </c>
      <c r="E74" t="str">
        <f>IFERROR(VLOOKUP(Entrada[[#This Row],[CODIGO]],Inventari_2[],3,FALSE),"-")</f>
        <v>-</v>
      </c>
    </row>
    <row r="75" spans="1:5" ht="31.5" customHeight="1">
      <c r="A75" s="18"/>
      <c r="B75" s="19"/>
      <c r="D75" t="e">
        <f>INDEX(Inventari_2[[#Headers],[#Data]],MATCH(Entrada[[#This Row],[CODIGO]],Inventari_2[[#Headers],[#Data],[CODIGO]],0),2)</f>
        <v>#N/A</v>
      </c>
      <c r="E75" t="str">
        <f>IFERROR(VLOOKUP(Entrada[[#This Row],[CODIGO]],Inventari_2[],3,FALSE),"-")</f>
        <v>-</v>
      </c>
    </row>
    <row r="76" spans="1:5" ht="31.5" customHeight="1">
      <c r="A76" s="18"/>
      <c r="B76" s="19"/>
      <c r="D76" t="e">
        <f>INDEX(Inventari_2[[#Headers],[#Data]],MATCH(Entrada[[#This Row],[CODIGO]],Inventari_2[[#Headers],[#Data],[CODIGO]],0),2)</f>
        <v>#N/A</v>
      </c>
      <c r="E76" t="str">
        <f>IFERROR(VLOOKUP(Entrada[[#This Row],[CODIGO]],Inventari_2[],3,FALSE),"-")</f>
        <v>-</v>
      </c>
    </row>
    <row r="77" spans="1:5" ht="31.5" customHeight="1">
      <c r="A77" s="18"/>
      <c r="B77" s="19"/>
      <c r="D77" t="e">
        <f>INDEX(Inventari_2[[#Headers],[#Data]],MATCH(Entrada[[#This Row],[CODIGO]],Inventari_2[[#Headers],[#Data],[CODIGO]],0),2)</f>
        <v>#N/A</v>
      </c>
      <c r="E77" t="str">
        <f>IFERROR(VLOOKUP(Entrada[[#This Row],[CODIGO]],Inventari_2[],3,FALSE),"-")</f>
        <v>-</v>
      </c>
    </row>
    <row r="78" spans="1:5" ht="31.5" customHeight="1">
      <c r="A78" s="18"/>
      <c r="B78" s="19"/>
      <c r="D78" t="e">
        <f>INDEX(Inventari_2[[#Headers],[#Data]],MATCH(Entrada[[#This Row],[CODIGO]],Inventari_2[[#Headers],[#Data],[CODIGO]],0),2)</f>
        <v>#N/A</v>
      </c>
      <c r="E78" t="str">
        <f>IFERROR(VLOOKUP(Entrada[[#This Row],[CODIGO]],Inventari_2[],3,FALSE),"-")</f>
        <v>-</v>
      </c>
    </row>
    <row r="79" spans="1:5" ht="31.5" customHeight="1">
      <c r="A79" s="18"/>
      <c r="B79" s="19"/>
      <c r="D79" t="e">
        <f>INDEX(Inventari_2[[#Headers],[#Data]],MATCH(Entrada[[#This Row],[CODIGO]],Inventari_2[[#Headers],[#Data],[CODIGO]],0),2)</f>
        <v>#N/A</v>
      </c>
      <c r="E79" t="str">
        <f>IFERROR(VLOOKUP(Entrada[[#This Row],[CODIGO]],Inventari_2[],3,FALSE),"-")</f>
        <v>-</v>
      </c>
    </row>
    <row r="80" spans="1:5" ht="31.5" customHeight="1">
      <c r="A80" s="18"/>
      <c r="B80" s="19"/>
      <c r="D80" t="e">
        <f>INDEX(Inventari_2[[#Headers],[#Data]],MATCH(Entrada[[#This Row],[CODIGO]],Inventari_2[[#Headers],[#Data],[CODIGO]],0),2)</f>
        <v>#N/A</v>
      </c>
      <c r="E80" t="str">
        <f>IFERROR(VLOOKUP(Entrada[[#This Row],[CODIGO]],Inventari_2[],3,FALSE),"-")</f>
        <v>-</v>
      </c>
    </row>
    <row r="81" spans="1:5" ht="31.5" customHeight="1">
      <c r="A81" s="18"/>
      <c r="B81" s="19"/>
      <c r="D81" t="e">
        <f>INDEX(Inventari_2[[#Headers],[#Data]],MATCH(Entrada[[#This Row],[CODIGO]],Inventari_2[[#Headers],[#Data],[CODIGO]],0),2)</f>
        <v>#N/A</v>
      </c>
      <c r="E81" t="str">
        <f>IFERROR(VLOOKUP(Entrada[[#This Row],[CODIGO]],Inventari_2[],3,FALSE),"-")</f>
        <v>-</v>
      </c>
    </row>
    <row r="82" spans="1:5" ht="31.5" customHeight="1">
      <c r="A82" s="18"/>
      <c r="B82" s="19"/>
      <c r="D82" t="e">
        <f>INDEX(Inventari_2[[#Headers],[#Data]],MATCH(Entrada[[#This Row],[CODIGO]],Inventari_2[[#Headers],[#Data],[CODIGO]],0),2)</f>
        <v>#N/A</v>
      </c>
      <c r="E82" t="str">
        <f>IFERROR(VLOOKUP(Entrada[[#This Row],[CODIGO]],Inventari_2[],3,FALSE),"-")</f>
        <v>-</v>
      </c>
    </row>
    <row r="83" spans="1:5" ht="31.5" customHeight="1">
      <c r="A83" s="18"/>
      <c r="B83" s="19"/>
      <c r="D83" t="e">
        <f>INDEX(Inventari_2[[#Headers],[#Data]],MATCH(Entrada[[#This Row],[CODIGO]],Inventari_2[[#Headers],[#Data],[CODIGO]],0),2)</f>
        <v>#N/A</v>
      </c>
      <c r="E83" t="str">
        <f>IFERROR(VLOOKUP(Entrada[[#This Row],[CODIGO]],Inventari_2[],3,FALSE),"-")</f>
        <v>-</v>
      </c>
    </row>
    <row r="84" spans="1:5" ht="31.5" customHeight="1">
      <c r="A84" s="18"/>
      <c r="B84" s="19"/>
      <c r="D84" t="e">
        <f>INDEX(Inventari_2[[#Headers],[#Data]],MATCH(Entrada[[#This Row],[CODIGO]],Inventari_2[[#Headers],[#Data],[CODIGO]],0),2)</f>
        <v>#N/A</v>
      </c>
      <c r="E84" t="str">
        <f>IFERROR(VLOOKUP(Entrada[[#This Row],[CODIGO]],Inventari_2[],3,FALSE),"-")</f>
        <v>-</v>
      </c>
    </row>
    <row r="85" spans="1:5" ht="31.5" customHeight="1">
      <c r="A85" s="18"/>
      <c r="B85" s="19"/>
      <c r="D85" t="e">
        <f>INDEX(Inventari_2[[#Headers],[#Data]],MATCH(Entrada[[#This Row],[CODIGO]],Inventari_2[[#Headers],[#Data],[CODIGO]],0),2)</f>
        <v>#N/A</v>
      </c>
      <c r="E85" t="str">
        <f>IFERROR(VLOOKUP(Entrada[[#This Row],[CODIGO]],Inventari_2[],3,FALSE),"-")</f>
        <v>-</v>
      </c>
    </row>
    <row r="86" spans="1:5" ht="31.5" customHeight="1">
      <c r="A86" s="18"/>
      <c r="B86" s="19"/>
      <c r="D86" t="e">
        <f>INDEX(Inventari_2[[#Headers],[#Data]],MATCH(Entrada[[#This Row],[CODIGO]],Inventari_2[[#Headers],[#Data],[CODIGO]],0),2)</f>
        <v>#N/A</v>
      </c>
      <c r="E86" t="str">
        <f>IFERROR(VLOOKUP(Entrada[[#This Row],[CODIGO]],Inventari_2[],3,FALSE),"-")</f>
        <v>-</v>
      </c>
    </row>
    <row r="87" spans="1:5" ht="31.5" customHeight="1">
      <c r="A87" s="18"/>
      <c r="B87" s="19"/>
      <c r="D87" t="e">
        <f>INDEX(Inventari_2[[#Headers],[#Data]],MATCH(Entrada[[#This Row],[CODIGO]],Inventari_2[[#Headers],[#Data],[CODIGO]],0),2)</f>
        <v>#N/A</v>
      </c>
      <c r="E87" t="str">
        <f>IFERROR(VLOOKUP(Entrada[[#This Row],[CODIGO]],Inventari_2[],3,FALSE),"-")</f>
        <v>-</v>
      </c>
    </row>
    <row r="88" spans="1:5" ht="31.5" customHeight="1">
      <c r="A88" s="18"/>
      <c r="B88" s="19"/>
      <c r="D88" t="e">
        <f>INDEX(Inventari_2[[#Headers],[#Data]],MATCH(Entrada[[#This Row],[CODIGO]],Inventari_2[[#Headers],[#Data],[CODIGO]],0),2)</f>
        <v>#N/A</v>
      </c>
      <c r="E88" t="str">
        <f>IFERROR(VLOOKUP(Entrada[[#This Row],[CODIGO]],Inventari_2[],3,FALSE),"-")</f>
        <v>-</v>
      </c>
    </row>
    <row r="89" spans="1:5" ht="31.5" customHeight="1">
      <c r="A89" s="18"/>
      <c r="B89" s="19"/>
      <c r="D89" t="e">
        <f>INDEX(Inventari_2[[#Headers],[#Data]],MATCH(Entrada[[#This Row],[CODIGO]],Inventari_2[[#Headers],[#Data],[CODIGO]],0),2)</f>
        <v>#N/A</v>
      </c>
      <c r="E89" t="str">
        <f>IFERROR(VLOOKUP(Entrada[[#This Row],[CODIGO]],Inventari_2[],3,FALSE),"-")</f>
        <v>-</v>
      </c>
    </row>
    <row r="90" spans="1:5" ht="31.5" customHeight="1">
      <c r="A90" s="18"/>
      <c r="B90" s="19"/>
      <c r="D90" t="e">
        <f>INDEX(Inventari_2[[#Headers],[#Data]],MATCH(Entrada[[#This Row],[CODIGO]],Inventari_2[[#Headers],[#Data],[CODIGO]],0),2)</f>
        <v>#N/A</v>
      </c>
      <c r="E90" t="str">
        <f>IFERROR(VLOOKUP(Entrada[[#This Row],[CODIGO]],Inventari_2[],3,FALSE),"-")</f>
        <v>-</v>
      </c>
    </row>
    <row r="91" spans="1:5" ht="31.5" customHeight="1">
      <c r="A91" s="18"/>
      <c r="B91" s="19"/>
      <c r="D91" t="e">
        <f>INDEX(Inventari_2[[#Headers],[#Data]],MATCH(Entrada[[#This Row],[CODIGO]],Inventari_2[[#Headers],[#Data],[CODIGO]],0),2)</f>
        <v>#N/A</v>
      </c>
      <c r="E91" t="str">
        <f>IFERROR(VLOOKUP(Entrada[[#This Row],[CODIGO]],Inventari_2[],3,FALSE),"-")</f>
        <v>-</v>
      </c>
    </row>
    <row r="92" spans="1:5" ht="31.5" customHeight="1">
      <c r="A92" s="18"/>
      <c r="B92" s="19"/>
      <c r="D92" t="e">
        <f>INDEX(Inventari_2[[#Headers],[#Data]],MATCH(Entrada[[#This Row],[CODIGO]],Inventari_2[[#Headers],[#Data],[CODIGO]],0),2)</f>
        <v>#N/A</v>
      </c>
      <c r="E92" t="str">
        <f>IFERROR(VLOOKUP(Entrada[[#This Row],[CODIGO]],Inventari_2[],3,FALSE),"-")</f>
        <v>-</v>
      </c>
    </row>
    <row r="93" spans="1:5" ht="31.5" customHeight="1">
      <c r="A93" s="18"/>
      <c r="B93" s="19"/>
      <c r="D93" t="e">
        <f>INDEX(Inventari_2[[#Headers],[#Data]],MATCH(Entrada[[#This Row],[CODIGO]],Inventari_2[[#Headers],[#Data],[CODIGO]],0),2)</f>
        <v>#N/A</v>
      </c>
      <c r="E93" t="str">
        <f>IFERROR(VLOOKUP(Entrada[[#This Row],[CODIGO]],Inventari_2[],3,FALSE),"-")</f>
        <v>-</v>
      </c>
    </row>
    <row r="94" spans="1:5" ht="31.5" customHeight="1">
      <c r="A94" s="18"/>
      <c r="B94" s="19"/>
      <c r="D94" t="e">
        <f>INDEX(Inventari_2[[#Headers],[#Data]],MATCH(Entrada[[#This Row],[CODIGO]],Inventari_2[[#Headers],[#Data],[CODIGO]],0),2)</f>
        <v>#N/A</v>
      </c>
      <c r="E94" t="str">
        <f>IFERROR(VLOOKUP(Entrada[[#This Row],[CODIGO]],Inventari_2[],3,FALSE),"-")</f>
        <v>-</v>
      </c>
    </row>
    <row r="95" spans="1:5" ht="31.5" customHeight="1">
      <c r="A95" s="18"/>
      <c r="B95" s="19"/>
      <c r="D95" t="e">
        <f>INDEX(Inventari_2[[#Headers],[#Data]],MATCH(Entrada[[#This Row],[CODIGO]],Inventari_2[[#Headers],[#Data],[CODIGO]],0),2)</f>
        <v>#N/A</v>
      </c>
      <c r="E95" t="str">
        <f>IFERROR(VLOOKUP(Entrada[[#This Row],[CODIGO]],Inventari_2[],3,FALSE),"-")</f>
        <v>-</v>
      </c>
    </row>
    <row r="96" spans="1:5" ht="31.5" customHeight="1">
      <c r="A96" s="18"/>
      <c r="B96" s="19"/>
      <c r="D96" t="e">
        <f>INDEX(Inventari_2[[#Headers],[#Data]],MATCH(Entrada[[#This Row],[CODIGO]],Inventari_2[[#Headers],[#Data],[CODIGO]],0),2)</f>
        <v>#N/A</v>
      </c>
      <c r="E96" t="str">
        <f>IFERROR(VLOOKUP(Entrada[[#This Row],[CODIGO]],Inventari_2[],3,FALSE),"-")</f>
        <v>-</v>
      </c>
    </row>
    <row r="97" spans="1:5" ht="31.5" customHeight="1">
      <c r="A97" s="18"/>
      <c r="B97" s="19"/>
      <c r="D97" t="e">
        <f>INDEX(Inventari_2[[#Headers],[#Data]],MATCH(Entrada[[#This Row],[CODIGO]],Inventari_2[[#Headers],[#Data],[CODIGO]],0),2)</f>
        <v>#N/A</v>
      </c>
      <c r="E97" t="str">
        <f>IFERROR(VLOOKUP(Entrada[[#This Row],[CODIGO]],Inventari_2[],3,FALSE),"-")</f>
        <v>-</v>
      </c>
    </row>
    <row r="98" spans="1:5" ht="31.5" customHeight="1">
      <c r="A98" s="18"/>
      <c r="B98" s="19"/>
      <c r="D98" t="e">
        <f>INDEX(Inventari_2[[#Headers],[#Data]],MATCH(Entrada[[#This Row],[CODIGO]],Inventari_2[[#Headers],[#Data],[CODIGO]],0),2)</f>
        <v>#N/A</v>
      </c>
      <c r="E98" t="str">
        <f>IFERROR(VLOOKUP(Entrada[[#This Row],[CODIGO]],Inventari_2[],3,FALSE),"-")</f>
        <v>-</v>
      </c>
    </row>
    <row r="99" spans="1:5" ht="31.5" customHeight="1">
      <c r="A99" s="18"/>
      <c r="B99" s="19"/>
      <c r="D99" t="e">
        <f>INDEX(Inventari_2[[#Headers],[#Data]],MATCH(Entrada[[#This Row],[CODIGO]],Inventari_2[[#Headers],[#Data],[CODIGO]],0),2)</f>
        <v>#N/A</v>
      </c>
      <c r="E99" t="str">
        <f>IFERROR(VLOOKUP(Entrada[[#This Row],[CODIGO]],Inventari_2[],3,FALSE),"-")</f>
        <v>-</v>
      </c>
    </row>
    <row r="100" spans="1:5" ht="31.5" customHeight="1">
      <c r="A100" s="18"/>
      <c r="B100" s="19"/>
      <c r="D100" t="e">
        <f>INDEX(Inventari_2[[#Headers],[#Data]],MATCH(Entrada[[#This Row],[CODIGO]],Inventari_2[[#Headers],[#Data],[CODIGO]],0),2)</f>
        <v>#N/A</v>
      </c>
      <c r="E100" t="str">
        <f>IFERROR(VLOOKUP(Entrada[[#This Row],[CODIGO]],Inventari_2[],3,FALSE),"-")</f>
        <v>-</v>
      </c>
    </row>
    <row r="101" spans="1:5" ht="31.5" customHeight="1">
      <c r="A101" s="18"/>
      <c r="B101" s="19"/>
      <c r="D101" t="e">
        <f>INDEX(Inventari_2[[#Headers],[#Data]],MATCH(Entrada[[#This Row],[CODIGO]],Inventari_2[[#Headers],[#Data],[CODIGO]],0),2)</f>
        <v>#N/A</v>
      </c>
      <c r="E101" t="str">
        <f>IFERROR(VLOOKUP(Entrada[[#This Row],[CODIGO]],Inventari_2[],3,FALSE),"-")</f>
        <v>-</v>
      </c>
    </row>
    <row r="102" spans="1:5" ht="31.5" customHeight="1">
      <c r="A102" s="18"/>
      <c r="B102" s="19"/>
      <c r="D102" t="e">
        <f>INDEX(Inventari_2[[#Headers],[#Data]],MATCH(Entrada[[#This Row],[CODIGO]],Inventari_2[[#Headers],[#Data],[CODIGO]],0),2)</f>
        <v>#N/A</v>
      </c>
      <c r="E102" t="str">
        <f>IFERROR(VLOOKUP(Entrada[[#This Row],[CODIGO]],Inventari_2[],3,FALSE),"-")</f>
        <v>-</v>
      </c>
    </row>
    <row r="103" spans="1:5" ht="31.5" customHeight="1">
      <c r="A103" s="18"/>
      <c r="B103" s="19"/>
      <c r="D103" t="e">
        <f>INDEX(Inventari_2[[#Headers],[#Data]],MATCH(Entrada[[#This Row],[CODIGO]],Inventari_2[[#Headers],[#Data],[CODIGO]],0),2)</f>
        <v>#N/A</v>
      </c>
      <c r="E103" t="str">
        <f>IFERROR(VLOOKUP(Entrada[[#This Row],[CODIGO]],Inventari_2[],3,FALSE),"-")</f>
        <v>-</v>
      </c>
    </row>
    <row r="104" spans="1:5" ht="31.5" customHeight="1">
      <c r="A104" s="18"/>
      <c r="B104" s="19"/>
      <c r="D104" t="e">
        <f>INDEX(Inventari_2[[#Headers],[#Data]],MATCH(Entrada[[#This Row],[CODIGO]],Inventari_2[[#Headers],[#Data],[CODIGO]],0),2)</f>
        <v>#N/A</v>
      </c>
      <c r="E104" t="str">
        <f>IFERROR(VLOOKUP(Entrada[[#This Row],[CODIGO]],Inventari_2[],3,FALSE),"-")</f>
        <v>-</v>
      </c>
    </row>
    <row r="105" spans="1:5" ht="31.5" customHeight="1">
      <c r="A105" s="18"/>
      <c r="B105" s="19"/>
      <c r="D105" t="e">
        <f>INDEX(Inventari_2[[#Headers],[#Data]],MATCH(Entrada[[#This Row],[CODIGO]],Inventari_2[[#Headers],[#Data],[CODIGO]],0),2)</f>
        <v>#N/A</v>
      </c>
      <c r="E105" t="str">
        <f>IFERROR(VLOOKUP(Entrada[[#This Row],[CODIGO]],Inventari_2[],3,FALSE),"-")</f>
        <v>-</v>
      </c>
    </row>
    <row r="106" spans="1:5" ht="31.5" customHeight="1">
      <c r="A106" s="18"/>
      <c r="B106" s="19"/>
      <c r="D106" t="e">
        <f>INDEX(Inventari_2[[#Headers],[#Data]],MATCH(Entrada[[#This Row],[CODIGO]],Inventari_2[[#Headers],[#Data],[CODIGO]],0),2)</f>
        <v>#N/A</v>
      </c>
      <c r="E106" t="str">
        <f>IFERROR(VLOOKUP(Entrada[[#This Row],[CODIGO]],Inventari_2[],3,FALSE),"-")</f>
        <v>-</v>
      </c>
    </row>
    <row r="107" spans="1:5" ht="31.5" customHeight="1">
      <c r="A107" s="18"/>
      <c r="B107" s="19"/>
      <c r="D107" t="e">
        <f>INDEX(Inventari_2[[#Headers],[#Data]],MATCH(Entrada[[#This Row],[CODIGO]],Inventari_2[[#Headers],[#Data],[CODIGO]],0),2)</f>
        <v>#N/A</v>
      </c>
      <c r="E107" t="str">
        <f>IFERROR(VLOOKUP(Entrada[[#This Row],[CODIGO]],Inventari_2[],3,FALSE),"-")</f>
        <v>-</v>
      </c>
    </row>
    <row r="108" spans="1:5" ht="31.5" customHeight="1">
      <c r="A108" s="18"/>
      <c r="B108" s="19"/>
      <c r="D108" t="e">
        <f>INDEX(Inventari_2[[#Headers],[#Data]],MATCH(Entrada[[#This Row],[CODIGO]],Inventari_2[[#Headers],[#Data],[CODIGO]],0),2)</f>
        <v>#N/A</v>
      </c>
      <c r="E108" t="str">
        <f>IFERROR(VLOOKUP(Entrada[[#This Row],[CODIGO]],Inventari_2[],3,FALSE),"-")</f>
        <v>-</v>
      </c>
    </row>
    <row r="109" spans="1:5" ht="31.5" customHeight="1">
      <c r="A109" s="18"/>
      <c r="B109" s="19"/>
      <c r="D109" t="e">
        <f>INDEX(Inventari_2[[#Headers],[#Data]],MATCH(Entrada[[#This Row],[CODIGO]],Inventari_2[[#Headers],[#Data],[CODIGO]],0),2)</f>
        <v>#N/A</v>
      </c>
      <c r="E109" t="str">
        <f>IFERROR(VLOOKUP(Entrada[[#This Row],[CODIGO]],Inventari_2[],3,FALSE),"-")</f>
        <v>-</v>
      </c>
    </row>
    <row r="110" spans="1:5" ht="31.5" customHeight="1">
      <c r="A110" s="18"/>
      <c r="B110" s="19"/>
      <c r="D110" t="e">
        <f>INDEX(Inventari_2[[#Headers],[#Data]],MATCH(Entrada[[#This Row],[CODIGO]],Inventari_2[[#Headers],[#Data],[CODIGO]],0),2)</f>
        <v>#N/A</v>
      </c>
      <c r="E110" t="str">
        <f>IFERROR(VLOOKUP(Entrada[[#This Row],[CODIGO]],Inventari_2[],3,FALSE),"-")</f>
        <v>-</v>
      </c>
    </row>
    <row r="111" spans="1:5" ht="31.5" customHeight="1">
      <c r="A111" s="18"/>
      <c r="B111" s="19"/>
      <c r="D111" t="e">
        <f>INDEX(Inventari_2[[#Headers],[#Data]],MATCH(Entrada[[#This Row],[CODIGO]],Inventari_2[[#Headers],[#Data],[CODIGO]],0),2)</f>
        <v>#N/A</v>
      </c>
      <c r="E111" t="str">
        <f>IFERROR(VLOOKUP(Entrada[[#This Row],[CODIGO]],Inventari_2[],3,FALSE),"-")</f>
        <v>-</v>
      </c>
    </row>
    <row r="112" spans="1:5" ht="31.5" customHeight="1">
      <c r="A112" s="18"/>
      <c r="B112" s="19"/>
      <c r="D112" t="e">
        <f>INDEX(Inventari_2[[#Headers],[#Data]],MATCH(Entrada[[#This Row],[CODIGO]],Inventari_2[[#Headers],[#Data],[CODIGO]],0),2)</f>
        <v>#N/A</v>
      </c>
      <c r="E112" t="str">
        <f>IFERROR(VLOOKUP(Entrada[[#This Row],[CODIGO]],Inventari_2[],3,FALSE),"-")</f>
        <v>-</v>
      </c>
    </row>
    <row r="113" spans="1:5" ht="31.5" customHeight="1">
      <c r="A113" s="18"/>
      <c r="B113" s="19"/>
      <c r="D113" t="e">
        <f>INDEX(Inventari_2[[#Headers],[#Data]],MATCH(Entrada[[#This Row],[CODIGO]],Inventari_2[[#Headers],[#Data],[CODIGO]],0),2)</f>
        <v>#N/A</v>
      </c>
      <c r="E113" t="str">
        <f>IFERROR(VLOOKUP(Entrada[[#This Row],[CODIGO]],Inventari_2[],3,FALSE),"-")</f>
        <v>-</v>
      </c>
    </row>
    <row r="114" spans="1:5" ht="31.5" customHeight="1">
      <c r="A114" s="18"/>
      <c r="B114" s="19"/>
      <c r="D114" t="e">
        <f>INDEX(Inventari_2[[#Headers],[#Data]],MATCH(Entrada[[#This Row],[CODIGO]],Inventari_2[[#Headers],[#Data],[CODIGO]],0),2)</f>
        <v>#N/A</v>
      </c>
      <c r="E114" t="str">
        <f>IFERROR(VLOOKUP(Entrada[[#This Row],[CODIGO]],Inventari_2[],3,FALSE),"-")</f>
        <v>-</v>
      </c>
    </row>
    <row r="115" spans="1:5" ht="31.5" customHeight="1">
      <c r="A115" s="18"/>
      <c r="B115" s="19"/>
      <c r="D115" t="e">
        <f>INDEX(Inventari_2[[#Headers],[#Data]],MATCH(Entrada[[#This Row],[CODIGO]],Inventari_2[[#Headers],[#Data],[CODIGO]],0),2)</f>
        <v>#N/A</v>
      </c>
      <c r="E115" t="str">
        <f>IFERROR(VLOOKUP(Entrada[[#This Row],[CODIGO]],Inventari_2[],3,FALSE),"-")</f>
        <v>-</v>
      </c>
    </row>
    <row r="116" spans="1:5" ht="31.5" customHeight="1">
      <c r="A116" s="18"/>
      <c r="B116" s="19"/>
      <c r="D116" t="e">
        <f>INDEX(Inventari_2[[#Headers],[#Data]],MATCH(Entrada[[#This Row],[CODIGO]],Inventari_2[[#Headers],[#Data],[CODIGO]],0),2)</f>
        <v>#N/A</v>
      </c>
      <c r="E116" t="str">
        <f>IFERROR(VLOOKUP(Entrada[[#This Row],[CODIGO]],Inventari_2[],3,FALSE),"-")</f>
        <v>-</v>
      </c>
    </row>
    <row r="117" spans="1:5" ht="31.5" customHeight="1">
      <c r="A117" s="18"/>
      <c r="B117" s="19"/>
      <c r="D117" t="e">
        <f>INDEX(Inventari_2[[#Headers],[#Data]],MATCH(Entrada[[#This Row],[CODIGO]],Inventari_2[[#Headers],[#Data],[CODIGO]],0),2)</f>
        <v>#N/A</v>
      </c>
      <c r="E117" t="str">
        <f>IFERROR(VLOOKUP(Entrada[[#This Row],[CODIGO]],Inventari_2[],3,FALSE),"-")</f>
        <v>-</v>
      </c>
    </row>
    <row r="118" spans="1:5" ht="31.5" customHeight="1">
      <c r="A118" s="18"/>
      <c r="B118" s="19"/>
      <c r="D118" t="e">
        <f>INDEX(Inventari_2[[#Headers],[#Data]],MATCH(Entrada[[#This Row],[CODIGO]],Inventari_2[[#Headers],[#Data],[CODIGO]],0),2)</f>
        <v>#N/A</v>
      </c>
      <c r="E118" t="str">
        <f>IFERROR(VLOOKUP(Entrada[[#This Row],[CODIGO]],Inventari_2[],3,FALSE),"-")</f>
        <v>-</v>
      </c>
    </row>
    <row r="119" spans="1:5" ht="31.5" customHeight="1">
      <c r="A119" s="18"/>
      <c r="B119" s="19"/>
      <c r="D119" t="e">
        <f>INDEX(Inventari_2[[#Headers],[#Data]],MATCH(Entrada[[#This Row],[CODIGO]],Inventari_2[[#Headers],[#Data],[CODIGO]],0),2)</f>
        <v>#N/A</v>
      </c>
      <c r="E119" t="str">
        <f>IFERROR(VLOOKUP(Entrada[[#This Row],[CODIGO]],Inventari_2[],3,FALSE),"-")</f>
        <v>-</v>
      </c>
    </row>
    <row r="120" spans="1:5" ht="31.5" customHeight="1">
      <c r="A120" s="18"/>
      <c r="B120" s="19"/>
      <c r="D120" t="e">
        <f>INDEX(Inventari_2[[#Headers],[#Data]],MATCH(Entrada[[#This Row],[CODIGO]],Inventari_2[[#Headers],[#Data],[CODIGO]],0),2)</f>
        <v>#N/A</v>
      </c>
      <c r="E120" t="str">
        <f>IFERROR(VLOOKUP(Entrada[[#This Row],[CODIGO]],Inventari_2[],3,FALSE),"-")</f>
        <v>-</v>
      </c>
    </row>
    <row r="121" spans="1:5" ht="31.5" customHeight="1">
      <c r="A121" s="18"/>
      <c r="B121" s="19"/>
      <c r="D121" t="e">
        <f>INDEX(Inventari_2[[#Headers],[#Data]],MATCH(Entrada[[#This Row],[CODIGO]],Inventari_2[[#Headers],[#Data],[CODIGO]],0),2)</f>
        <v>#N/A</v>
      </c>
      <c r="E121" t="str">
        <f>IFERROR(VLOOKUP(Entrada[[#This Row],[CODIGO]],Inventari_2[],3,FALSE),"-")</f>
        <v>-</v>
      </c>
    </row>
    <row r="122" spans="1:5" ht="31.5" customHeight="1">
      <c r="A122" s="18"/>
      <c r="B122" s="19"/>
      <c r="D122" t="e">
        <f>INDEX(Inventari_2[[#Headers],[#Data]],MATCH(Entrada[[#This Row],[CODIGO]],Inventari_2[[#Headers],[#Data],[CODIGO]],0),2)</f>
        <v>#N/A</v>
      </c>
      <c r="E122" t="str">
        <f>IFERROR(VLOOKUP(Entrada[[#This Row],[CODIGO]],Inventari_2[],3,FALSE),"-")</f>
        <v>-</v>
      </c>
    </row>
    <row r="123" spans="1:5" ht="31.5" customHeight="1">
      <c r="A123" s="18"/>
      <c r="B123" s="19"/>
      <c r="D123" t="e">
        <f>INDEX(Inventari_2[[#Headers],[#Data]],MATCH(Entrada[[#This Row],[CODIGO]],Inventari_2[[#Headers],[#Data],[CODIGO]],0),2)</f>
        <v>#N/A</v>
      </c>
      <c r="E123" t="str">
        <f>IFERROR(VLOOKUP(Entrada[[#This Row],[CODIGO]],Inventari_2[],3,FALSE),"-")</f>
        <v>-</v>
      </c>
    </row>
    <row r="124" spans="1:5" ht="31.5" customHeight="1">
      <c r="A124" s="18"/>
      <c r="B124" s="19"/>
      <c r="D124" t="e">
        <f>INDEX(Inventari_2[[#Headers],[#Data]],MATCH(Entrada[[#This Row],[CODIGO]],Inventari_2[[#Headers],[#Data],[CODIGO]],0),2)</f>
        <v>#N/A</v>
      </c>
      <c r="E124" t="str">
        <f>IFERROR(VLOOKUP(Entrada[[#This Row],[CODIGO]],Inventari_2[],3,FALSE),"-")</f>
        <v>-</v>
      </c>
    </row>
    <row r="125" spans="1:5" ht="31.5" customHeight="1">
      <c r="A125" s="18"/>
      <c r="B125" s="19"/>
      <c r="D125" t="e">
        <f>INDEX(Inventari_2[[#Headers],[#Data]],MATCH(Entrada[[#This Row],[CODIGO]],Inventari_2[[#Headers],[#Data],[CODIGO]],0),2)</f>
        <v>#N/A</v>
      </c>
      <c r="E125" t="str">
        <f>IFERROR(VLOOKUP(Entrada[[#This Row],[CODIGO]],Inventari_2[],3,FALSE),"-")</f>
        <v>-</v>
      </c>
    </row>
    <row r="126" spans="1:5" ht="31.5" customHeight="1">
      <c r="A126" s="18"/>
      <c r="B126" s="19"/>
      <c r="D126" t="e">
        <f>INDEX(Inventari_2[[#Headers],[#Data]],MATCH(Entrada[[#This Row],[CODIGO]],Inventari_2[[#Headers],[#Data],[CODIGO]],0),2)</f>
        <v>#N/A</v>
      </c>
      <c r="E126" t="str">
        <f>IFERROR(VLOOKUP(Entrada[[#This Row],[CODIGO]],Inventari_2[],3,FALSE),"-")</f>
        <v>-</v>
      </c>
    </row>
    <row r="127" spans="1:5" ht="31.5" customHeight="1">
      <c r="A127" s="18"/>
      <c r="B127" s="19"/>
      <c r="D127" t="e">
        <f>INDEX(Inventari_2[[#Headers],[#Data]],MATCH(Entrada[[#This Row],[CODIGO]],Inventari_2[[#Headers],[#Data],[CODIGO]],0),2)</f>
        <v>#N/A</v>
      </c>
      <c r="E127" t="str">
        <f>IFERROR(VLOOKUP(Entrada[[#This Row],[CODIGO]],Inventari_2[],3,FALSE),"-")</f>
        <v>-</v>
      </c>
    </row>
    <row r="128" spans="1:5" ht="31.5" customHeight="1">
      <c r="A128" s="18"/>
      <c r="B128" s="19"/>
      <c r="D128" t="e">
        <f>INDEX(Inventari_2[[#Headers],[#Data]],MATCH(Entrada[[#This Row],[CODIGO]],Inventari_2[[#Headers],[#Data],[CODIGO]],0),2)</f>
        <v>#N/A</v>
      </c>
      <c r="E128" t="str">
        <f>IFERROR(VLOOKUP(Entrada[[#This Row],[CODIGO]],Inventari_2[],3,FALSE),"-")</f>
        <v>-</v>
      </c>
    </row>
    <row r="129" spans="1:5" ht="31.5" customHeight="1">
      <c r="A129" s="18"/>
      <c r="B129" s="19"/>
      <c r="D129" t="e">
        <f>INDEX(Inventari_2[[#Headers],[#Data]],MATCH(Entrada[[#This Row],[CODIGO]],Inventari_2[[#Headers],[#Data],[CODIGO]],0),2)</f>
        <v>#N/A</v>
      </c>
      <c r="E129" t="str">
        <f>IFERROR(VLOOKUP(Entrada[[#This Row],[CODIGO]],Inventari_2[],3,FALSE),"-")</f>
        <v>-</v>
      </c>
    </row>
    <row r="130" spans="1:5" ht="31.5" customHeight="1">
      <c r="A130" s="18"/>
      <c r="B130" s="19"/>
      <c r="D130" t="e">
        <f>INDEX(Inventari_2[[#Headers],[#Data]],MATCH(Entrada[[#This Row],[CODIGO]],Inventari_2[[#Headers],[#Data],[CODIGO]],0),2)</f>
        <v>#N/A</v>
      </c>
      <c r="E130" t="str">
        <f>IFERROR(VLOOKUP(Entrada[[#This Row],[CODIGO]],Inventari_2[],3,FALSE),"-")</f>
        <v>-</v>
      </c>
    </row>
    <row r="131" spans="1:5" ht="31.5" customHeight="1">
      <c r="A131" s="18"/>
      <c r="B131" s="19"/>
      <c r="D131" t="e">
        <f>INDEX(Inventari_2[[#Headers],[#Data]],MATCH(Entrada[[#This Row],[CODIGO]],Inventari_2[[#Headers],[#Data],[CODIGO]],0),2)</f>
        <v>#N/A</v>
      </c>
      <c r="E131" t="str">
        <f>IFERROR(VLOOKUP(Entrada[[#This Row],[CODIGO]],Inventari_2[],3,FALSE),"-")</f>
        <v>-</v>
      </c>
    </row>
    <row r="132" spans="1:5" ht="31.5" customHeight="1">
      <c r="A132" s="18"/>
      <c r="B132" s="19"/>
      <c r="D132" t="e">
        <f>INDEX(Inventari_2[[#Headers],[#Data]],MATCH(Entrada[[#This Row],[CODIGO]],Inventari_2[[#Headers],[#Data],[CODIGO]],0),2)</f>
        <v>#N/A</v>
      </c>
      <c r="E132" t="str">
        <f>IFERROR(VLOOKUP(Entrada[[#This Row],[CODIGO]],Inventari_2[],3,FALSE),"-")</f>
        <v>-</v>
      </c>
    </row>
    <row r="133" spans="1:5" ht="31.5" customHeight="1">
      <c r="A133" s="18"/>
      <c r="B133" s="19"/>
      <c r="D133" t="e">
        <f>INDEX(Inventari_2[[#Headers],[#Data]],MATCH(Entrada[[#This Row],[CODIGO]],Inventari_2[[#Headers],[#Data],[CODIGO]],0),2)</f>
        <v>#N/A</v>
      </c>
      <c r="E133" t="str">
        <f>IFERROR(VLOOKUP(Entrada[[#This Row],[CODIGO]],Inventari_2[],3,FALSE),"-")</f>
        <v>-</v>
      </c>
    </row>
    <row r="134" spans="1:5" ht="31.5" customHeight="1">
      <c r="A134" s="18"/>
      <c r="B134" s="19"/>
      <c r="D134" t="e">
        <f>INDEX(Inventari_2[[#Headers],[#Data]],MATCH(Entrada[[#This Row],[CODIGO]],Inventari_2[[#Headers],[#Data],[CODIGO]],0),2)</f>
        <v>#N/A</v>
      </c>
      <c r="E134" t="str">
        <f>IFERROR(VLOOKUP(Entrada[[#This Row],[CODIGO]],Inventari_2[],3,FALSE),"-")</f>
        <v>-</v>
      </c>
    </row>
    <row r="135" spans="1:5" ht="31.5" customHeight="1">
      <c r="A135" s="18"/>
      <c r="B135" s="19"/>
      <c r="D135" t="e">
        <f>INDEX(Inventari_2[[#Headers],[#Data]],MATCH(Entrada[[#This Row],[CODIGO]],Inventari_2[[#Headers],[#Data],[CODIGO]],0),2)</f>
        <v>#N/A</v>
      </c>
      <c r="E135" t="str">
        <f>IFERROR(VLOOKUP(Entrada[[#This Row],[CODIGO]],Inventari_2[],3,FALSE),"-")</f>
        <v>-</v>
      </c>
    </row>
    <row r="136" spans="1:5" ht="31.5" customHeight="1">
      <c r="A136" s="18"/>
      <c r="B136" s="19"/>
      <c r="D136" t="e">
        <f>INDEX(Inventari_2[[#Headers],[#Data]],MATCH(Entrada[[#This Row],[CODIGO]],Inventari_2[[#Headers],[#Data],[CODIGO]],0),2)</f>
        <v>#N/A</v>
      </c>
      <c r="E136" t="str">
        <f>IFERROR(VLOOKUP(Entrada[[#This Row],[CODIGO]],Inventari_2[],3,FALSE),"-")</f>
        <v>-</v>
      </c>
    </row>
    <row r="137" spans="1:5" ht="31.5" customHeight="1">
      <c r="A137" s="18"/>
      <c r="B137" s="19"/>
      <c r="D137" t="e">
        <f>INDEX(Inventari_2[[#Headers],[#Data]],MATCH(Entrada[[#This Row],[CODIGO]],Inventari_2[[#Headers],[#Data],[CODIGO]],0),2)</f>
        <v>#N/A</v>
      </c>
      <c r="E137" t="str">
        <f>IFERROR(VLOOKUP(Entrada[[#This Row],[CODIGO]],Inventari_2[],3,FALSE),"-")</f>
        <v>-</v>
      </c>
    </row>
    <row r="138" spans="1:5" ht="31.5" customHeight="1">
      <c r="A138" s="18"/>
      <c r="B138" s="19"/>
      <c r="D138" t="e">
        <f>INDEX(Inventari_2[[#Headers],[#Data]],MATCH(Entrada[[#This Row],[CODIGO]],Inventari_2[[#Headers],[#Data],[CODIGO]],0),2)</f>
        <v>#N/A</v>
      </c>
      <c r="E138" t="str">
        <f>IFERROR(VLOOKUP(Entrada[[#This Row],[CODIGO]],Inventari_2[],3,FALSE),"-")</f>
        <v>-</v>
      </c>
    </row>
    <row r="139" spans="1:5" ht="31.5" customHeight="1">
      <c r="A139" s="18"/>
      <c r="B139" s="19"/>
      <c r="D139" t="e">
        <f>INDEX(Inventari_2[[#Headers],[#Data]],MATCH(Entrada[[#This Row],[CODIGO]],Inventari_2[[#Headers],[#Data],[CODIGO]],0),2)</f>
        <v>#N/A</v>
      </c>
      <c r="E139" t="str">
        <f>IFERROR(VLOOKUP(Entrada[[#This Row],[CODIGO]],Inventari_2[],3,FALSE),"-")</f>
        <v>-</v>
      </c>
    </row>
    <row r="140" spans="1:5" ht="31.5" customHeight="1">
      <c r="A140" s="18"/>
      <c r="B140" s="19"/>
      <c r="D140" t="e">
        <f>INDEX(Inventari_2[[#Headers],[#Data]],MATCH(Entrada[[#This Row],[CODIGO]],Inventari_2[[#Headers],[#Data],[CODIGO]],0),2)</f>
        <v>#N/A</v>
      </c>
      <c r="E140" t="str">
        <f>IFERROR(VLOOKUP(Entrada[[#This Row],[CODIGO]],Inventari_2[],3,FALSE),"-")</f>
        <v>-</v>
      </c>
    </row>
    <row r="141" spans="1:5" ht="31.5" customHeight="1">
      <c r="A141" s="18"/>
      <c r="B141" s="19"/>
      <c r="D141" t="e">
        <f>INDEX(Inventari_2[[#Headers],[#Data]],MATCH(Entrada[[#This Row],[CODIGO]],Inventari_2[[#Headers],[#Data],[CODIGO]],0),2)</f>
        <v>#N/A</v>
      </c>
      <c r="E141" t="str">
        <f>IFERROR(VLOOKUP(Entrada[[#This Row],[CODIGO]],Inventari_2[],3,FALSE),"-")</f>
        <v>-</v>
      </c>
    </row>
    <row r="142" spans="1:5" ht="31.5" customHeight="1">
      <c r="A142" s="18"/>
      <c r="B142" s="19"/>
      <c r="D142" t="e">
        <f>INDEX(Inventari_2[[#Headers],[#Data]],MATCH(Entrada[[#This Row],[CODIGO]],Inventari_2[[#Headers],[#Data],[CODIGO]],0),2)</f>
        <v>#N/A</v>
      </c>
      <c r="E142" t="str">
        <f>IFERROR(VLOOKUP(Entrada[[#This Row],[CODIGO]],Inventari_2[],3,FALSE),"-")</f>
        <v>-</v>
      </c>
    </row>
    <row r="143" spans="1:5" ht="31.5" customHeight="1">
      <c r="A143" s="18"/>
      <c r="B143" s="19"/>
      <c r="D143" t="e">
        <f>INDEX(Inventari_2[[#Headers],[#Data]],MATCH(Entrada[[#This Row],[CODIGO]],Inventari_2[[#Headers],[#Data],[CODIGO]],0),2)</f>
        <v>#N/A</v>
      </c>
      <c r="E143" t="str">
        <f>IFERROR(VLOOKUP(Entrada[[#This Row],[CODIGO]],Inventari_2[],3,FALSE),"-")</f>
        <v>-</v>
      </c>
    </row>
    <row r="144" spans="1:5" ht="31.5" customHeight="1">
      <c r="A144" s="18"/>
      <c r="B144" s="19"/>
      <c r="D144" t="e">
        <f>INDEX(Inventari_2[[#Headers],[#Data]],MATCH(Entrada[[#This Row],[CODIGO]],Inventari_2[[#Headers],[#Data],[CODIGO]],0),2)</f>
        <v>#N/A</v>
      </c>
      <c r="E144" t="str">
        <f>IFERROR(VLOOKUP(Entrada[[#This Row],[CODIGO]],Inventari_2[],3,FALSE),"-")</f>
        <v>-</v>
      </c>
    </row>
    <row r="145" spans="1:5" ht="31.5" customHeight="1">
      <c r="A145" s="18"/>
      <c r="B145" s="19"/>
      <c r="D145" t="e">
        <f>INDEX(Inventari_2[[#Headers],[#Data]],MATCH(Entrada[[#This Row],[CODIGO]],Inventari_2[[#Headers],[#Data],[CODIGO]],0),2)</f>
        <v>#N/A</v>
      </c>
      <c r="E145" t="str">
        <f>IFERROR(VLOOKUP(Entrada[[#This Row],[CODIGO]],Inventari_2[],3,FALSE),"-")</f>
        <v>-</v>
      </c>
    </row>
    <row r="146" spans="1:5" ht="31.5" customHeight="1">
      <c r="A146" s="18"/>
      <c r="B146" s="19"/>
      <c r="D146" t="e">
        <f>INDEX(Inventari_2[[#Headers],[#Data]],MATCH(Entrada[[#This Row],[CODIGO]],Inventari_2[[#Headers],[#Data],[CODIGO]],0),2)</f>
        <v>#N/A</v>
      </c>
      <c r="E146" t="str">
        <f>IFERROR(VLOOKUP(Entrada[[#This Row],[CODIGO]],Inventari_2[],3,FALSE),"-")</f>
        <v>-</v>
      </c>
    </row>
    <row r="147" spans="1:5" ht="31.5" customHeight="1">
      <c r="A147" s="18"/>
      <c r="B147" s="19"/>
      <c r="D147" t="e">
        <f>INDEX(Inventari_2[[#Headers],[#Data]],MATCH(Entrada[[#This Row],[CODIGO]],Inventari_2[[#Headers],[#Data],[CODIGO]],0),2)</f>
        <v>#N/A</v>
      </c>
      <c r="E147" t="str">
        <f>IFERROR(VLOOKUP(Entrada[[#This Row],[CODIGO]],Inventari_2[],3,FALSE),"-")</f>
        <v>-</v>
      </c>
    </row>
    <row r="148" spans="1:5" ht="31.5" customHeight="1">
      <c r="A148" s="18"/>
      <c r="B148" s="19"/>
      <c r="D148" t="e">
        <f>INDEX(Inventari_2[[#Headers],[#Data]],MATCH(Entrada[[#This Row],[CODIGO]],Inventari_2[[#Headers],[#Data],[CODIGO]],0),2)</f>
        <v>#N/A</v>
      </c>
      <c r="E148" t="str">
        <f>IFERROR(VLOOKUP(Entrada[[#This Row],[CODIGO]],Inventari_2[],3,FALSE),"-")</f>
        <v>-</v>
      </c>
    </row>
    <row r="149" spans="1:5" ht="31.5" customHeight="1">
      <c r="A149" s="18"/>
      <c r="B149" s="19"/>
      <c r="D149" t="e">
        <f>INDEX(Inventari_2[[#Headers],[#Data]],MATCH(Entrada[[#This Row],[CODIGO]],Inventari_2[[#Headers],[#Data],[CODIGO]],0),2)</f>
        <v>#N/A</v>
      </c>
      <c r="E149" t="str">
        <f>IFERROR(VLOOKUP(Entrada[[#This Row],[CODIGO]],Inventari_2[],3,FALSE),"-")</f>
        <v>-</v>
      </c>
    </row>
    <row r="150" spans="1:5" ht="31.5" customHeight="1">
      <c r="A150" s="18"/>
      <c r="B150" s="19"/>
      <c r="D150" t="e">
        <f>INDEX(Inventari_2[[#Headers],[#Data]],MATCH(Entrada[[#This Row],[CODIGO]],Inventari_2[[#Headers],[#Data],[CODIGO]],0),2)</f>
        <v>#N/A</v>
      </c>
      <c r="E150" t="str">
        <f>IFERROR(VLOOKUP(Entrada[[#This Row],[CODIGO]],Inventari_2[],3,FALSE),"-")</f>
        <v>-</v>
      </c>
    </row>
    <row r="151" spans="1:5" ht="31.5" customHeight="1">
      <c r="A151" s="18"/>
      <c r="B151" s="19"/>
      <c r="D151" t="e">
        <f>INDEX(Inventari_2[[#Headers],[#Data]],MATCH(Entrada[[#This Row],[CODIGO]],Inventari_2[[#Headers],[#Data],[CODIGO]],0),2)</f>
        <v>#N/A</v>
      </c>
      <c r="E151" t="str">
        <f>IFERROR(VLOOKUP(Entrada[[#This Row],[CODIGO]],Inventari_2[],3,FALSE),"-")</f>
        <v>-</v>
      </c>
    </row>
    <row r="152" spans="1:5" ht="31.5" customHeight="1">
      <c r="A152" s="18"/>
      <c r="B152" s="19"/>
      <c r="D152" t="e">
        <f>INDEX(Inventari_2[[#Headers],[#Data]],MATCH(Entrada[[#This Row],[CODIGO]],Inventari_2[[#Headers],[#Data],[CODIGO]],0),2)</f>
        <v>#N/A</v>
      </c>
      <c r="E152" t="str">
        <f>IFERROR(VLOOKUP(Entrada[[#This Row],[CODIGO]],Inventari_2[],3,FALSE),"-")</f>
        <v>-</v>
      </c>
    </row>
    <row r="153" spans="1:5" ht="31.5" customHeight="1">
      <c r="A153" s="18"/>
      <c r="B153" s="19"/>
      <c r="D153" t="e">
        <f>INDEX(Inventari_2[[#Headers],[#Data]],MATCH(Entrada[[#This Row],[CODIGO]],Inventari_2[[#Headers],[#Data],[CODIGO]],0),2)</f>
        <v>#N/A</v>
      </c>
      <c r="E153" t="str">
        <f>IFERROR(VLOOKUP(Entrada[[#This Row],[CODIGO]],Inventari_2[],3,FALSE),"-")</f>
        <v>-</v>
      </c>
    </row>
    <row r="154" spans="1:5" ht="31.5" customHeight="1">
      <c r="A154" s="18"/>
      <c r="B154" s="19"/>
      <c r="D154" t="e">
        <f>INDEX(Inventari_2[[#Headers],[#Data]],MATCH(Entrada[[#This Row],[CODIGO]],Inventari_2[[#Headers],[#Data],[CODIGO]],0),2)</f>
        <v>#N/A</v>
      </c>
      <c r="E154" t="str">
        <f>IFERROR(VLOOKUP(Entrada[[#This Row],[CODIGO]],Inventari_2[],3,FALSE),"-")</f>
        <v>-</v>
      </c>
    </row>
    <row r="155" spans="1:5" ht="31.5" customHeight="1">
      <c r="A155" s="18"/>
      <c r="B155" s="19"/>
      <c r="D155" t="e">
        <f>INDEX(Inventari_2[[#Headers],[#Data]],MATCH(Entrada[[#This Row],[CODIGO]],Inventari_2[[#Headers],[#Data],[CODIGO]],0),2)</f>
        <v>#N/A</v>
      </c>
      <c r="E155" t="str">
        <f>IFERROR(VLOOKUP(Entrada[[#This Row],[CODIGO]],Inventari_2[],3,FALSE),"-")</f>
        <v>-</v>
      </c>
    </row>
    <row r="156" spans="1:5" ht="31.5" customHeight="1">
      <c r="A156" s="18"/>
      <c r="B156" s="19"/>
      <c r="D156" t="e">
        <f>INDEX(Inventari_2[[#Headers],[#Data]],MATCH(Entrada[[#This Row],[CODIGO]],Inventari_2[[#Headers],[#Data],[CODIGO]],0),2)</f>
        <v>#N/A</v>
      </c>
      <c r="E156" t="str">
        <f>IFERROR(VLOOKUP(Entrada[[#This Row],[CODIGO]],Inventari_2[],3,FALSE),"-")</f>
        <v>-</v>
      </c>
    </row>
    <row r="157" spans="1:5" ht="31.5" customHeight="1">
      <c r="A157" s="18"/>
      <c r="B157" s="19"/>
      <c r="D157" t="e">
        <f>INDEX(Inventari_2[[#Headers],[#Data]],MATCH(Entrada[[#This Row],[CODIGO]],Inventari_2[[#Headers],[#Data],[CODIGO]],0),2)</f>
        <v>#N/A</v>
      </c>
      <c r="E157" t="str">
        <f>IFERROR(VLOOKUP(Entrada[[#This Row],[CODIGO]],Inventari_2[],3,FALSE),"-")</f>
        <v>-</v>
      </c>
    </row>
    <row r="158" spans="1:5" ht="31.5" customHeight="1">
      <c r="A158" s="18"/>
      <c r="B158" s="19"/>
      <c r="D158" t="e">
        <f>INDEX(Inventari_2[[#Headers],[#Data]],MATCH(Entrada[[#This Row],[CODIGO]],Inventari_2[[#Headers],[#Data],[CODIGO]],0),2)</f>
        <v>#N/A</v>
      </c>
      <c r="E158" t="str">
        <f>IFERROR(VLOOKUP(Entrada[[#This Row],[CODIGO]],Inventari_2[],3,FALSE),"-")</f>
        <v>-</v>
      </c>
    </row>
    <row r="159" spans="1:5" ht="31.5" customHeight="1">
      <c r="A159" s="18"/>
      <c r="B159" s="19"/>
      <c r="D159" t="e">
        <f>INDEX(Inventari_2[[#Headers],[#Data]],MATCH(Entrada[[#This Row],[CODIGO]],Inventari_2[[#Headers],[#Data],[CODIGO]],0),2)</f>
        <v>#N/A</v>
      </c>
      <c r="E159" t="str">
        <f>IFERROR(VLOOKUP(Entrada[[#This Row],[CODIGO]],Inventari_2[],3,FALSE),"-")</f>
        <v>-</v>
      </c>
    </row>
    <row r="160" spans="1:5" ht="31.5" customHeight="1">
      <c r="A160" s="18"/>
      <c r="B160" s="19"/>
      <c r="D160" t="e">
        <f>INDEX(Inventari_2[[#Headers],[#Data]],MATCH(Entrada[[#This Row],[CODIGO]],Inventari_2[[#Headers],[#Data],[CODIGO]],0),2)</f>
        <v>#N/A</v>
      </c>
      <c r="E160" t="str">
        <f>IFERROR(VLOOKUP(Entrada[[#This Row],[CODIGO]],Inventari_2[],3,FALSE),"-")</f>
        <v>-</v>
      </c>
    </row>
    <row r="161" spans="1:5" ht="31.5" customHeight="1">
      <c r="A161" s="18"/>
      <c r="B161" s="19"/>
      <c r="D161" t="e">
        <f>INDEX(Inventari_2[[#Headers],[#Data]],MATCH(Entrada[[#This Row],[CODIGO]],Inventari_2[[#Headers],[#Data],[CODIGO]],0),2)</f>
        <v>#N/A</v>
      </c>
      <c r="E161" t="str">
        <f>IFERROR(VLOOKUP(Entrada[[#This Row],[CODIGO]],Inventari_2[],3,FALSE),"-")</f>
        <v>-</v>
      </c>
    </row>
    <row r="162" spans="1:5" ht="31.5" customHeight="1">
      <c r="A162" s="18"/>
      <c r="B162" s="19"/>
      <c r="D162" t="e">
        <f>INDEX(Inventari_2[[#Headers],[#Data]],MATCH(Entrada[[#This Row],[CODIGO]],Inventari_2[[#Headers],[#Data],[CODIGO]],0),2)</f>
        <v>#N/A</v>
      </c>
      <c r="E162" t="str">
        <f>IFERROR(VLOOKUP(Entrada[[#This Row],[CODIGO]],Inventari_2[],3,FALSE),"-")</f>
        <v>-</v>
      </c>
    </row>
    <row r="163" spans="1:5" ht="31.5" customHeight="1">
      <c r="A163" s="18"/>
      <c r="B163" s="19"/>
      <c r="D163" t="e">
        <f>INDEX(Inventari_2[[#Headers],[#Data]],MATCH(Entrada[[#This Row],[CODIGO]],Inventari_2[[#Headers],[#Data],[CODIGO]],0),2)</f>
        <v>#N/A</v>
      </c>
      <c r="E163" t="str">
        <f>IFERROR(VLOOKUP(Entrada[[#This Row],[CODIGO]],Inventari_2[],3,FALSE),"-")</f>
        <v>-</v>
      </c>
    </row>
    <row r="164" spans="1:5" ht="31.5" customHeight="1">
      <c r="A164" s="18"/>
      <c r="B164" s="19"/>
      <c r="D164" t="e">
        <f>INDEX(Inventari_2[[#Headers],[#Data]],MATCH(Entrada[[#This Row],[CODIGO]],Inventari_2[[#Headers],[#Data],[CODIGO]],0),2)</f>
        <v>#N/A</v>
      </c>
      <c r="E164" t="str">
        <f>IFERROR(VLOOKUP(Entrada[[#This Row],[CODIGO]],Inventari_2[],3,FALSE),"-")</f>
        <v>-</v>
      </c>
    </row>
    <row r="165" spans="1:5" ht="31.5" customHeight="1">
      <c r="A165" s="18"/>
      <c r="B165" s="19"/>
      <c r="D165" t="e">
        <f>INDEX(Inventari_2[[#Headers],[#Data]],MATCH(Entrada[[#This Row],[CODIGO]],Inventari_2[[#Headers],[#Data],[CODIGO]],0),2)</f>
        <v>#N/A</v>
      </c>
      <c r="E165" t="str">
        <f>IFERROR(VLOOKUP(Entrada[[#This Row],[CODIGO]],Inventari_2[],3,FALSE),"-")</f>
        <v>-</v>
      </c>
    </row>
    <row r="166" spans="1:5" ht="31.5" customHeight="1">
      <c r="A166" s="18"/>
      <c r="B166" s="19"/>
      <c r="D166" t="e">
        <f>INDEX(Inventari_2[[#Headers],[#Data]],MATCH(Entrada[[#This Row],[CODIGO]],Inventari_2[[#Headers],[#Data],[CODIGO]],0),2)</f>
        <v>#N/A</v>
      </c>
      <c r="E166" t="str">
        <f>IFERROR(VLOOKUP(Entrada[[#This Row],[CODIGO]],Inventari_2[],3,FALSE),"-")</f>
        <v>-</v>
      </c>
    </row>
    <row r="167" spans="1:5" ht="31.5" customHeight="1">
      <c r="A167" s="18"/>
      <c r="B167" s="19"/>
      <c r="D167" t="e">
        <f>INDEX(Inventari_2[[#Headers],[#Data]],MATCH(Entrada[[#This Row],[CODIGO]],Inventari_2[[#Headers],[#Data],[CODIGO]],0),2)</f>
        <v>#N/A</v>
      </c>
      <c r="E167" t="str">
        <f>IFERROR(VLOOKUP(Entrada[[#This Row],[CODIGO]],Inventari_2[],3,FALSE),"-")</f>
        <v>-</v>
      </c>
    </row>
    <row r="168" spans="1:5" ht="31.5" customHeight="1">
      <c r="A168" s="18"/>
      <c r="B168" s="19"/>
      <c r="D168" t="e">
        <f>INDEX(Inventari_2[[#Headers],[#Data]],MATCH(Entrada[[#This Row],[CODIGO]],Inventari_2[[#Headers],[#Data],[CODIGO]],0),2)</f>
        <v>#N/A</v>
      </c>
      <c r="E168" t="str">
        <f>IFERROR(VLOOKUP(Entrada[[#This Row],[CODIGO]],Inventari_2[],3,FALSE),"-")</f>
        <v>-</v>
      </c>
    </row>
    <row r="169" spans="1:5" ht="31.5" customHeight="1">
      <c r="A169" s="18"/>
      <c r="B169" s="19"/>
      <c r="D169" t="e">
        <f>INDEX(Inventari_2[[#Headers],[#Data]],MATCH(Entrada[[#This Row],[CODIGO]],Inventari_2[[#Headers],[#Data],[CODIGO]],0),2)</f>
        <v>#N/A</v>
      </c>
      <c r="E169" t="str">
        <f>IFERROR(VLOOKUP(Entrada[[#This Row],[CODIGO]],Inventari_2[],3,FALSE),"-")</f>
        <v>-</v>
      </c>
    </row>
    <row r="170" spans="1:5" ht="31.5" customHeight="1">
      <c r="A170" s="18"/>
      <c r="B170" s="19"/>
      <c r="D170" t="e">
        <f>INDEX(Inventari_2[[#Headers],[#Data]],MATCH(Entrada[[#This Row],[CODIGO]],Inventari_2[[#Headers],[#Data],[CODIGO]],0),2)</f>
        <v>#N/A</v>
      </c>
      <c r="E170" t="str">
        <f>IFERROR(VLOOKUP(Entrada[[#This Row],[CODIGO]],Inventari_2[],3,FALSE),"-")</f>
        <v>-</v>
      </c>
    </row>
    <row r="171" spans="1:5" ht="31.5" customHeight="1">
      <c r="A171" s="18"/>
      <c r="B171" s="19"/>
      <c r="D171" t="e">
        <f>INDEX(Inventari_2[[#Headers],[#Data]],MATCH(Entrada[[#This Row],[CODIGO]],Inventari_2[[#Headers],[#Data],[CODIGO]],0),2)</f>
        <v>#N/A</v>
      </c>
      <c r="E171" t="str">
        <f>IFERROR(VLOOKUP(Entrada[[#This Row],[CODIGO]],Inventari_2[],3,FALSE),"-")</f>
        <v>-</v>
      </c>
    </row>
    <row r="172" spans="1:5" ht="31.5" customHeight="1">
      <c r="A172" s="18"/>
      <c r="B172" s="19"/>
      <c r="D172" t="e">
        <f>INDEX(Inventari_2[[#Headers],[#Data]],MATCH(Entrada[[#This Row],[CODIGO]],Inventari_2[[#Headers],[#Data],[CODIGO]],0),2)</f>
        <v>#N/A</v>
      </c>
      <c r="E172" t="str">
        <f>IFERROR(VLOOKUP(Entrada[[#This Row],[CODIGO]],Inventari_2[],3,FALSE),"-")</f>
        <v>-</v>
      </c>
    </row>
    <row r="173" spans="1:5" ht="31.5" customHeight="1">
      <c r="A173" s="18"/>
      <c r="B173" s="19"/>
      <c r="D173" t="e">
        <f>INDEX(Inventari_2[[#Headers],[#Data]],MATCH(Entrada[[#This Row],[CODIGO]],Inventari_2[[#Headers],[#Data],[CODIGO]],0),2)</f>
        <v>#N/A</v>
      </c>
      <c r="E173" t="str">
        <f>IFERROR(VLOOKUP(Entrada[[#This Row],[CODIGO]],Inventari_2[],3,FALSE),"-")</f>
        <v>-</v>
      </c>
    </row>
    <row r="174" spans="1:5" ht="31.5" customHeight="1">
      <c r="A174" s="18"/>
      <c r="B174" s="19"/>
      <c r="D174" t="e">
        <f>INDEX(Inventari_2[[#Headers],[#Data]],MATCH(Entrada[[#This Row],[CODIGO]],Inventari_2[[#Headers],[#Data],[CODIGO]],0),2)</f>
        <v>#N/A</v>
      </c>
      <c r="E174" t="str">
        <f>IFERROR(VLOOKUP(Entrada[[#This Row],[CODIGO]],Inventari_2[],3,FALSE),"-")</f>
        <v>-</v>
      </c>
    </row>
    <row r="175" spans="1:5" ht="31.5" customHeight="1">
      <c r="A175" s="18"/>
      <c r="B175" s="19"/>
      <c r="D175" t="e">
        <f>INDEX(Inventari_2[[#Headers],[#Data]],MATCH(Entrada[[#This Row],[CODIGO]],Inventari_2[[#Headers],[#Data],[CODIGO]],0),2)</f>
        <v>#N/A</v>
      </c>
      <c r="E175" t="str">
        <f>IFERROR(VLOOKUP(Entrada[[#This Row],[CODIGO]],Inventari_2[],3,FALSE),"-")</f>
        <v>-</v>
      </c>
    </row>
    <row r="176" spans="1:5" ht="31.5" customHeight="1">
      <c r="A176" s="18"/>
      <c r="B176" s="19"/>
      <c r="D176" t="e">
        <f>INDEX(Inventari_2[[#Headers],[#Data]],MATCH(Entrada[[#This Row],[CODIGO]],Inventari_2[[#Headers],[#Data],[CODIGO]],0),2)</f>
        <v>#N/A</v>
      </c>
      <c r="E176" t="str">
        <f>IFERROR(VLOOKUP(Entrada[[#This Row],[CODIGO]],Inventari_2[],3,FALSE),"-")</f>
        <v>-</v>
      </c>
    </row>
    <row r="177" spans="1:5" ht="31.5" customHeight="1">
      <c r="A177" s="18"/>
      <c r="B177" s="19"/>
      <c r="D177" t="e">
        <f>INDEX(Inventari_2[[#Headers],[#Data]],MATCH(Entrada[[#This Row],[CODIGO]],Inventari_2[[#Headers],[#Data],[CODIGO]],0),2)</f>
        <v>#N/A</v>
      </c>
      <c r="E177" t="str">
        <f>IFERROR(VLOOKUP(Entrada[[#This Row],[CODIGO]],Inventari_2[],3,FALSE),"-")</f>
        <v>-</v>
      </c>
    </row>
    <row r="178" spans="1:5" ht="31.5" customHeight="1">
      <c r="A178" s="18"/>
      <c r="B178" s="19"/>
      <c r="D178" t="e">
        <f>INDEX(Inventari_2[[#Headers],[#Data]],MATCH(Entrada[[#This Row],[CODIGO]],Inventari_2[[#Headers],[#Data],[CODIGO]],0),2)</f>
        <v>#N/A</v>
      </c>
      <c r="E178" t="str">
        <f>IFERROR(VLOOKUP(Entrada[[#This Row],[CODIGO]],Inventari_2[],3,FALSE),"-")</f>
        <v>-</v>
      </c>
    </row>
    <row r="179" spans="1:5" ht="31.5" customHeight="1">
      <c r="A179" s="18"/>
      <c r="B179" s="19"/>
      <c r="D179" t="e">
        <f>INDEX(Inventari_2[[#Headers],[#Data]],MATCH(Entrada[[#This Row],[CODIGO]],Inventari_2[[#Headers],[#Data],[CODIGO]],0),2)</f>
        <v>#N/A</v>
      </c>
      <c r="E179" t="str">
        <f>IFERROR(VLOOKUP(Entrada[[#This Row],[CODIGO]],Inventari_2[],3,FALSE),"-")</f>
        <v>-</v>
      </c>
    </row>
    <row r="180" spans="1:5" ht="31.5" customHeight="1">
      <c r="A180" s="18"/>
      <c r="B180" s="19"/>
      <c r="D180" t="e">
        <f>INDEX(Inventari_2[[#Headers],[#Data]],MATCH(Entrada[[#This Row],[CODIGO]],Inventari_2[[#Headers],[#Data],[CODIGO]],0),2)</f>
        <v>#N/A</v>
      </c>
      <c r="E180" t="str">
        <f>IFERROR(VLOOKUP(Entrada[[#This Row],[CODIGO]],Inventari_2[],3,FALSE),"-")</f>
        <v>-</v>
      </c>
    </row>
    <row r="181" spans="1:5" ht="31.5" customHeight="1">
      <c r="A181" s="18"/>
      <c r="B181" s="19"/>
      <c r="D181" t="e">
        <f>INDEX(Inventari_2[[#Headers],[#Data]],MATCH(Entrada[[#This Row],[CODIGO]],Inventari_2[[#Headers],[#Data],[CODIGO]],0),2)</f>
        <v>#N/A</v>
      </c>
      <c r="E181" t="str">
        <f>IFERROR(VLOOKUP(Entrada[[#This Row],[CODIGO]],Inventari_2[],3,FALSE),"-")</f>
        <v>-</v>
      </c>
    </row>
    <row r="182" spans="1:5" ht="31.5" customHeight="1">
      <c r="A182" s="18"/>
      <c r="B182" s="19"/>
      <c r="D182" t="e">
        <f>INDEX(Inventari_2[[#Headers],[#Data]],MATCH(Entrada[[#This Row],[CODIGO]],Inventari_2[[#Headers],[#Data],[CODIGO]],0),2)</f>
        <v>#N/A</v>
      </c>
      <c r="E182" t="str">
        <f>IFERROR(VLOOKUP(Entrada[[#This Row],[CODIGO]],Inventari_2[],3,FALSE),"-")</f>
        <v>-</v>
      </c>
    </row>
    <row r="183" spans="1:5" ht="31.5" customHeight="1">
      <c r="A183" s="18"/>
      <c r="B183" s="19"/>
      <c r="D183" t="e">
        <f>INDEX(Inventari_2[[#Headers],[#Data]],MATCH(Entrada[[#This Row],[CODIGO]],Inventari_2[[#Headers],[#Data],[CODIGO]],0),2)</f>
        <v>#N/A</v>
      </c>
      <c r="E183" t="str">
        <f>IFERROR(VLOOKUP(Entrada[[#This Row],[CODIGO]],Inventari_2[],3,FALSE),"-")</f>
        <v>-</v>
      </c>
    </row>
    <row r="184" spans="1:5" ht="31.5" customHeight="1">
      <c r="A184" s="18"/>
      <c r="B184" s="19"/>
      <c r="D184" t="e">
        <f>INDEX(Inventari_2[[#Headers],[#Data]],MATCH(Entrada[[#This Row],[CODIGO]],Inventari_2[[#Headers],[#Data],[CODIGO]],0),2)</f>
        <v>#N/A</v>
      </c>
      <c r="E184" t="str">
        <f>IFERROR(VLOOKUP(Entrada[[#This Row],[CODIGO]],Inventari_2[],3,FALSE),"-")</f>
        <v>-</v>
      </c>
    </row>
    <row r="185" spans="1:5" ht="31.5" customHeight="1">
      <c r="A185" s="18"/>
      <c r="B185" s="19"/>
      <c r="D185" t="e">
        <f>INDEX(Inventari_2[[#Headers],[#Data]],MATCH(Entrada[[#This Row],[CODIGO]],Inventari_2[[#Headers],[#Data],[CODIGO]],0),2)</f>
        <v>#N/A</v>
      </c>
      <c r="E185" t="str">
        <f>IFERROR(VLOOKUP(Entrada[[#This Row],[CODIGO]],Inventari_2[],3,FALSE),"-")</f>
        <v>-</v>
      </c>
    </row>
    <row r="186" spans="1:5" ht="31.5" customHeight="1">
      <c r="A186" s="18"/>
      <c r="B186" s="19"/>
      <c r="D186" t="e">
        <f>INDEX(Inventari_2[[#Headers],[#Data]],MATCH(Entrada[[#This Row],[CODIGO]],Inventari_2[[#Headers],[#Data],[CODIGO]],0),2)</f>
        <v>#N/A</v>
      </c>
      <c r="E186" t="str">
        <f>IFERROR(VLOOKUP(Entrada[[#This Row],[CODIGO]],Inventari_2[],3,FALSE),"-")</f>
        <v>-</v>
      </c>
    </row>
    <row r="187" spans="1:5" ht="31.5" customHeight="1">
      <c r="A187" s="18"/>
      <c r="B187" s="19"/>
      <c r="D187" t="e">
        <f>INDEX(Inventari_2[[#Headers],[#Data]],MATCH(Entrada[[#This Row],[CODIGO]],Inventari_2[[#Headers],[#Data],[CODIGO]],0),2)</f>
        <v>#N/A</v>
      </c>
      <c r="E187" t="str">
        <f>IFERROR(VLOOKUP(Entrada[[#This Row],[CODIGO]],Inventari_2[],3,FALSE),"-")</f>
        <v>-</v>
      </c>
    </row>
    <row r="188" spans="1:5" ht="31.5" customHeight="1">
      <c r="A188" s="18"/>
      <c r="B188" s="19"/>
      <c r="D188" t="e">
        <f>INDEX(Inventari_2[[#Headers],[#Data]],MATCH(Entrada[[#This Row],[CODIGO]],Inventari_2[[#Headers],[#Data],[CODIGO]],0),2)</f>
        <v>#N/A</v>
      </c>
      <c r="E188" t="str">
        <f>IFERROR(VLOOKUP(Entrada[[#This Row],[CODIGO]],Inventari_2[],3,FALSE),"-")</f>
        <v>-</v>
      </c>
    </row>
    <row r="189" spans="1:5" ht="31.5" customHeight="1">
      <c r="A189" s="18"/>
      <c r="B189" s="19"/>
      <c r="D189" t="e">
        <f>INDEX(Inventari_2[[#Headers],[#Data]],MATCH(Entrada[[#This Row],[CODIGO]],Inventari_2[[#Headers],[#Data],[CODIGO]],0),2)</f>
        <v>#N/A</v>
      </c>
      <c r="E189" t="str">
        <f>IFERROR(VLOOKUP(Entrada[[#This Row],[CODIGO]],Inventari_2[],3,FALSE),"-")</f>
        <v>-</v>
      </c>
    </row>
    <row r="190" spans="1:5" ht="31.5" customHeight="1">
      <c r="A190" s="18"/>
      <c r="B190" s="19"/>
      <c r="D190" t="e">
        <f>INDEX(Inventari_2[[#Headers],[#Data]],MATCH(Entrada[[#This Row],[CODIGO]],Inventari_2[[#Headers],[#Data],[CODIGO]],0),2)</f>
        <v>#N/A</v>
      </c>
      <c r="E190" t="str">
        <f>IFERROR(VLOOKUP(Entrada[[#This Row],[CODIGO]],Inventari_2[],3,FALSE),"-")</f>
        <v>-</v>
      </c>
    </row>
    <row r="191" spans="1:5" ht="31.5" customHeight="1">
      <c r="A191" s="18"/>
      <c r="B191" s="19"/>
      <c r="D191" t="e">
        <f>INDEX(Inventari_2[[#Headers],[#Data]],MATCH(Entrada[[#This Row],[CODIGO]],Inventari_2[[#Headers],[#Data],[CODIGO]],0),2)</f>
        <v>#N/A</v>
      </c>
      <c r="E191" t="str">
        <f>IFERROR(VLOOKUP(Entrada[[#This Row],[CODIGO]],Inventari_2[],3,FALSE),"-")</f>
        <v>-</v>
      </c>
    </row>
    <row r="192" spans="1:5" ht="31.5" customHeight="1">
      <c r="A192" s="18"/>
      <c r="B192" s="19"/>
      <c r="D192" t="e">
        <f>INDEX(Inventari_2[[#Headers],[#Data]],MATCH(Entrada[[#This Row],[CODIGO]],Inventari_2[[#Headers],[#Data],[CODIGO]],0),2)</f>
        <v>#N/A</v>
      </c>
      <c r="E192" t="str">
        <f>IFERROR(VLOOKUP(Entrada[[#This Row],[CODIGO]],Inventari_2[],3,FALSE),"-")</f>
        <v>-</v>
      </c>
    </row>
    <row r="193" spans="1:5" ht="31.5" customHeight="1">
      <c r="A193" s="18"/>
      <c r="B193" s="19"/>
      <c r="D193" t="e">
        <f>INDEX(Inventari_2[[#Headers],[#Data]],MATCH(Entrada[[#This Row],[CODIGO]],Inventari_2[[#Headers],[#Data],[CODIGO]],0),2)</f>
        <v>#N/A</v>
      </c>
      <c r="E193" t="str">
        <f>IFERROR(VLOOKUP(Entrada[[#This Row],[CODIGO]],Inventari_2[],3,FALSE),"-")</f>
        <v>-</v>
      </c>
    </row>
    <row r="194" spans="1:5" ht="31.5" customHeight="1">
      <c r="A194" s="18"/>
      <c r="B194" s="19"/>
      <c r="D194" t="e">
        <f>INDEX(Inventari_2[[#Headers],[#Data]],MATCH(Entrada[[#This Row],[CODIGO]],Inventari_2[[#Headers],[#Data],[CODIGO]],0),2)</f>
        <v>#N/A</v>
      </c>
      <c r="E194" t="str">
        <f>IFERROR(VLOOKUP(Entrada[[#This Row],[CODIGO]],Inventari_2[],3,FALSE),"-")</f>
        <v>-</v>
      </c>
    </row>
    <row r="195" spans="1:5" ht="31.5" customHeight="1">
      <c r="A195" s="18"/>
      <c r="B195" s="19"/>
      <c r="D195" t="e">
        <f>INDEX(Inventari_2[[#Headers],[#Data]],MATCH(Entrada[[#This Row],[CODIGO]],Inventari_2[[#Headers],[#Data],[CODIGO]],0),2)</f>
        <v>#N/A</v>
      </c>
      <c r="E195" t="str">
        <f>IFERROR(VLOOKUP(Entrada[[#This Row],[CODIGO]],Inventari_2[],3,FALSE),"-")</f>
        <v>-</v>
      </c>
    </row>
    <row r="196" spans="1:5" ht="31.5" customHeight="1">
      <c r="A196" s="18"/>
      <c r="B196" s="19"/>
      <c r="D196" t="e">
        <f>INDEX(Inventari_2[[#Headers],[#Data]],MATCH(Entrada[[#This Row],[CODIGO]],Inventari_2[[#Headers],[#Data],[CODIGO]],0),2)</f>
        <v>#N/A</v>
      </c>
      <c r="E196" t="str">
        <f>IFERROR(VLOOKUP(Entrada[[#This Row],[CODIGO]],Inventari_2[],3,FALSE),"-")</f>
        <v>-</v>
      </c>
    </row>
    <row r="197" spans="1:5" ht="31.5" customHeight="1">
      <c r="A197" s="18"/>
      <c r="B197" s="19"/>
      <c r="D197" t="e">
        <f>INDEX(Inventari_2[[#Headers],[#Data]],MATCH(Entrada[[#This Row],[CODIGO]],Inventari_2[[#Headers],[#Data],[CODIGO]],0),2)</f>
        <v>#N/A</v>
      </c>
      <c r="E197" t="str">
        <f>IFERROR(VLOOKUP(Entrada[[#This Row],[CODIGO]],Inventari_2[],3,FALSE),"-")</f>
        <v>-</v>
      </c>
    </row>
    <row r="198" spans="1:5" ht="31.5" customHeight="1">
      <c r="A198" s="18"/>
      <c r="B198" s="19"/>
      <c r="D198" t="e">
        <f>INDEX(Inventari_2[[#Headers],[#Data]],MATCH(Entrada[[#This Row],[CODIGO]],Inventari_2[[#Headers],[#Data],[CODIGO]],0),2)</f>
        <v>#N/A</v>
      </c>
      <c r="E198" t="str">
        <f>IFERROR(VLOOKUP(Entrada[[#This Row],[CODIGO]],Inventari_2[],3,FALSE),"-")</f>
        <v>-</v>
      </c>
    </row>
    <row r="199" spans="1:5" ht="31.5" customHeight="1">
      <c r="A199" s="18"/>
      <c r="B199" s="19"/>
      <c r="D199" t="e">
        <f>INDEX(Inventari_2[[#Headers],[#Data]],MATCH(Entrada[[#This Row],[CODIGO]],Inventari_2[[#Headers],[#Data],[CODIGO]],0),2)</f>
        <v>#N/A</v>
      </c>
      <c r="E199" t="str">
        <f>IFERROR(VLOOKUP(Entrada[[#This Row],[CODIGO]],Inventari_2[],3,FALSE),"-")</f>
        <v>-</v>
      </c>
    </row>
    <row r="200" spans="1:5" ht="31.5" customHeight="1">
      <c r="A200" s="18"/>
      <c r="B200" s="19"/>
      <c r="D200" t="e">
        <f>INDEX(Inventari_2[[#Headers],[#Data]],MATCH(Entrada[[#This Row],[CODIGO]],Inventari_2[[#Headers],[#Data],[CODIGO]],0),2)</f>
        <v>#N/A</v>
      </c>
      <c r="E200" t="str">
        <f>IFERROR(VLOOKUP(Entrada[[#This Row],[CODIGO]],Inventari_2[],3,FALSE),"-")</f>
        <v>-</v>
      </c>
    </row>
    <row r="201" spans="1:5" ht="31.5" customHeight="1">
      <c r="A201" s="18"/>
      <c r="B201" s="19"/>
      <c r="D201" t="e">
        <f>INDEX(Inventari_2[[#Headers],[#Data]],MATCH(Entrada[[#This Row],[CODIGO]],Inventari_2[[#Headers],[#Data],[CODIGO]],0),2)</f>
        <v>#N/A</v>
      </c>
      <c r="E201" t="str">
        <f>IFERROR(VLOOKUP(Entrada[[#This Row],[CODIGO]],Inventari_2[],3,FALSE),"-")</f>
        <v>-</v>
      </c>
    </row>
    <row r="202" spans="1:5" ht="31.5" customHeight="1">
      <c r="A202" s="18"/>
      <c r="B202" s="19"/>
      <c r="D202" t="e">
        <f>INDEX(Inventari_2[[#Headers],[#Data]],MATCH(Entrada[[#This Row],[CODIGO]],Inventari_2[[#Headers],[#Data],[CODIGO]],0),2)</f>
        <v>#N/A</v>
      </c>
      <c r="E202" t="str">
        <f>IFERROR(VLOOKUP(Entrada[[#This Row],[CODIGO]],Inventari_2[],3,FALSE),"-")</f>
        <v>-</v>
      </c>
    </row>
    <row r="203" spans="1:5" ht="31.5" customHeight="1">
      <c r="A203" s="18"/>
      <c r="B203" s="19"/>
      <c r="D203" t="e">
        <f>INDEX(Inventari_2[[#Headers],[#Data]],MATCH(Entrada[[#This Row],[CODIGO]],Inventari_2[[#Headers],[#Data],[CODIGO]],0),2)</f>
        <v>#N/A</v>
      </c>
      <c r="E203" t="str">
        <f>IFERROR(VLOOKUP(Entrada[[#This Row],[CODIGO]],Inventari_2[],3,FALSE),"-")</f>
        <v>-</v>
      </c>
    </row>
    <row r="204" spans="1:5" ht="31.5" customHeight="1">
      <c r="A204" s="18"/>
      <c r="B204" s="19"/>
      <c r="D204" t="e">
        <f>INDEX(Inventari_2[[#Headers],[#Data]],MATCH(Entrada[[#This Row],[CODIGO]],Inventari_2[[#Headers],[#Data],[CODIGO]],0),2)</f>
        <v>#N/A</v>
      </c>
      <c r="E204" t="str">
        <f>IFERROR(VLOOKUP(Entrada[[#This Row],[CODIGO]],Inventari_2[],3,FALSE),"-")</f>
        <v>-</v>
      </c>
    </row>
    <row r="205" spans="1:5" ht="31.5" customHeight="1">
      <c r="A205" s="18"/>
      <c r="B205" s="19"/>
      <c r="D205" t="e">
        <f>INDEX(Inventari_2[[#Headers],[#Data]],MATCH(Entrada[[#This Row],[CODIGO]],Inventari_2[[#Headers],[#Data],[CODIGO]],0),2)</f>
        <v>#N/A</v>
      </c>
      <c r="E205" t="str">
        <f>IFERROR(VLOOKUP(Entrada[[#This Row],[CODIGO]],Inventari_2[],3,FALSE),"-")</f>
        <v>-</v>
      </c>
    </row>
    <row r="206" spans="1:5" ht="31.5" customHeight="1">
      <c r="A206" s="18"/>
      <c r="B206" s="19"/>
      <c r="D206" t="e">
        <f>INDEX(Inventari_2[[#Headers],[#Data]],MATCH(Entrada[[#This Row],[CODIGO]],Inventari_2[[#Headers],[#Data],[CODIGO]],0),2)</f>
        <v>#N/A</v>
      </c>
      <c r="E206" t="str">
        <f>IFERROR(VLOOKUP(Entrada[[#This Row],[CODIGO]],Inventari_2[],3,FALSE),"-")</f>
        <v>-</v>
      </c>
    </row>
    <row r="207" spans="1:5" ht="31.5" customHeight="1">
      <c r="A207" s="18"/>
      <c r="B207" s="19"/>
      <c r="D207" t="e">
        <f>INDEX(Inventari_2[[#Headers],[#Data]],MATCH(Entrada[[#This Row],[CODIGO]],Inventari_2[[#Headers],[#Data],[CODIGO]],0),2)</f>
        <v>#N/A</v>
      </c>
      <c r="E207" t="str">
        <f>IFERROR(VLOOKUP(Entrada[[#This Row],[CODIGO]],Inventari_2[],3,FALSE),"-")</f>
        <v>-</v>
      </c>
    </row>
    <row r="208" spans="1:5" ht="31.5" customHeight="1">
      <c r="A208" s="18"/>
      <c r="B208" s="19"/>
      <c r="D208" t="e">
        <f>INDEX(Inventari_2[[#Headers],[#Data]],MATCH(Entrada[[#This Row],[CODIGO]],Inventari_2[[#Headers],[#Data],[CODIGO]],0),2)</f>
        <v>#N/A</v>
      </c>
      <c r="E208" t="str">
        <f>IFERROR(VLOOKUP(Entrada[[#This Row],[CODIGO]],Inventari_2[],3,FALSE),"-")</f>
        <v>-</v>
      </c>
    </row>
    <row r="209" spans="1:5" ht="31.5" customHeight="1">
      <c r="A209" s="18"/>
      <c r="B209" s="19"/>
      <c r="D209" t="e">
        <f>INDEX(Inventari_2[[#Headers],[#Data]],MATCH(Entrada[[#This Row],[CODIGO]],Inventari_2[[#Headers],[#Data],[CODIGO]],0),2)</f>
        <v>#N/A</v>
      </c>
      <c r="E209" t="str">
        <f>IFERROR(VLOOKUP(Entrada[[#This Row],[CODIGO]],Inventari_2[],3,FALSE),"-")</f>
        <v>-</v>
      </c>
    </row>
    <row r="210" spans="1:5" ht="31.5" customHeight="1">
      <c r="A210" s="18"/>
      <c r="B210" s="19"/>
      <c r="D210" t="e">
        <f>INDEX(Inventari_2[[#Headers],[#Data]],MATCH(Entrada[[#This Row],[CODIGO]],Inventari_2[[#Headers],[#Data],[CODIGO]],0),2)</f>
        <v>#N/A</v>
      </c>
      <c r="E210" t="str">
        <f>IFERROR(VLOOKUP(Entrada[[#This Row],[CODIGO]],Inventari_2[],3,FALSE),"-")</f>
        <v>-</v>
      </c>
    </row>
    <row r="211" spans="1:5" ht="31.5" customHeight="1">
      <c r="A211" s="18"/>
      <c r="B211" s="19"/>
      <c r="D211" t="e">
        <f>INDEX(Inventari_2[[#Headers],[#Data]],MATCH(Entrada[[#This Row],[CODIGO]],Inventari_2[[#Headers],[#Data],[CODIGO]],0),2)</f>
        <v>#N/A</v>
      </c>
      <c r="E211" t="str">
        <f>IFERROR(VLOOKUP(Entrada[[#This Row],[CODIGO]],Inventari_2[],3,FALSE),"-")</f>
        <v>-</v>
      </c>
    </row>
    <row r="212" spans="1:5" ht="31.5" customHeight="1">
      <c r="A212" s="18"/>
      <c r="B212" s="19"/>
      <c r="D212" t="e">
        <f>INDEX(Inventari_2[[#Headers],[#Data]],MATCH(Entrada[[#This Row],[CODIGO]],Inventari_2[[#Headers],[#Data],[CODIGO]],0),2)</f>
        <v>#N/A</v>
      </c>
      <c r="E212" t="str">
        <f>IFERROR(VLOOKUP(Entrada[[#This Row],[CODIGO]],Inventari_2[],3,FALSE),"-")</f>
        <v>-</v>
      </c>
    </row>
    <row r="213" spans="1:5" ht="31.5" customHeight="1">
      <c r="A213" s="18"/>
      <c r="B213" s="19"/>
      <c r="D213" t="e">
        <f>INDEX(Inventari_2[[#Headers],[#Data]],MATCH(Entrada[[#This Row],[CODIGO]],Inventari_2[[#Headers],[#Data],[CODIGO]],0),2)</f>
        <v>#N/A</v>
      </c>
      <c r="E213" t="str">
        <f>IFERROR(VLOOKUP(Entrada[[#This Row],[CODIGO]],Inventari_2[],3,FALSE),"-")</f>
        <v>-</v>
      </c>
    </row>
    <row r="214" spans="1:5" ht="31.5" customHeight="1">
      <c r="A214" s="18"/>
      <c r="B214" s="19"/>
      <c r="D214" t="e">
        <f>INDEX(Inventari_2[[#Headers],[#Data]],MATCH(Entrada[[#This Row],[CODIGO]],Inventari_2[[#Headers],[#Data],[CODIGO]],0),2)</f>
        <v>#N/A</v>
      </c>
      <c r="E214" t="str">
        <f>IFERROR(VLOOKUP(Entrada[[#This Row],[CODIGO]],Inventari_2[],3,FALSE),"-")</f>
        <v>-</v>
      </c>
    </row>
    <row r="215" spans="1:5" ht="31.5" customHeight="1">
      <c r="A215" s="18"/>
      <c r="B215" s="19"/>
      <c r="D215" t="e">
        <f>INDEX(Inventari_2[[#Headers],[#Data]],MATCH(Entrada[[#This Row],[CODIGO]],Inventari_2[[#Headers],[#Data],[CODIGO]],0),2)</f>
        <v>#N/A</v>
      </c>
      <c r="E215" t="str">
        <f>IFERROR(VLOOKUP(Entrada[[#This Row],[CODIGO]],Inventari_2[],3,FALSE),"-")</f>
        <v>-</v>
      </c>
    </row>
    <row r="216" spans="1:5" ht="31.5" customHeight="1">
      <c r="A216" s="18"/>
      <c r="B216" s="19"/>
      <c r="D216" t="e">
        <f>INDEX(Inventari_2[[#Headers],[#Data]],MATCH(Entrada[[#This Row],[CODIGO]],Inventari_2[[#Headers],[#Data],[CODIGO]],0),2)</f>
        <v>#N/A</v>
      </c>
      <c r="E216" t="str">
        <f>IFERROR(VLOOKUP(Entrada[[#This Row],[CODIGO]],Inventari_2[],3,FALSE),"-")</f>
        <v>-</v>
      </c>
    </row>
    <row r="217" spans="1:5" ht="31.5" customHeight="1">
      <c r="A217" s="18"/>
      <c r="B217" s="19"/>
      <c r="D217" t="e">
        <f>INDEX(Inventari_2[[#Headers],[#Data]],MATCH(Entrada[[#This Row],[CODIGO]],Inventari_2[[#Headers],[#Data],[CODIGO]],0),2)</f>
        <v>#N/A</v>
      </c>
      <c r="E217" t="str">
        <f>IFERROR(VLOOKUP(Entrada[[#This Row],[CODIGO]],Inventari_2[],3,FALSE),"-")</f>
        <v>-</v>
      </c>
    </row>
    <row r="218" spans="1:5" ht="31.5" customHeight="1">
      <c r="A218" s="18"/>
      <c r="B218" s="19"/>
      <c r="D218" t="e">
        <f>INDEX(Inventari_2[[#Headers],[#Data]],MATCH(Entrada[[#This Row],[CODIGO]],Inventari_2[[#Headers],[#Data],[CODIGO]],0),2)</f>
        <v>#N/A</v>
      </c>
      <c r="E218" t="str">
        <f>IFERROR(VLOOKUP(Entrada[[#This Row],[CODIGO]],Inventari_2[],3,FALSE),"-")</f>
        <v>-</v>
      </c>
    </row>
    <row r="219" spans="1:5" ht="31.5" customHeight="1">
      <c r="A219" s="18"/>
      <c r="B219" s="19"/>
      <c r="D219" t="e">
        <f>INDEX(Inventari_2[[#Headers],[#Data]],MATCH(Entrada[[#This Row],[CODIGO]],Inventari_2[[#Headers],[#Data],[CODIGO]],0),2)</f>
        <v>#N/A</v>
      </c>
      <c r="E219" t="str">
        <f>IFERROR(VLOOKUP(Entrada[[#This Row],[CODIGO]],Inventari_2[],3,FALSE),"-")</f>
        <v>-</v>
      </c>
    </row>
    <row r="220" spans="1:5" ht="31.5" customHeight="1">
      <c r="A220" s="18"/>
      <c r="B220" s="19"/>
      <c r="D220" t="e">
        <f>INDEX(Inventari_2[[#Headers],[#Data]],MATCH(Entrada[[#This Row],[CODIGO]],Inventari_2[[#Headers],[#Data],[CODIGO]],0),2)</f>
        <v>#N/A</v>
      </c>
      <c r="E220" t="str">
        <f>IFERROR(VLOOKUP(Entrada[[#This Row],[CODIGO]],Inventari_2[],3,FALSE),"-")</f>
        <v>-</v>
      </c>
    </row>
    <row r="221" spans="1:5" ht="31.5" customHeight="1">
      <c r="A221" s="18"/>
      <c r="B221" s="19"/>
      <c r="D221" t="e">
        <f>INDEX(Inventari_2[[#Headers],[#Data]],MATCH(Entrada[[#This Row],[CODIGO]],Inventari_2[[#Headers],[#Data],[CODIGO]],0),2)</f>
        <v>#N/A</v>
      </c>
      <c r="E221" t="str">
        <f>IFERROR(VLOOKUP(Entrada[[#This Row],[CODIGO]],Inventari_2[],3,FALSE),"-")</f>
        <v>-</v>
      </c>
    </row>
    <row r="222" spans="1:5" ht="31.5" customHeight="1">
      <c r="A222" s="18"/>
      <c r="B222" s="19"/>
      <c r="D222" t="e">
        <f>INDEX(Inventari_2[[#Headers],[#Data]],MATCH(Entrada[[#This Row],[CODIGO]],Inventari_2[[#Headers],[#Data],[CODIGO]],0),2)</f>
        <v>#N/A</v>
      </c>
      <c r="E222" t="str">
        <f>IFERROR(VLOOKUP(Entrada[[#This Row],[CODIGO]],Inventari_2[],3,FALSE),"-")</f>
        <v>-</v>
      </c>
    </row>
    <row r="223" spans="1:5" ht="31.5" customHeight="1">
      <c r="A223" s="18"/>
      <c r="B223" s="19"/>
      <c r="D223" t="e">
        <f>INDEX(Inventari_2[[#Headers],[#Data]],MATCH(Entrada[[#This Row],[CODIGO]],Inventari_2[[#Headers],[#Data],[CODIGO]],0),2)</f>
        <v>#N/A</v>
      </c>
      <c r="E223" t="str">
        <f>IFERROR(VLOOKUP(Entrada[[#This Row],[CODIGO]],Inventari_2[],3,FALSE),"-")</f>
        <v>-</v>
      </c>
    </row>
    <row r="224" spans="1:5" ht="31.5" customHeight="1">
      <c r="A224" s="18"/>
      <c r="B224" s="19"/>
      <c r="D224" t="e">
        <f>INDEX(Inventari_2[[#Headers],[#Data]],MATCH(Entrada[[#This Row],[CODIGO]],Inventari_2[[#Headers],[#Data],[CODIGO]],0),2)</f>
        <v>#N/A</v>
      </c>
      <c r="E224" t="str">
        <f>IFERROR(VLOOKUP(Entrada[[#This Row],[CODIGO]],Inventari_2[],3,FALSE),"-")</f>
        <v>-</v>
      </c>
    </row>
    <row r="225" spans="1:5" ht="31.5" customHeight="1">
      <c r="A225" s="18"/>
      <c r="B225" s="19"/>
      <c r="D225" t="e">
        <f>INDEX(Inventari_2[[#Headers],[#Data]],MATCH(Entrada[[#This Row],[CODIGO]],Inventari_2[[#Headers],[#Data],[CODIGO]],0),2)</f>
        <v>#N/A</v>
      </c>
      <c r="E225" t="str">
        <f>IFERROR(VLOOKUP(Entrada[[#This Row],[CODIGO]],Inventari_2[],3,FALSE),"-")</f>
        <v>-</v>
      </c>
    </row>
    <row r="226" spans="1:5" ht="31.5" customHeight="1">
      <c r="A226" s="18"/>
      <c r="B226" s="19"/>
      <c r="D226" t="e">
        <f>INDEX(Inventari_2[[#Headers],[#Data]],MATCH(Entrada[[#This Row],[CODIGO]],Inventari_2[[#Headers],[#Data],[CODIGO]],0),2)</f>
        <v>#N/A</v>
      </c>
      <c r="E226" t="str">
        <f>IFERROR(VLOOKUP(Entrada[[#This Row],[CODIGO]],Inventari_2[],3,FALSE),"-")</f>
        <v>-</v>
      </c>
    </row>
    <row r="227" spans="1:5" ht="31.5" customHeight="1">
      <c r="A227" s="18"/>
      <c r="B227" s="19"/>
      <c r="D227" t="e">
        <f>INDEX(Inventari_2[[#Headers],[#Data]],MATCH(Entrada[[#This Row],[CODIGO]],Inventari_2[[#Headers],[#Data],[CODIGO]],0),2)</f>
        <v>#N/A</v>
      </c>
      <c r="E227" t="str">
        <f>IFERROR(VLOOKUP(Entrada[[#This Row],[CODIGO]],Inventari_2[],3,FALSE),"-")</f>
        <v>-</v>
      </c>
    </row>
    <row r="228" spans="1:5" ht="31.5" customHeight="1">
      <c r="A228" s="18"/>
      <c r="B228" s="19"/>
      <c r="D228" t="e">
        <f>INDEX(Inventari_2[[#Headers],[#Data]],MATCH(Entrada[[#This Row],[CODIGO]],Inventari_2[[#Headers],[#Data],[CODIGO]],0),2)</f>
        <v>#N/A</v>
      </c>
      <c r="E228" t="str">
        <f>IFERROR(VLOOKUP(Entrada[[#This Row],[CODIGO]],Inventari_2[],3,FALSE),"-")</f>
        <v>-</v>
      </c>
    </row>
    <row r="229" spans="1:5" ht="31.5" customHeight="1">
      <c r="A229" s="18"/>
      <c r="B229" s="19"/>
      <c r="D229" t="e">
        <f>INDEX(Inventari_2[[#Headers],[#Data]],MATCH(Entrada[[#This Row],[CODIGO]],Inventari_2[[#Headers],[#Data],[CODIGO]],0),2)</f>
        <v>#N/A</v>
      </c>
      <c r="E229" t="str">
        <f>IFERROR(VLOOKUP(Entrada[[#This Row],[CODIGO]],Inventari_2[],3,FALSE),"-")</f>
        <v>-</v>
      </c>
    </row>
    <row r="230" spans="1:5" ht="31.5" customHeight="1">
      <c r="A230" s="18"/>
      <c r="B230" s="19"/>
      <c r="D230" t="e">
        <f>INDEX(Inventari_2[[#Headers],[#Data]],MATCH(Entrada[[#This Row],[CODIGO]],Inventari_2[[#Headers],[#Data],[CODIGO]],0),2)</f>
        <v>#N/A</v>
      </c>
      <c r="E230" t="str">
        <f>IFERROR(VLOOKUP(Entrada[[#This Row],[CODIGO]],Inventari_2[],3,FALSE),"-")</f>
        <v>-</v>
      </c>
    </row>
    <row r="231" spans="1:5" ht="31.5" customHeight="1">
      <c r="A231" s="18"/>
      <c r="B231" s="19"/>
      <c r="D231" t="e">
        <f>INDEX(Inventari_2[[#Headers],[#Data]],MATCH(Entrada[[#This Row],[CODIGO]],Inventari_2[[#Headers],[#Data],[CODIGO]],0),2)</f>
        <v>#N/A</v>
      </c>
      <c r="E231" t="str">
        <f>IFERROR(VLOOKUP(Entrada[[#This Row],[CODIGO]],Inventari_2[],3,FALSE),"-")</f>
        <v>-</v>
      </c>
    </row>
    <row r="232" spans="1:5" ht="31.5" customHeight="1">
      <c r="A232" s="18"/>
      <c r="B232" s="19"/>
      <c r="D232" t="e">
        <f>INDEX(Inventari_2[[#Headers],[#Data]],MATCH(Entrada[[#This Row],[CODIGO]],Inventari_2[[#Headers],[#Data],[CODIGO]],0),2)</f>
        <v>#N/A</v>
      </c>
      <c r="E232" t="str">
        <f>IFERROR(VLOOKUP(Entrada[[#This Row],[CODIGO]],Inventari_2[],3,FALSE),"-")</f>
        <v>-</v>
      </c>
    </row>
    <row r="233" spans="1:5" ht="31.5" customHeight="1">
      <c r="A233" s="18"/>
      <c r="B233" s="19"/>
      <c r="D233" t="e">
        <f>INDEX(Inventari_2[[#Headers],[#Data]],MATCH(Entrada[[#This Row],[CODIGO]],Inventari_2[[#Headers],[#Data],[CODIGO]],0),2)</f>
        <v>#N/A</v>
      </c>
      <c r="E233" t="str">
        <f>IFERROR(VLOOKUP(Entrada[[#This Row],[CODIGO]],Inventari_2[],3,FALSE),"-")</f>
        <v>-</v>
      </c>
    </row>
    <row r="234" spans="1:5" ht="31.5" customHeight="1">
      <c r="A234" s="18"/>
      <c r="B234" s="19"/>
      <c r="D234" t="e">
        <f>INDEX(Inventari_2[[#Headers],[#Data]],MATCH(Entrada[[#This Row],[CODIGO]],Inventari_2[[#Headers],[#Data],[CODIGO]],0),2)</f>
        <v>#N/A</v>
      </c>
      <c r="E234" t="str">
        <f>IFERROR(VLOOKUP(Entrada[[#This Row],[CODIGO]],Inventari_2[],3,FALSE),"-")</f>
        <v>-</v>
      </c>
    </row>
    <row r="235" spans="1:5" ht="31.5" customHeight="1">
      <c r="A235" s="18"/>
      <c r="B235" s="19"/>
      <c r="D235" t="e">
        <f>INDEX(Inventari_2[[#Headers],[#Data]],MATCH(Entrada[[#This Row],[CODIGO]],Inventari_2[[#Headers],[#Data],[CODIGO]],0),2)</f>
        <v>#N/A</v>
      </c>
      <c r="E235" t="str">
        <f>IFERROR(VLOOKUP(Entrada[[#This Row],[CODIGO]],Inventari_2[],3,FALSE),"-")</f>
        <v>-</v>
      </c>
    </row>
    <row r="236" spans="1:5" ht="31.5" customHeight="1">
      <c r="A236" s="18"/>
      <c r="B236" s="19"/>
      <c r="D236" t="e">
        <f>INDEX(Inventari_2[[#Headers],[#Data]],MATCH(Entrada[[#This Row],[CODIGO]],Inventari_2[[#Headers],[#Data],[CODIGO]],0),2)</f>
        <v>#N/A</v>
      </c>
      <c r="E236" t="str">
        <f>IFERROR(VLOOKUP(Entrada[[#This Row],[CODIGO]],Inventari_2[],3,FALSE),"-")</f>
        <v>-</v>
      </c>
    </row>
    <row r="237" spans="1:5" ht="31.5" customHeight="1">
      <c r="A237" s="18"/>
      <c r="B237" s="19"/>
      <c r="D237" t="e">
        <f>INDEX(Inventari_2[[#Headers],[#Data]],MATCH(Entrada[[#This Row],[CODIGO]],Inventari_2[[#Headers],[#Data],[CODIGO]],0),2)</f>
        <v>#N/A</v>
      </c>
      <c r="E237" t="str">
        <f>IFERROR(VLOOKUP(Entrada[[#This Row],[CODIGO]],Inventari_2[],3,FALSE),"-")</f>
        <v>-</v>
      </c>
    </row>
    <row r="238" spans="1:5" ht="31.5" customHeight="1">
      <c r="A238" s="18"/>
      <c r="B238" s="19"/>
      <c r="D238" t="e">
        <f>INDEX(Inventari_2[[#Headers],[#Data]],MATCH(Entrada[[#This Row],[CODIGO]],Inventari_2[[#Headers],[#Data],[CODIGO]],0),2)</f>
        <v>#N/A</v>
      </c>
      <c r="E238" t="str">
        <f>IFERROR(VLOOKUP(Entrada[[#This Row],[CODIGO]],Inventari_2[],3,FALSE),"-")</f>
        <v>-</v>
      </c>
    </row>
    <row r="239" spans="1:5" ht="31.5" customHeight="1">
      <c r="A239" s="18"/>
      <c r="B239" s="19"/>
      <c r="D239" t="e">
        <f>INDEX(Inventari_2[[#Headers],[#Data]],MATCH(Entrada[[#This Row],[CODIGO]],Inventari_2[[#Headers],[#Data],[CODIGO]],0),2)</f>
        <v>#N/A</v>
      </c>
      <c r="E239" t="str">
        <f>IFERROR(VLOOKUP(Entrada[[#This Row],[CODIGO]],Inventari_2[],3,FALSE),"-")</f>
        <v>-</v>
      </c>
    </row>
    <row r="240" spans="1:5" ht="31.5" customHeight="1">
      <c r="A240" s="18"/>
      <c r="B240" s="19"/>
      <c r="D240" t="e">
        <f>INDEX(Inventari_2[[#Headers],[#Data]],MATCH(Entrada[[#This Row],[CODIGO]],Inventari_2[[#Headers],[#Data],[CODIGO]],0),2)</f>
        <v>#N/A</v>
      </c>
      <c r="E240" t="str">
        <f>IFERROR(VLOOKUP(Entrada[[#This Row],[CODIGO]],Inventari_2[],3,FALSE),"-")</f>
        <v>-</v>
      </c>
    </row>
    <row r="241" spans="1:5" ht="31.5" customHeight="1">
      <c r="A241" s="18"/>
      <c r="B241" s="19"/>
      <c r="D241" t="e">
        <f>INDEX(Inventari_2[[#Headers],[#Data]],MATCH(Entrada[[#This Row],[CODIGO]],Inventari_2[[#Headers],[#Data],[CODIGO]],0),2)</f>
        <v>#N/A</v>
      </c>
      <c r="E241" t="str">
        <f>IFERROR(VLOOKUP(Entrada[[#This Row],[CODIGO]],Inventari_2[],3,FALSE),"-")</f>
        <v>-</v>
      </c>
    </row>
    <row r="242" spans="1:5" ht="31.5" customHeight="1">
      <c r="A242" s="18"/>
      <c r="B242" s="19"/>
      <c r="D242" t="e">
        <f>INDEX(Inventari_2[[#Headers],[#Data]],MATCH(Entrada[[#This Row],[CODIGO]],Inventari_2[[#Headers],[#Data],[CODIGO]],0),2)</f>
        <v>#N/A</v>
      </c>
      <c r="E242" t="str">
        <f>IFERROR(VLOOKUP(Entrada[[#This Row],[CODIGO]],Inventari_2[],3,FALSE),"-")</f>
        <v>-</v>
      </c>
    </row>
    <row r="243" spans="1:5" ht="31.5" customHeight="1">
      <c r="A243" s="18"/>
      <c r="B243" s="19"/>
      <c r="D243" t="e">
        <f>INDEX(Inventari_2[[#Headers],[#Data]],MATCH(Entrada[[#This Row],[CODIGO]],Inventari_2[[#Headers],[#Data],[CODIGO]],0),2)</f>
        <v>#N/A</v>
      </c>
      <c r="E243" t="str">
        <f>IFERROR(VLOOKUP(Entrada[[#This Row],[CODIGO]],Inventari_2[],3,FALSE),"-")</f>
        <v>-</v>
      </c>
    </row>
    <row r="244" spans="1:5" ht="31.5" customHeight="1">
      <c r="A244" s="18"/>
      <c r="B244" s="19"/>
      <c r="D244" t="e">
        <f>INDEX(Inventari_2[[#Headers],[#Data]],MATCH(Entrada[[#This Row],[CODIGO]],Inventari_2[[#Headers],[#Data],[CODIGO]],0),2)</f>
        <v>#N/A</v>
      </c>
      <c r="E244" t="str">
        <f>IFERROR(VLOOKUP(Entrada[[#This Row],[CODIGO]],Inventari_2[],3,FALSE),"-")</f>
        <v>-</v>
      </c>
    </row>
    <row r="245" spans="1:5" ht="31.5" customHeight="1">
      <c r="A245" s="18"/>
      <c r="B245" s="19"/>
      <c r="D245" t="e">
        <f>INDEX(Inventari_2[[#Headers],[#Data]],MATCH(Entrada[[#This Row],[CODIGO]],Inventari_2[[#Headers],[#Data],[CODIGO]],0),2)</f>
        <v>#N/A</v>
      </c>
      <c r="E245" t="str">
        <f>IFERROR(VLOOKUP(Entrada[[#This Row],[CODIGO]],Inventari_2[],3,FALSE),"-")</f>
        <v>-</v>
      </c>
    </row>
    <row r="246" spans="1:5" ht="31.5" customHeight="1">
      <c r="A246" s="18"/>
      <c r="B246" s="19"/>
      <c r="D246" t="e">
        <f>INDEX(Inventari_2[[#Headers],[#Data]],MATCH(Entrada[[#This Row],[CODIGO]],Inventari_2[[#Headers],[#Data],[CODIGO]],0),2)</f>
        <v>#N/A</v>
      </c>
      <c r="E246" t="str">
        <f>IFERROR(VLOOKUP(Entrada[[#This Row],[CODIGO]],Inventari_2[],3,FALSE),"-")</f>
        <v>-</v>
      </c>
    </row>
    <row r="247" spans="1:5" ht="31.5" customHeight="1">
      <c r="A247" s="18"/>
      <c r="B247" s="19"/>
      <c r="D247" t="e">
        <f>INDEX(Inventari_2[[#Headers],[#Data]],MATCH(Entrada[[#This Row],[CODIGO]],Inventari_2[[#Headers],[#Data],[CODIGO]],0),2)</f>
        <v>#N/A</v>
      </c>
      <c r="E247" t="str">
        <f>IFERROR(VLOOKUP(Entrada[[#This Row],[CODIGO]],Inventari_2[],3,FALSE),"-")</f>
        <v>-</v>
      </c>
    </row>
    <row r="248" spans="1:5" ht="31.5" customHeight="1">
      <c r="A248" s="18"/>
      <c r="B248" s="19"/>
      <c r="D248" t="e">
        <f>INDEX(Inventari_2[[#Headers],[#Data]],MATCH(Entrada[[#This Row],[CODIGO]],Inventari_2[[#Headers],[#Data],[CODIGO]],0),2)</f>
        <v>#N/A</v>
      </c>
      <c r="E248" t="str">
        <f>IFERROR(VLOOKUP(Entrada[[#This Row],[CODIGO]],Inventari_2[],3,FALSE),"-")</f>
        <v>-</v>
      </c>
    </row>
    <row r="249" spans="1:5" ht="31.5" customHeight="1">
      <c r="A249" s="18"/>
      <c r="B249" s="19"/>
      <c r="D249" t="str">
        <f>IFERROR(VLOOKUP(Entrada[[#This Row],[CODIGO]],Inventari_2[],2,FALSE),"-")</f>
        <v>-</v>
      </c>
      <c r="E249" t="str">
        <f>IFERROR(VLOOKUP(Entrada[[#This Row],[CODIGO]],Inventari_2[],3,FALSE),"-")</f>
        <v>-</v>
      </c>
    </row>
    <row r="250" spans="1:5" ht="31.5" customHeight="1">
      <c r="A250" s="18"/>
      <c r="B250" s="19"/>
      <c r="D250" t="str">
        <f>IFERROR(VLOOKUP(Entrada[[#This Row],[CODIGO]],Inventari_2[],2,FALSE),"-")</f>
        <v>-</v>
      </c>
      <c r="E250" t="str">
        <f>IFERROR(VLOOKUP(Entrada[[#This Row],[CODIGO]],Inventari_2[],3,FALSE),"-")</f>
        <v>-</v>
      </c>
    </row>
    <row r="251" spans="1:5" ht="31.5" customHeight="1">
      <c r="A251" s="18"/>
      <c r="B251" s="19"/>
      <c r="D251" t="str">
        <f>IFERROR(VLOOKUP(Entrada[[#This Row],[CODIGO]],Inventari_2[],2,FALSE),"-")</f>
        <v>-</v>
      </c>
      <c r="E251" t="str">
        <f>IFERROR(VLOOKUP(Entrada[[#This Row],[CODIGO]],Inventari_2[],3,FALSE),"-")</f>
        <v>-</v>
      </c>
    </row>
    <row r="252" spans="1:5" ht="31.5" customHeight="1">
      <c r="A252" s="18"/>
      <c r="B252" s="19"/>
      <c r="D252" t="str">
        <f>IFERROR(VLOOKUP(Entrada[[#This Row],[CODIGO]],Inventari_2[],2,FALSE),"-")</f>
        <v>-</v>
      </c>
      <c r="E252" t="str">
        <f>IFERROR(VLOOKUP(Entrada[[#This Row],[CODIGO]],Inventari_2[],3,FALSE),"-")</f>
        <v>-</v>
      </c>
    </row>
    <row r="253" spans="1:5" ht="31.5" customHeight="1">
      <c r="A253" s="18"/>
      <c r="B253" s="19"/>
      <c r="D253" t="str">
        <f>IFERROR(VLOOKUP(Entrada[[#This Row],[CODIGO]],Inventari_2[],2,FALSE),"-")</f>
        <v>-</v>
      </c>
      <c r="E253" t="str">
        <f>IFERROR(VLOOKUP(Entrada[[#This Row],[CODIGO]],Inventari_2[],3,FALSE),"-")</f>
        <v>-</v>
      </c>
    </row>
    <row r="254" spans="1:5" ht="31.5" customHeight="1">
      <c r="A254" s="18"/>
      <c r="B254" s="19"/>
      <c r="D254" t="str">
        <f>IFERROR(VLOOKUP(Entrada[[#This Row],[CODIGO]],Inventari_2[],2,FALSE),"-")</f>
        <v>-</v>
      </c>
      <c r="E254" t="str">
        <f>IFERROR(VLOOKUP(Entrada[[#This Row],[CODIGO]],Inventari_2[],3,FALSE),"-")</f>
        <v>-</v>
      </c>
    </row>
    <row r="255" spans="1:5" ht="31.5" customHeight="1">
      <c r="A255" s="18"/>
      <c r="B255" s="19"/>
      <c r="D255" t="str">
        <f>IFERROR(VLOOKUP(Entrada[[#This Row],[CODIGO]],Inventari_2[],2,FALSE),"-")</f>
        <v>-</v>
      </c>
      <c r="E255" t="str">
        <f>IFERROR(VLOOKUP(Entrada[[#This Row],[CODIGO]],Inventari_2[],3,FALSE),"-")</f>
        <v>-</v>
      </c>
    </row>
    <row r="256" spans="1:5" ht="31.5" customHeight="1">
      <c r="A256" s="18"/>
      <c r="B256" s="19"/>
      <c r="D256" t="str">
        <f>IFERROR(VLOOKUP(Entrada[[#This Row],[CODIGO]],Inventari_2[],2,FALSE),"-")</f>
        <v>-</v>
      </c>
      <c r="E256" t="str">
        <f>IFERROR(VLOOKUP(Entrada[[#This Row],[CODIGO]],Inventari_2[],3,FALSE),"-")</f>
        <v>-</v>
      </c>
    </row>
    <row r="257" spans="1:5" ht="31.5" customHeight="1">
      <c r="A257" s="18"/>
      <c r="B257" s="19"/>
      <c r="D257" t="str">
        <f>IFERROR(VLOOKUP(Entrada[[#This Row],[CODIGO]],Inventari_2[],2,FALSE),"-")</f>
        <v>-</v>
      </c>
      <c r="E257" t="str">
        <f>IFERROR(VLOOKUP(Entrada[[#This Row],[CODIGO]],Inventari_2[],3,FALSE),"-")</f>
        <v>-</v>
      </c>
    </row>
    <row r="258" spans="1:5" ht="31.5" customHeight="1">
      <c r="A258" s="18"/>
      <c r="B258" s="19"/>
      <c r="D258" t="str">
        <f>IFERROR(VLOOKUP(Entrada[[#This Row],[CODIGO]],Inventari_2[],2,FALSE),"-")</f>
        <v>-</v>
      </c>
      <c r="E258" t="str">
        <f>IFERROR(VLOOKUP(Entrada[[#This Row],[CODIGO]],Inventari_2[],3,FALSE),"-")</f>
        <v>-</v>
      </c>
    </row>
    <row r="259" spans="1:5" ht="31.5" customHeight="1">
      <c r="A259" s="18"/>
      <c r="B259" s="19"/>
      <c r="D259" t="str">
        <f>IFERROR(VLOOKUP(Entrada[[#This Row],[CODIGO]],Inventari_2[],2,FALSE),"-")</f>
        <v>-</v>
      </c>
      <c r="E259" t="str">
        <f>IFERROR(VLOOKUP(Entrada[[#This Row],[CODIGO]],Inventari_2[],3,FALSE),"-")</f>
        <v>-</v>
      </c>
    </row>
    <row r="260" spans="1:5" ht="31.5" customHeight="1">
      <c r="A260" s="18"/>
      <c r="B260" s="19"/>
      <c r="D260" t="str">
        <f>IFERROR(VLOOKUP(Entrada[[#This Row],[CODIGO]],Inventari_2[],2,FALSE),"-")</f>
        <v>-</v>
      </c>
      <c r="E260" t="str">
        <f>IFERROR(VLOOKUP(Entrada[[#This Row],[CODIGO]],Inventari_2[],3,FALSE),"-")</f>
        <v>-</v>
      </c>
    </row>
    <row r="261" spans="1:5" ht="31.5" customHeight="1">
      <c r="A261" s="18"/>
      <c r="B261" s="19"/>
      <c r="D261" t="str">
        <f>IFERROR(VLOOKUP(Entrada[[#This Row],[CODIGO]],Inventari_2[],2,FALSE),"-")</f>
        <v>-</v>
      </c>
      <c r="E261" t="str">
        <f>IFERROR(VLOOKUP(Entrada[[#This Row],[CODIGO]],Inventari_2[],3,FALSE),"-")</f>
        <v>-</v>
      </c>
    </row>
    <row r="262" spans="1:5" ht="31.5" customHeight="1">
      <c r="A262" s="18"/>
      <c r="B262" s="19"/>
      <c r="D262" t="str">
        <f>IFERROR(VLOOKUP(Entrada[[#This Row],[CODIGO]],Inventari_2[],2,FALSE),"-")</f>
        <v>-</v>
      </c>
      <c r="E262" t="str">
        <f>IFERROR(VLOOKUP(Entrada[[#This Row],[CODIGO]],Inventari_2[],3,FALSE),"-")</f>
        <v>-</v>
      </c>
    </row>
    <row r="263" spans="1:5" ht="31.5" customHeight="1">
      <c r="A263" s="18"/>
      <c r="B263" s="19"/>
      <c r="D263" t="str">
        <f>IFERROR(VLOOKUP(Entrada[[#This Row],[CODIGO]],Inventari_2[],2,FALSE),"-")</f>
        <v>-</v>
      </c>
      <c r="E263" t="str">
        <f>IFERROR(VLOOKUP(Entrada[[#This Row],[CODIGO]],Inventari_2[],3,FALSE),"-")</f>
        <v>-</v>
      </c>
    </row>
    <row r="264" spans="1:5" ht="31.5" customHeight="1">
      <c r="A264" s="18"/>
      <c r="B264" s="19"/>
      <c r="D264" t="str">
        <f>IFERROR(VLOOKUP(Entrada[[#This Row],[CODIGO]],Inventari_2[],2,FALSE),"-")</f>
        <v>-</v>
      </c>
      <c r="E264" t="str">
        <f>IFERROR(VLOOKUP(Entrada[[#This Row],[CODIGO]],Inventari_2[],3,FALSE),"-")</f>
        <v>-</v>
      </c>
    </row>
    <row r="265" spans="1:5" ht="31.5" customHeight="1">
      <c r="A265" s="18"/>
      <c r="B265" s="19"/>
      <c r="D265" t="str">
        <f>IFERROR(VLOOKUP(Entrada[[#This Row],[CODIGO]],Inventari_2[],2,FALSE),"-")</f>
        <v>-</v>
      </c>
      <c r="E265" t="str">
        <f>IFERROR(VLOOKUP(Entrada[[#This Row],[CODIGO]],Inventari_2[],3,FALSE),"-")</f>
        <v>-</v>
      </c>
    </row>
    <row r="266" spans="1:5" ht="31.5" customHeight="1">
      <c r="A266" s="18"/>
      <c r="B266" s="19"/>
      <c r="D266" t="str">
        <f>IFERROR(VLOOKUP(Entrada[[#This Row],[CODIGO]],Inventari_2[],2,FALSE),"-")</f>
        <v>-</v>
      </c>
      <c r="E266" t="str">
        <f>IFERROR(VLOOKUP(Entrada[[#This Row],[CODIGO]],Inventari_2[],3,FALSE),"-")</f>
        <v>-</v>
      </c>
    </row>
    <row r="267" spans="1:5" ht="31.5" customHeight="1">
      <c r="A267" s="18"/>
      <c r="B267" s="19"/>
      <c r="D267" t="str">
        <f>IFERROR(VLOOKUP(Entrada[[#This Row],[CODIGO]],Inventari_2[],2,FALSE),"-")</f>
        <v>-</v>
      </c>
      <c r="E267" t="str">
        <f>IFERROR(VLOOKUP(Entrada[[#This Row],[CODIGO]],Inventari_2[],3,FALSE),"-")</f>
        <v>-</v>
      </c>
    </row>
    <row r="268" spans="1:5" ht="31.5" customHeight="1">
      <c r="A268" s="18"/>
      <c r="B268" s="19"/>
      <c r="D268" t="str">
        <f>IFERROR(VLOOKUP(Entrada[[#This Row],[CODIGO]],Inventari_2[],2,FALSE),"-")</f>
        <v>-</v>
      </c>
      <c r="E268" t="str">
        <f>IFERROR(VLOOKUP(Entrada[[#This Row],[CODIGO]],Inventari_2[],3,FALSE),"-")</f>
        <v>-</v>
      </c>
    </row>
    <row r="269" spans="1:5" ht="31.5" customHeight="1">
      <c r="A269" s="18"/>
      <c r="B269" s="19"/>
      <c r="D269" t="str">
        <f>IFERROR(VLOOKUP(Entrada[[#This Row],[CODIGO]],Inventari_2[],2,FALSE),"-")</f>
        <v>-</v>
      </c>
      <c r="E269" t="str">
        <f>IFERROR(VLOOKUP(Entrada[[#This Row],[CODIGO]],Inventari_2[],3,FALSE),"-")</f>
        <v>-</v>
      </c>
    </row>
    <row r="270" spans="1:5" ht="31.5" customHeight="1">
      <c r="A270" s="18"/>
      <c r="B270" s="19"/>
      <c r="D270" t="str">
        <f>IFERROR(VLOOKUP(Entrada[[#This Row],[CODIGO]],Inventari_2[],2,FALSE),"-")</f>
        <v>-</v>
      </c>
      <c r="E270" t="str">
        <f>IFERROR(VLOOKUP(Entrada[[#This Row],[CODIGO]],Inventari_2[],3,FALSE),"-")</f>
        <v>-</v>
      </c>
    </row>
    <row r="271" spans="1:5" ht="31.5" customHeight="1">
      <c r="A271" s="18"/>
      <c r="B271" s="19"/>
      <c r="D271" t="str">
        <f>IFERROR(VLOOKUP(Entrada[[#This Row],[CODIGO]],Inventari_2[],2,FALSE),"-")</f>
        <v>-</v>
      </c>
      <c r="E271" t="str">
        <f>IFERROR(VLOOKUP(Entrada[[#This Row],[CODIGO]],Inventari_2[],3,FALSE),"-")</f>
        <v>-</v>
      </c>
    </row>
    <row r="272" spans="1:5" ht="31.5" customHeight="1">
      <c r="A272" s="18"/>
      <c r="B272" s="19"/>
      <c r="D272" t="str">
        <f>IFERROR(VLOOKUP(Entrada[[#This Row],[CODIGO]],Inventari_2[],2,FALSE),"-")</f>
        <v>-</v>
      </c>
      <c r="E272" t="str">
        <f>IFERROR(VLOOKUP(Entrada[[#This Row],[CODIGO]],Inventari_2[],3,FALSE),"-")</f>
        <v>-</v>
      </c>
    </row>
    <row r="273" spans="1:5" ht="31.5" customHeight="1">
      <c r="A273" s="18"/>
      <c r="B273" s="19"/>
      <c r="D273" t="str">
        <f>IFERROR(VLOOKUP(Entrada[[#This Row],[CODIGO]],Inventari_2[],2,FALSE),"-")</f>
        <v>-</v>
      </c>
      <c r="E273" t="str">
        <f>IFERROR(VLOOKUP(Entrada[[#This Row],[CODIGO]],Inventari_2[],3,FALSE),"-")</f>
        <v>-</v>
      </c>
    </row>
    <row r="274" spans="1:5" ht="31.5" customHeight="1">
      <c r="A274" s="18"/>
      <c r="B274" s="19"/>
      <c r="D274" t="str">
        <f>IFERROR(VLOOKUP(Entrada[[#This Row],[CODIGO]],Inventari_2[],2,FALSE),"-")</f>
        <v>-</v>
      </c>
      <c r="E274" t="str">
        <f>IFERROR(VLOOKUP(Entrada[[#This Row],[CODIGO]],Inventari_2[],3,FALSE),"-")</f>
        <v>-</v>
      </c>
    </row>
    <row r="275" spans="1:5" ht="31.5" customHeight="1">
      <c r="A275" s="18"/>
      <c r="B275" s="19"/>
      <c r="D275" t="str">
        <f>IFERROR(VLOOKUP(Entrada[[#This Row],[CODIGO]],Inventari_2[],2,FALSE),"-")</f>
        <v>-</v>
      </c>
      <c r="E275" t="str">
        <f>IFERROR(VLOOKUP(Entrada[[#This Row],[CODIGO]],Inventari_2[],3,FALSE),"-")</f>
        <v>-</v>
      </c>
    </row>
    <row r="276" spans="1:5" ht="31.5" customHeight="1">
      <c r="A276" s="18"/>
      <c r="B276" s="19"/>
      <c r="D276" t="str">
        <f>IFERROR(VLOOKUP(Entrada[[#This Row],[CODIGO]],Inventari_2[],2,FALSE),"-")</f>
        <v>-</v>
      </c>
      <c r="E276" t="str">
        <f>IFERROR(VLOOKUP(Entrada[[#This Row],[CODIGO]],Inventari_2[],3,FALSE),"-")</f>
        <v>-</v>
      </c>
    </row>
    <row r="277" spans="1:5" ht="31.5" customHeight="1">
      <c r="A277" s="18"/>
      <c r="B277" s="19"/>
      <c r="D277" t="str">
        <f>IFERROR(VLOOKUP(Entrada[[#This Row],[CODIGO]],Inventari_2[],2,FALSE),"-")</f>
        <v>-</v>
      </c>
      <c r="E277" t="str">
        <f>IFERROR(VLOOKUP(Entrada[[#This Row],[CODIGO]],Inventari_2[],3,FALSE),"-")</f>
        <v>-</v>
      </c>
    </row>
    <row r="278" spans="1:5" ht="31.5" customHeight="1">
      <c r="A278" s="18"/>
      <c r="B278" s="19"/>
      <c r="D278" t="str">
        <f>IFERROR(VLOOKUP(Entrada[[#This Row],[CODIGO]],Inventari_2[],2,FALSE),"-")</f>
        <v>-</v>
      </c>
      <c r="E278" t="str">
        <f>IFERROR(VLOOKUP(Entrada[[#This Row],[CODIGO]],Inventari_2[],3,FALSE),"-")</f>
        <v>-</v>
      </c>
    </row>
    <row r="279" spans="1:5" ht="31.5" customHeight="1">
      <c r="A279" s="18"/>
      <c r="B279" s="19"/>
      <c r="D279" t="str">
        <f>IFERROR(VLOOKUP(Entrada[[#This Row],[CODIGO]],Inventari_2[],2,FALSE),"-")</f>
        <v>-</v>
      </c>
      <c r="E279" t="str">
        <f>IFERROR(VLOOKUP(Entrada[[#This Row],[CODIGO]],Inventari_2[],3,FALSE),"-")</f>
        <v>-</v>
      </c>
    </row>
    <row r="280" spans="1:5" ht="31.5" customHeight="1">
      <c r="A280" s="18"/>
      <c r="B280" s="19"/>
      <c r="D280" t="str">
        <f>IFERROR(VLOOKUP(Entrada[[#This Row],[CODIGO]],Inventari_2[],2,FALSE),"-")</f>
        <v>-</v>
      </c>
      <c r="E280" t="str">
        <f>IFERROR(VLOOKUP(Entrada[[#This Row],[CODIGO]],Inventari_2[],3,FALSE),"-")</f>
        <v>-</v>
      </c>
    </row>
    <row r="281" spans="1:5" ht="31.5" customHeight="1">
      <c r="A281" s="18"/>
      <c r="B281" s="19"/>
      <c r="D281" t="str">
        <f>IFERROR(VLOOKUP(Entrada[[#This Row],[CODIGO]],Inventari_2[],2,FALSE),"-")</f>
        <v>-</v>
      </c>
      <c r="E281" t="str">
        <f>IFERROR(VLOOKUP(Entrada[[#This Row],[CODIGO]],Inventari_2[],3,FALSE),"-")</f>
        <v>-</v>
      </c>
    </row>
    <row r="282" spans="1:5" ht="31.5" customHeight="1">
      <c r="A282" s="18"/>
      <c r="B282" s="19"/>
      <c r="D282" t="str">
        <f>IFERROR(VLOOKUP(Entrada[[#This Row],[CODIGO]],Inventari_2[],2,FALSE),"-")</f>
        <v>-</v>
      </c>
      <c r="E282" t="str">
        <f>IFERROR(VLOOKUP(Entrada[[#This Row],[CODIGO]],Inventari_2[],3,FALSE),"-")</f>
        <v>-</v>
      </c>
    </row>
    <row r="283" spans="1:5" ht="31.5" customHeight="1">
      <c r="A283" s="18"/>
      <c r="B283" s="19"/>
      <c r="D283" t="str">
        <f>IFERROR(VLOOKUP(Entrada[[#This Row],[CODIGO]],Inventari_2[],2,FALSE),"-")</f>
        <v>-</v>
      </c>
      <c r="E283" t="str">
        <f>IFERROR(VLOOKUP(Entrada[[#This Row],[CODIGO]],Inventari_2[],3,FALSE),"-")</f>
        <v>-</v>
      </c>
    </row>
    <row r="284" spans="1:5" ht="31.5" customHeight="1">
      <c r="A284" s="18"/>
      <c r="B284" s="19"/>
      <c r="D284" t="str">
        <f>IFERROR(VLOOKUP(Entrada[[#This Row],[CODIGO]],Inventari_2[],2,FALSE),"-")</f>
        <v>-</v>
      </c>
      <c r="E284" t="str">
        <f>IFERROR(VLOOKUP(Entrada[[#This Row],[CODIGO]],Inventari_2[],3,FALSE),"-")</f>
        <v>-</v>
      </c>
    </row>
    <row r="285" spans="1:5" ht="31.5" customHeight="1">
      <c r="A285" s="18"/>
      <c r="B285" s="19"/>
      <c r="D285" t="str">
        <f>IFERROR(VLOOKUP(Entrada[[#This Row],[CODIGO]],Inventari_2[],2,FALSE),"-")</f>
        <v>-</v>
      </c>
      <c r="E285" t="str">
        <f>IFERROR(VLOOKUP(Entrada[[#This Row],[CODIGO]],Inventari_2[],3,FALSE),"-")</f>
        <v>-</v>
      </c>
    </row>
    <row r="286" spans="1:5" ht="31.5" customHeight="1">
      <c r="A286" s="18"/>
      <c r="B286" s="19"/>
      <c r="D286" t="str">
        <f>IFERROR(VLOOKUP(Entrada[[#This Row],[CODIGO]],Inventari_2[],2,FALSE),"-")</f>
        <v>-</v>
      </c>
      <c r="E286" t="str">
        <f>IFERROR(VLOOKUP(Entrada[[#This Row],[CODIGO]],Inventari_2[],3,FALSE),"-")</f>
        <v>-</v>
      </c>
    </row>
    <row r="287" spans="1:5" ht="31.5" customHeight="1">
      <c r="A287" s="18"/>
      <c r="B287" s="19"/>
      <c r="D287" t="str">
        <f>IFERROR(VLOOKUP(Entrada[[#This Row],[CODIGO]],Inventari_2[],2,FALSE),"-")</f>
        <v>-</v>
      </c>
      <c r="E287" t="str">
        <f>IFERROR(VLOOKUP(Entrada[[#This Row],[CODIGO]],Inventari_2[],3,FALSE),"-")</f>
        <v>-</v>
      </c>
    </row>
    <row r="288" spans="1:5" ht="31.5" customHeight="1">
      <c r="A288" s="18"/>
      <c r="B288" s="19"/>
      <c r="D288" t="str">
        <f>IFERROR(VLOOKUP(Entrada[[#This Row],[CODIGO]],Inventari_2[],2,FALSE),"-")</f>
        <v>-</v>
      </c>
      <c r="E288" t="str">
        <f>IFERROR(VLOOKUP(Entrada[[#This Row],[CODIGO]],Inventari_2[],3,FALSE),"-")</f>
        <v>-</v>
      </c>
    </row>
    <row r="289" spans="1:5" ht="31.5" customHeight="1">
      <c r="A289" s="18"/>
      <c r="B289" s="19"/>
      <c r="D289" t="str">
        <f>IFERROR(VLOOKUP(Entrada[[#This Row],[CODIGO]],Inventari_2[],2,FALSE),"-")</f>
        <v>-</v>
      </c>
      <c r="E289" t="str">
        <f>IFERROR(VLOOKUP(Entrada[[#This Row],[CODIGO]],Inventari_2[],3,FALSE),"-")</f>
        <v>-</v>
      </c>
    </row>
    <row r="290" spans="1:5" ht="31.5" customHeight="1">
      <c r="A290" s="18"/>
      <c r="B290" s="19"/>
      <c r="D290" t="str">
        <f>IFERROR(VLOOKUP(Entrada[[#This Row],[CODIGO]],Inventari_2[],2,FALSE),"-")</f>
        <v>-</v>
      </c>
      <c r="E290" t="str">
        <f>IFERROR(VLOOKUP(Entrada[[#This Row],[CODIGO]],Inventari_2[],3,FALSE),"-")</f>
        <v>-</v>
      </c>
    </row>
    <row r="291" spans="1:5" ht="31.5" customHeight="1">
      <c r="A291" s="18"/>
      <c r="B291" s="19"/>
      <c r="D291" t="str">
        <f>IFERROR(VLOOKUP(Entrada[[#This Row],[CODIGO]],Inventari_2[],2,FALSE),"-")</f>
        <v>-</v>
      </c>
      <c r="E291" t="str">
        <f>IFERROR(VLOOKUP(Entrada[[#This Row],[CODIGO]],Inventari_2[],3,FALSE),"-")</f>
        <v>-</v>
      </c>
    </row>
    <row r="292" spans="1:5" ht="31.5" customHeight="1">
      <c r="A292" s="18"/>
      <c r="B292" s="19"/>
      <c r="D292" t="str">
        <f>IFERROR(VLOOKUP(Entrada[[#This Row],[CODIGO]],Inventari_2[],2,FALSE),"-")</f>
        <v>-</v>
      </c>
      <c r="E292" t="str">
        <f>IFERROR(VLOOKUP(Entrada[[#This Row],[CODIGO]],Inventari_2[],3,FALSE),"-")</f>
        <v>-</v>
      </c>
    </row>
    <row r="293" spans="1:5" ht="31.5" customHeight="1">
      <c r="A293" s="18"/>
      <c r="B293" s="19"/>
      <c r="D293" t="str">
        <f>IFERROR(VLOOKUP(Entrada[[#This Row],[CODIGO]],Inventari_2[],2,FALSE),"-")</f>
        <v>-</v>
      </c>
      <c r="E293" t="str">
        <f>IFERROR(VLOOKUP(Entrada[[#This Row],[CODIGO]],Inventari_2[],3,FALSE),"-")</f>
        <v>-</v>
      </c>
    </row>
    <row r="294" spans="1:5" ht="31.5" customHeight="1">
      <c r="A294" s="18"/>
      <c r="B294" s="19"/>
      <c r="D294" t="str">
        <f>IFERROR(VLOOKUP(Entrada[[#This Row],[CODIGO]],Inventari_2[],2,FALSE),"-")</f>
        <v>-</v>
      </c>
      <c r="E294" t="str">
        <f>IFERROR(VLOOKUP(Entrada[[#This Row],[CODIGO]],Inventari_2[],3,FALSE),"-")</f>
        <v>-</v>
      </c>
    </row>
    <row r="295" spans="1:5" ht="31.5" customHeight="1">
      <c r="A295" s="18"/>
      <c r="B295" s="19"/>
      <c r="D295" t="str">
        <f>IFERROR(VLOOKUP(Entrada[[#This Row],[CODIGO]],Inventari_2[],2,FALSE),"-")</f>
        <v>-</v>
      </c>
      <c r="E295" t="str">
        <f>IFERROR(VLOOKUP(Entrada[[#This Row],[CODIGO]],Inventari_2[],3,FALSE),"-")</f>
        <v>-</v>
      </c>
    </row>
    <row r="296" spans="1:5" ht="31.5" customHeight="1">
      <c r="A296" s="18"/>
      <c r="B296" s="19"/>
      <c r="D296" t="str">
        <f>IFERROR(VLOOKUP(Entrada[[#This Row],[CODIGO]],Inventari_2[],2,FALSE),"-")</f>
        <v>-</v>
      </c>
      <c r="E296" t="str">
        <f>IFERROR(VLOOKUP(Entrada[[#This Row],[CODIGO]],Inventari_2[],3,FALSE),"-")</f>
        <v>-</v>
      </c>
    </row>
    <row r="297" spans="1:5" ht="31.5" customHeight="1">
      <c r="A297" s="18"/>
      <c r="B297" s="19"/>
      <c r="D297" t="str">
        <f>IFERROR(VLOOKUP(Entrada[[#This Row],[CODIGO]],Inventari_2[],2,FALSE),"-")</f>
        <v>-</v>
      </c>
      <c r="E297" t="str">
        <f>IFERROR(VLOOKUP(Entrada[[#This Row],[CODIGO]],Inventari_2[],3,FALSE),"-")</f>
        <v>-</v>
      </c>
    </row>
    <row r="298" spans="1:5" ht="31.5" customHeight="1">
      <c r="A298" s="18"/>
      <c r="B298" s="19"/>
      <c r="D298" t="str">
        <f>IFERROR(VLOOKUP(Entrada[[#This Row],[CODIGO]],Inventari_2[],2,FALSE),"-")</f>
        <v>-</v>
      </c>
      <c r="E298" t="str">
        <f>IFERROR(VLOOKUP(Entrada[[#This Row],[CODIGO]],Inventari_2[],3,FALSE),"-")</f>
        <v>-</v>
      </c>
    </row>
    <row r="299" spans="1:5" ht="31.5" customHeight="1">
      <c r="A299" s="18"/>
      <c r="B299" s="19"/>
      <c r="D299" t="str">
        <f>IFERROR(VLOOKUP(Entrada[[#This Row],[CODIGO]],Inventari_2[],2,FALSE),"-")</f>
        <v>-</v>
      </c>
      <c r="E299" t="str">
        <f>IFERROR(VLOOKUP(Entrada[[#This Row],[CODIGO]],Inventari_2[],3,FALSE),"-")</f>
        <v>-</v>
      </c>
    </row>
    <row r="300" spans="1:5" ht="31.5" customHeight="1">
      <c r="A300" s="18"/>
      <c r="B300" s="19"/>
      <c r="D300" t="str">
        <f>IFERROR(VLOOKUP(Entrada[[#This Row],[CODIGO]],Inventari_2[],2,FALSE),"-")</f>
        <v>-</v>
      </c>
      <c r="E300" t="str">
        <f>IFERROR(VLOOKUP(Entrada[[#This Row],[CODIGO]],Inventari_2[],3,FALSE),"-")</f>
        <v>-</v>
      </c>
    </row>
    <row r="301" spans="1:5" ht="31.5" customHeight="1">
      <c r="A301" s="18"/>
      <c r="B301" s="19"/>
      <c r="D301" t="str">
        <f>IFERROR(VLOOKUP(Entrada[[#This Row],[CODIGO]],Inventari_2[],2,FALSE),"-")</f>
        <v>-</v>
      </c>
      <c r="E301" t="str">
        <f>IFERROR(VLOOKUP(Entrada[[#This Row],[CODIGO]],Inventari_2[],3,FALSE),"-")</f>
        <v>-</v>
      </c>
    </row>
    <row r="302" spans="1:5" ht="31.5" customHeight="1">
      <c r="A302" s="18"/>
      <c r="B302" s="19"/>
      <c r="D302" t="str">
        <f>IFERROR(VLOOKUP(Entrada[[#This Row],[CODIGO]],Inventari_2[],2,FALSE),"-")</f>
        <v>-</v>
      </c>
      <c r="E302" t="str">
        <f>IFERROR(VLOOKUP(Entrada[[#This Row],[CODIGO]],Inventari_2[],3,FALSE),"-")</f>
        <v>-</v>
      </c>
    </row>
    <row r="303" spans="1:5" ht="31.5" customHeight="1">
      <c r="A303" s="18"/>
      <c r="B303" s="19"/>
      <c r="D303" t="str">
        <f>IFERROR(VLOOKUP(Entrada[[#This Row],[CODIGO]],Inventari_2[],2,FALSE),"-")</f>
        <v>-</v>
      </c>
      <c r="E303" t="str">
        <f>IFERROR(VLOOKUP(Entrada[[#This Row],[CODIGO]],Inventari_2[],3,FALSE),"-")</f>
        <v>-</v>
      </c>
    </row>
    <row r="304" spans="1:5" ht="31.5" customHeight="1">
      <c r="A304" s="18"/>
      <c r="B304" s="19"/>
      <c r="D304" t="str">
        <f>IFERROR(VLOOKUP(Entrada[[#This Row],[CODIGO]],Inventari_2[],2,FALSE),"-")</f>
        <v>-</v>
      </c>
      <c r="E304" t="str">
        <f>IFERROR(VLOOKUP(Entrada[[#This Row],[CODIGO]],Inventari_2[],3,FALSE),"-")</f>
        <v>-</v>
      </c>
    </row>
    <row r="305" spans="1:5" ht="31.5" customHeight="1">
      <c r="A305" s="18"/>
      <c r="B305" s="19"/>
      <c r="D305" t="str">
        <f>IFERROR(VLOOKUP(Entrada[[#This Row],[CODIGO]],Inventari_2[],2,FALSE),"-")</f>
        <v>-</v>
      </c>
      <c r="E305" t="str">
        <f>IFERROR(VLOOKUP(Entrada[[#This Row],[CODIGO]],Inventari_2[],3,FALSE),"-")</f>
        <v>-</v>
      </c>
    </row>
    <row r="306" spans="1:5" ht="31.5" customHeight="1">
      <c r="A306" s="18"/>
      <c r="B306" s="19"/>
      <c r="D306" t="str">
        <f>IFERROR(VLOOKUP(Entrada[[#This Row],[CODIGO]],Inventari_2[],2,FALSE),"-")</f>
        <v>-</v>
      </c>
      <c r="E306" t="str">
        <f>IFERROR(VLOOKUP(Entrada[[#This Row],[CODIGO]],Inventari_2[],3,FALSE),"-")</f>
        <v>-</v>
      </c>
    </row>
    <row r="307" spans="1:5" ht="31.5" customHeight="1">
      <c r="A307" s="18"/>
      <c r="B307" s="19"/>
      <c r="D307" t="str">
        <f>IFERROR(VLOOKUP(Entrada[[#This Row],[CODIGO]],Inventari_2[],2,FALSE),"-")</f>
        <v>-</v>
      </c>
      <c r="E307" t="str">
        <f>IFERROR(VLOOKUP(Entrada[[#This Row],[CODIGO]],Inventari_2[],3,FALSE),"-")</f>
        <v>-</v>
      </c>
    </row>
    <row r="308" spans="1:5" ht="31.5" customHeight="1">
      <c r="A308" s="18"/>
      <c r="B308" s="19"/>
      <c r="D308" t="str">
        <f>IFERROR(VLOOKUP(Entrada[[#This Row],[CODIGO]],Inventari_2[],2,FALSE),"-")</f>
        <v>-</v>
      </c>
      <c r="E308" t="str">
        <f>IFERROR(VLOOKUP(Entrada[[#This Row],[CODIGO]],Inventari_2[],3,FALSE),"-")</f>
        <v>-</v>
      </c>
    </row>
    <row r="309" spans="1:5" ht="31.5" customHeight="1">
      <c r="A309" s="18"/>
      <c r="B309" s="19"/>
      <c r="D309" t="str">
        <f>IFERROR(VLOOKUP(Entrada[[#This Row],[CODIGO]],Inventari_2[],2,FALSE),"-")</f>
        <v>-</v>
      </c>
      <c r="E309" t="str">
        <f>IFERROR(VLOOKUP(Entrada[[#This Row],[CODIGO]],Inventari_2[],3,FALSE),"-")</f>
        <v>-</v>
      </c>
    </row>
    <row r="310" spans="1:5" ht="31.5" customHeight="1">
      <c r="A310" s="18"/>
      <c r="B310" s="19"/>
      <c r="D310" t="str">
        <f>IFERROR(VLOOKUP(Entrada[[#This Row],[CODIGO]],Inventari_2[],2,FALSE),"-")</f>
        <v>-</v>
      </c>
      <c r="E310" t="str">
        <f>IFERROR(VLOOKUP(Entrada[[#This Row],[CODIGO]],Inventari_2[],3,FALSE),"-")</f>
        <v>-</v>
      </c>
    </row>
    <row r="311" spans="1:5" ht="31.5" customHeight="1">
      <c r="A311" s="18"/>
      <c r="B311" s="19"/>
      <c r="D311" t="str">
        <f>IFERROR(VLOOKUP(Entrada[[#This Row],[CODIGO]],Inventari_2[],2,FALSE),"-")</f>
        <v>-</v>
      </c>
      <c r="E311" t="str">
        <f>IFERROR(VLOOKUP(Entrada[[#This Row],[CODIGO]],Inventari_2[],3,FALSE),"-")</f>
        <v>-</v>
      </c>
    </row>
    <row r="312" spans="1:5" ht="31.5" customHeight="1">
      <c r="A312" s="18"/>
      <c r="B312" s="19"/>
      <c r="D312" t="str">
        <f>IFERROR(VLOOKUP(Entrada[[#This Row],[CODIGO]],Inventari_2[],2,FALSE),"-")</f>
        <v>-</v>
      </c>
      <c r="E312" t="str">
        <f>IFERROR(VLOOKUP(Entrada[[#This Row],[CODIGO]],Inventari_2[],3,FALSE),"-")</f>
        <v>-</v>
      </c>
    </row>
    <row r="313" spans="1:5" ht="31.5" customHeight="1">
      <c r="A313" s="18"/>
      <c r="B313" s="19"/>
      <c r="D313" t="str">
        <f>IFERROR(VLOOKUP(Entrada[[#This Row],[CODIGO]],Inventari_2[],2,FALSE),"-")</f>
        <v>-</v>
      </c>
      <c r="E313" t="str">
        <f>IFERROR(VLOOKUP(Entrada[[#This Row],[CODIGO]],Inventari_2[],3,FALSE),"-")</f>
        <v>-</v>
      </c>
    </row>
    <row r="314" spans="1:5" ht="31.5" customHeight="1">
      <c r="A314" s="18"/>
      <c r="B314" s="19"/>
      <c r="D314" t="str">
        <f>IFERROR(VLOOKUP(Entrada[[#This Row],[CODIGO]],Inventari_2[],2,FALSE),"-")</f>
        <v>-</v>
      </c>
      <c r="E314" t="str">
        <f>IFERROR(VLOOKUP(Entrada[[#This Row],[CODIGO]],Inventari_2[],3,FALSE),"-")</f>
        <v>-</v>
      </c>
    </row>
    <row r="315" spans="1:5" ht="31.5" customHeight="1">
      <c r="A315" s="18"/>
      <c r="B315" s="19"/>
      <c r="D315" t="str">
        <f>IFERROR(VLOOKUP(Entrada[[#This Row],[CODIGO]],Inventari_2[],2,FALSE),"-")</f>
        <v>-</v>
      </c>
      <c r="E315" t="str">
        <f>IFERROR(VLOOKUP(Entrada[[#This Row],[CODIGO]],Inventari_2[],3,FALSE),"-")</f>
        <v>-</v>
      </c>
    </row>
    <row r="316" spans="1:5" ht="31.5" customHeight="1">
      <c r="A316" s="18"/>
      <c r="B316" s="19"/>
      <c r="D316" t="str">
        <f>IFERROR(VLOOKUP(Entrada[[#This Row],[CODIGO]],Inventari_2[],2,FALSE),"-")</f>
        <v>-</v>
      </c>
      <c r="E316" t="str">
        <f>IFERROR(VLOOKUP(Entrada[[#This Row],[CODIGO]],Inventari_2[],3,FALSE),"-")</f>
        <v>-</v>
      </c>
    </row>
    <row r="317" spans="1:5" ht="31.5" customHeight="1">
      <c r="A317" s="18"/>
      <c r="B317" s="19"/>
      <c r="D317" t="str">
        <f>IFERROR(VLOOKUP(Entrada[[#This Row],[CODIGO]],Inventari_2[],2,FALSE),"-")</f>
        <v>-</v>
      </c>
      <c r="E317" t="str">
        <f>IFERROR(VLOOKUP(Entrada[[#This Row],[CODIGO]],Inventari_2[],3,FALSE),"-")</f>
        <v>-</v>
      </c>
    </row>
    <row r="318" spans="1:5" ht="31.5" customHeight="1">
      <c r="A318" s="18"/>
      <c r="B318" s="19"/>
      <c r="D318" t="str">
        <f>IFERROR(VLOOKUP(Entrada[[#This Row],[CODIGO]],Inventari_2[],2,FALSE),"-")</f>
        <v>-</v>
      </c>
      <c r="E318" t="str">
        <f>IFERROR(VLOOKUP(Entrada[[#This Row],[CODIGO]],Inventari_2[],3,FALSE),"-")</f>
        <v>-</v>
      </c>
    </row>
    <row r="319" spans="1:5" ht="31.5" customHeight="1">
      <c r="A319" s="18"/>
      <c r="B319" s="19"/>
      <c r="D319" t="str">
        <f>IFERROR(VLOOKUP(Entrada[[#This Row],[CODIGO]],Inventari_2[],2,FALSE),"-")</f>
        <v>-</v>
      </c>
      <c r="E319" t="str">
        <f>IFERROR(VLOOKUP(Entrada[[#This Row],[CODIGO]],Inventari_2[],3,FALSE),"-")</f>
        <v>-</v>
      </c>
    </row>
    <row r="320" spans="1:5" ht="31.5" customHeight="1">
      <c r="A320" s="18"/>
      <c r="B320" s="19"/>
      <c r="D320" t="str">
        <f>IFERROR(VLOOKUP(Entrada[[#This Row],[CODIGO]],Inventari_2[],2,FALSE),"-")</f>
        <v>-</v>
      </c>
      <c r="E320" t="str">
        <f>IFERROR(VLOOKUP(Entrada[[#This Row],[CODIGO]],Inventari_2[],3,FALSE),"-")</f>
        <v>-</v>
      </c>
    </row>
    <row r="321" spans="1:5" ht="31.5" customHeight="1">
      <c r="A321" s="18"/>
      <c r="B321" s="19"/>
      <c r="D321" t="str">
        <f>IFERROR(VLOOKUP(Entrada[[#This Row],[CODIGO]],Inventari_2[],2,FALSE),"-")</f>
        <v>-</v>
      </c>
      <c r="E321" t="str">
        <f>IFERROR(VLOOKUP(Entrada[[#This Row],[CODIGO]],Inventari_2[],3,FALSE),"-")</f>
        <v>-</v>
      </c>
    </row>
    <row r="322" spans="1:5" ht="31.5" customHeight="1">
      <c r="A322" s="18"/>
      <c r="B322" s="19"/>
      <c r="D322" t="str">
        <f>IFERROR(VLOOKUP(Entrada[[#This Row],[CODIGO]],Inventari_2[],2,FALSE),"-")</f>
        <v>-</v>
      </c>
      <c r="E322" t="str">
        <f>IFERROR(VLOOKUP(Entrada[[#This Row],[CODIGO]],Inventari_2[],3,FALSE),"-")</f>
        <v>-</v>
      </c>
    </row>
    <row r="323" spans="1:5" ht="31.5" customHeight="1">
      <c r="A323" s="18"/>
      <c r="B323" s="19"/>
      <c r="D323" t="str">
        <f>IFERROR(VLOOKUP(Entrada[[#This Row],[CODIGO]],Inventari_2[],2,FALSE),"-")</f>
        <v>-</v>
      </c>
      <c r="E323" t="str">
        <f>IFERROR(VLOOKUP(Entrada[[#This Row],[CODIGO]],Inventari_2[],3,FALSE),"-")</f>
        <v>-</v>
      </c>
    </row>
    <row r="324" spans="1:5" ht="31.5" customHeight="1">
      <c r="A324" s="18"/>
      <c r="B324" s="19"/>
      <c r="D324" t="str">
        <f>IFERROR(VLOOKUP(Entrada[[#This Row],[CODIGO]],Inventari_2[],2,FALSE),"-")</f>
        <v>-</v>
      </c>
      <c r="E324" t="str">
        <f>IFERROR(VLOOKUP(Entrada[[#This Row],[CODIGO]],Inventari_2[],3,FALSE),"-")</f>
        <v>-</v>
      </c>
    </row>
    <row r="325" spans="1:5" ht="31.5" customHeight="1">
      <c r="A325" s="18"/>
      <c r="B325" s="19"/>
      <c r="D325" t="str">
        <f>IFERROR(VLOOKUP(Entrada[[#This Row],[CODIGO]],Inventari_2[],2,FALSE),"-")</f>
        <v>-</v>
      </c>
      <c r="E325" t="str">
        <f>IFERROR(VLOOKUP(Entrada[[#This Row],[CODIGO]],Inventari_2[],3,FALSE),"-")</f>
        <v>-</v>
      </c>
    </row>
    <row r="326" spans="1:5" ht="31.5" customHeight="1">
      <c r="A326" s="18"/>
      <c r="B326" s="19"/>
      <c r="D326" t="str">
        <f>IFERROR(VLOOKUP(Entrada[[#This Row],[CODIGO]],Inventari_2[],2,FALSE),"-")</f>
        <v>-</v>
      </c>
      <c r="E326" t="str">
        <f>IFERROR(VLOOKUP(Entrada[[#This Row],[CODIGO]],Inventari_2[],3,FALSE),"-")</f>
        <v>-</v>
      </c>
    </row>
    <row r="327" spans="1:5" ht="31.5" customHeight="1">
      <c r="A327" s="18"/>
      <c r="B327" s="19"/>
      <c r="D327" t="str">
        <f>IFERROR(VLOOKUP(Entrada[[#This Row],[CODIGO]],Inventari_2[],2,FALSE),"-")</f>
        <v>-</v>
      </c>
      <c r="E327" t="str">
        <f>IFERROR(VLOOKUP(Entrada[[#This Row],[CODIGO]],Inventari_2[],3,FALSE),"-")</f>
        <v>-</v>
      </c>
    </row>
    <row r="328" spans="1:5" ht="31.5" customHeight="1">
      <c r="A328" s="18"/>
      <c r="B328" s="19"/>
      <c r="D328" t="str">
        <f>IFERROR(VLOOKUP(Entrada[[#This Row],[CODIGO]],Inventari_2[],2,FALSE),"-")</f>
        <v>-</v>
      </c>
      <c r="E328" t="str">
        <f>IFERROR(VLOOKUP(Entrada[[#This Row],[CODIGO]],Inventari_2[],3,FALSE),"-")</f>
        <v>-</v>
      </c>
    </row>
    <row r="329" spans="1:5" ht="31.5" customHeight="1">
      <c r="A329" s="18"/>
      <c r="B329" s="19"/>
      <c r="D329" t="str">
        <f>IFERROR(VLOOKUP(Entrada[[#This Row],[CODIGO]],Inventari_2[],2,FALSE),"-")</f>
        <v>-</v>
      </c>
      <c r="E329" t="str">
        <f>IFERROR(VLOOKUP(Entrada[[#This Row],[CODIGO]],Inventari_2[],3,FALSE),"-")</f>
        <v>-</v>
      </c>
    </row>
    <row r="330" spans="1:5" ht="31.5" customHeight="1">
      <c r="A330" s="18"/>
      <c r="B330" s="19"/>
      <c r="D330" t="str">
        <f>IFERROR(VLOOKUP(Entrada[[#This Row],[CODIGO]],Inventari_2[],2,FALSE),"-")</f>
        <v>-</v>
      </c>
      <c r="E330" t="str">
        <f>IFERROR(VLOOKUP(Entrada[[#This Row],[CODIGO]],Inventari_2[],3,FALSE),"-")</f>
        <v>-</v>
      </c>
    </row>
    <row r="331" spans="1:5" ht="31.5" customHeight="1">
      <c r="A331" s="18"/>
      <c r="B331" s="19"/>
      <c r="D331" t="str">
        <f>IFERROR(VLOOKUP(Entrada[[#This Row],[CODIGO]],Inventari_2[],2,FALSE),"-")</f>
        <v>-</v>
      </c>
      <c r="E331" t="str">
        <f>IFERROR(VLOOKUP(Entrada[[#This Row],[CODIGO]],Inventari_2[],3,FALSE),"-")</f>
        <v>-</v>
      </c>
    </row>
    <row r="332" spans="1:5" ht="31.5" customHeight="1">
      <c r="A332" s="18"/>
      <c r="B332" s="19"/>
      <c r="D332" t="str">
        <f>IFERROR(VLOOKUP(Entrada[[#This Row],[CODIGO]],Inventari_2[],2,FALSE),"-")</f>
        <v>-</v>
      </c>
      <c r="E332" t="str">
        <f>IFERROR(VLOOKUP(Entrada[[#This Row],[CODIGO]],Inventari_2[],3,FALSE),"-")</f>
        <v>-</v>
      </c>
    </row>
    <row r="333" spans="1:5" ht="31.5" customHeight="1">
      <c r="A333" s="18"/>
      <c r="B333" s="19"/>
      <c r="D333" t="str">
        <f>IFERROR(VLOOKUP(Entrada[[#This Row],[CODIGO]],Inventari_2[],2,FALSE),"-")</f>
        <v>-</v>
      </c>
      <c r="E333" t="str">
        <f>IFERROR(VLOOKUP(Entrada[[#This Row],[CODIGO]],Inventari_2[],3,FALSE),"-")</f>
        <v>-</v>
      </c>
    </row>
    <row r="334" spans="1:5" ht="31.5" customHeight="1">
      <c r="A334" s="18"/>
      <c r="B334" s="19"/>
      <c r="D334" t="str">
        <f>IFERROR(VLOOKUP(Entrada[[#This Row],[CODIGO]],Inventari_2[],2,FALSE),"-")</f>
        <v>-</v>
      </c>
      <c r="E334" t="str">
        <f>IFERROR(VLOOKUP(Entrada[[#This Row],[CODIGO]],Inventari_2[],3,FALSE),"-")</f>
        <v>-</v>
      </c>
    </row>
    <row r="335" spans="1:5" ht="31.5" customHeight="1">
      <c r="A335" s="18"/>
      <c r="B335" s="19"/>
      <c r="D335" t="str">
        <f>IFERROR(VLOOKUP(Entrada[[#This Row],[CODIGO]],Inventari_2[],2,FALSE),"-")</f>
        <v>-</v>
      </c>
      <c r="E335" t="str">
        <f>IFERROR(VLOOKUP(Entrada[[#This Row],[CODIGO]],Inventari_2[],3,FALSE),"-")</f>
        <v>-</v>
      </c>
    </row>
    <row r="336" spans="1:5" ht="31.5" customHeight="1">
      <c r="A336" s="18"/>
      <c r="B336" s="19"/>
      <c r="D336" t="str">
        <f>IFERROR(VLOOKUP(Entrada[[#This Row],[CODIGO]],Inventari_2[],2,FALSE),"-")</f>
        <v>-</v>
      </c>
      <c r="E336" t="str">
        <f>IFERROR(VLOOKUP(Entrada[[#This Row],[CODIGO]],Inventari_2[],3,FALSE),"-")</f>
        <v>-</v>
      </c>
    </row>
    <row r="337" spans="1:5" ht="31.5" customHeight="1">
      <c r="A337" s="18"/>
      <c r="B337" s="19"/>
      <c r="D337" t="str">
        <f>IFERROR(VLOOKUP(Entrada[[#This Row],[CODIGO]],Inventari_2[],2,FALSE),"-")</f>
        <v>-</v>
      </c>
      <c r="E337" t="str">
        <f>IFERROR(VLOOKUP(Entrada[[#This Row],[CODIGO]],Inventari_2[],3,FALSE),"-")</f>
        <v>-</v>
      </c>
    </row>
    <row r="338" spans="1:5" ht="31.5" customHeight="1">
      <c r="A338" s="18"/>
      <c r="B338" s="19"/>
      <c r="D338" t="str">
        <f>IFERROR(VLOOKUP(Entrada[[#This Row],[CODIGO]],Inventari_2[],2,FALSE),"-")</f>
        <v>-</v>
      </c>
      <c r="E338" t="str">
        <f>IFERROR(VLOOKUP(Entrada[[#This Row],[CODIGO]],Inventari_2[],3,FALSE),"-")</f>
        <v>-</v>
      </c>
    </row>
    <row r="339" spans="1:5" ht="31.5" customHeight="1">
      <c r="A339" s="18"/>
      <c r="B339" s="19"/>
      <c r="D339" t="str">
        <f>IFERROR(VLOOKUP(Entrada[[#This Row],[CODIGO]],Inventari_2[],2,FALSE),"-")</f>
        <v>-</v>
      </c>
      <c r="E339" t="str">
        <f>IFERROR(VLOOKUP(Entrada[[#This Row],[CODIGO]],Inventari_2[],3,FALSE),"-")</f>
        <v>-</v>
      </c>
    </row>
    <row r="340" spans="1:5" ht="31.5" customHeight="1">
      <c r="A340" s="18"/>
      <c r="B340" s="19"/>
      <c r="D340" t="str">
        <f>IFERROR(VLOOKUP(Entrada[[#This Row],[CODIGO]],Inventari_2[],2,FALSE),"-")</f>
        <v>-</v>
      </c>
      <c r="E340" t="str">
        <f>IFERROR(VLOOKUP(Entrada[[#This Row],[CODIGO]],Inventari_2[],3,FALSE),"-")</f>
        <v>-</v>
      </c>
    </row>
    <row r="341" spans="1:5" ht="31.5" customHeight="1">
      <c r="A341" s="18"/>
      <c r="B341" s="19"/>
      <c r="D341" t="str">
        <f>IFERROR(VLOOKUP(Entrada[[#This Row],[CODIGO]],Inventari_2[],2,FALSE),"-")</f>
        <v>-</v>
      </c>
      <c r="E341" t="str">
        <f>IFERROR(VLOOKUP(Entrada[[#This Row],[CODIGO]],Inventari_2[],3,FALSE),"-")</f>
        <v>-</v>
      </c>
    </row>
    <row r="342" spans="1:5" ht="31.5" customHeight="1">
      <c r="A342" s="18"/>
      <c r="B342" s="19"/>
      <c r="D342" t="str">
        <f>IFERROR(VLOOKUP(Entrada[[#This Row],[CODIGO]],Inventari_2[],2,FALSE),"-")</f>
        <v>-</v>
      </c>
      <c r="E342" t="str">
        <f>IFERROR(VLOOKUP(Entrada[[#This Row],[CODIGO]],Inventari_2[],3,FALSE),"-")</f>
        <v>-</v>
      </c>
    </row>
    <row r="343" spans="1:5" ht="31.5" customHeight="1">
      <c r="A343" s="18"/>
      <c r="B343" s="19"/>
      <c r="D343" t="str">
        <f>IFERROR(VLOOKUP(Entrada[[#This Row],[CODIGO]],Inventari_2[],2,FALSE),"-")</f>
        <v>-</v>
      </c>
      <c r="E343" t="str">
        <f>IFERROR(VLOOKUP(Entrada[[#This Row],[CODIGO]],Inventari_2[],3,FALSE),"-")</f>
        <v>-</v>
      </c>
    </row>
    <row r="344" spans="1:5" ht="31.5" customHeight="1">
      <c r="A344" s="18"/>
      <c r="B344" s="19"/>
      <c r="D344" t="str">
        <f>IFERROR(VLOOKUP(Entrada[[#This Row],[CODIGO]],Inventari_2[],2,FALSE),"-")</f>
        <v>-</v>
      </c>
      <c r="E344" t="str">
        <f>IFERROR(VLOOKUP(Entrada[[#This Row],[CODIGO]],Inventari_2[],3,FALSE),"-")</f>
        <v>-</v>
      </c>
    </row>
    <row r="345" spans="1:5" ht="31.5" customHeight="1">
      <c r="A345" s="18"/>
      <c r="B345" s="19"/>
      <c r="D345" t="str">
        <f>IFERROR(VLOOKUP(Entrada[[#This Row],[CODIGO]],Inventari_2[],2,FALSE),"-")</f>
        <v>-</v>
      </c>
      <c r="E345" t="str">
        <f>IFERROR(VLOOKUP(Entrada[[#This Row],[CODIGO]],Inventari_2[],3,FALSE),"-")</f>
        <v>-</v>
      </c>
    </row>
    <row r="346" spans="1:5" ht="31.5" customHeight="1">
      <c r="A346" s="18"/>
      <c r="B346" s="19"/>
      <c r="D346" t="str">
        <f>IFERROR(VLOOKUP(Entrada[[#This Row],[CODIGO]],Inventari_2[],2,FALSE),"-")</f>
        <v>-</v>
      </c>
      <c r="E346" t="str">
        <f>IFERROR(VLOOKUP(Entrada[[#This Row],[CODIGO]],Inventari_2[],3,FALSE),"-")</f>
        <v>-</v>
      </c>
    </row>
    <row r="347" spans="1:5" ht="31.5" customHeight="1">
      <c r="A347" s="18"/>
      <c r="B347" s="19"/>
      <c r="D347" t="str">
        <f>IFERROR(VLOOKUP(Entrada[[#This Row],[CODIGO]],Inventari_2[],2,FALSE),"-")</f>
        <v>-</v>
      </c>
      <c r="E347" t="str">
        <f>IFERROR(VLOOKUP(Entrada[[#This Row],[CODIGO]],Inventari_2[],3,FALSE),"-")</f>
        <v>-</v>
      </c>
    </row>
    <row r="348" spans="1:5" ht="31.5" customHeight="1">
      <c r="A348" s="18"/>
      <c r="B348" s="19"/>
      <c r="D348" t="str">
        <f>IFERROR(VLOOKUP(Entrada[[#This Row],[CODIGO]],Inventari_2[],2,FALSE),"-")</f>
        <v>-</v>
      </c>
      <c r="E348" t="str">
        <f>IFERROR(VLOOKUP(Entrada[[#This Row],[CODIGO]],Inventari_2[],3,FALSE),"-")</f>
        <v>-</v>
      </c>
    </row>
    <row r="349" spans="1:5" ht="31.5" customHeight="1">
      <c r="A349" s="18"/>
      <c r="B349" s="19"/>
      <c r="D349" t="str">
        <f>IFERROR(VLOOKUP(Entrada[[#This Row],[CODIGO]],Inventari_2[],2,FALSE),"-")</f>
        <v>-</v>
      </c>
      <c r="E349" t="str">
        <f>IFERROR(VLOOKUP(Entrada[[#This Row],[CODIGO]],Inventari_2[],3,FALSE),"-")</f>
        <v>-</v>
      </c>
    </row>
    <row r="350" spans="1:5" ht="31.5" customHeight="1">
      <c r="A350" s="18"/>
      <c r="B350" s="19"/>
      <c r="D350" t="str">
        <f>IFERROR(VLOOKUP(Entrada[[#This Row],[CODIGO]],Inventari_2[],2,FALSE),"-")</f>
        <v>-</v>
      </c>
      <c r="E350" t="str">
        <f>IFERROR(VLOOKUP(Entrada[[#This Row],[CODIGO]],Inventari_2[],3,FALSE),"-")</f>
        <v>-</v>
      </c>
    </row>
    <row r="351" spans="1:5" ht="31.5" customHeight="1">
      <c r="A351" s="18"/>
      <c r="B351" s="19"/>
      <c r="D351" t="str">
        <f>IFERROR(VLOOKUP(Entrada[[#This Row],[CODIGO]],Inventari_2[],2,FALSE),"-")</f>
        <v>-</v>
      </c>
      <c r="E351" t="str">
        <f>IFERROR(VLOOKUP(Entrada[[#This Row],[CODIGO]],Inventari_2[],3,FALSE),"-")</f>
        <v>-</v>
      </c>
    </row>
    <row r="352" spans="1:5" ht="31.5" customHeight="1">
      <c r="A352" s="18"/>
      <c r="B352" s="19"/>
      <c r="D352" t="str">
        <f>IFERROR(VLOOKUP(Entrada[[#This Row],[CODIGO]],Inventari_2[],2,FALSE),"-")</f>
        <v>-</v>
      </c>
      <c r="E352" t="str">
        <f>IFERROR(VLOOKUP(Entrada[[#This Row],[CODIGO]],Inventari_2[],3,FALSE),"-")</f>
        <v>-</v>
      </c>
    </row>
    <row r="353" spans="1:5" ht="31.5" customHeight="1">
      <c r="A353" s="18"/>
      <c r="B353" s="19"/>
      <c r="D353" t="str">
        <f>IFERROR(VLOOKUP(Entrada[[#This Row],[CODIGO]],Inventari_2[],2,FALSE),"-")</f>
        <v>-</v>
      </c>
      <c r="E353" t="str">
        <f>IFERROR(VLOOKUP(Entrada[[#This Row],[CODIGO]],Inventari_2[],3,FALSE),"-")</f>
        <v>-</v>
      </c>
    </row>
    <row r="354" spans="1:5" ht="31.5" customHeight="1">
      <c r="A354" s="18"/>
      <c r="B354" s="19"/>
      <c r="D354" t="str">
        <f>IFERROR(VLOOKUP(Entrada[[#This Row],[CODIGO]],Inventari_2[],2,FALSE),"-")</f>
        <v>-</v>
      </c>
      <c r="E354" t="str">
        <f>IFERROR(VLOOKUP(Entrada[[#This Row],[CODIGO]],Inventari_2[],3,FALSE),"-")</f>
        <v>-</v>
      </c>
    </row>
    <row r="355" spans="1:5" ht="31.5" customHeight="1">
      <c r="A355" s="18"/>
      <c r="B355" s="19"/>
      <c r="D355" t="str">
        <f>IFERROR(VLOOKUP(Entrada[[#This Row],[CODIGO]],Inventari_2[],2,FALSE),"-")</f>
        <v>-</v>
      </c>
      <c r="E355" t="str">
        <f>IFERROR(VLOOKUP(Entrada[[#This Row],[CODIGO]],Inventari_2[],3,FALSE),"-")</f>
        <v>-</v>
      </c>
    </row>
    <row r="356" spans="1:5" ht="31.5" customHeight="1">
      <c r="A356" s="18"/>
      <c r="B356" s="19"/>
      <c r="D356" t="str">
        <f>IFERROR(VLOOKUP(Entrada[[#This Row],[CODIGO]],Inventari_2[],2,FALSE),"-")</f>
        <v>-</v>
      </c>
      <c r="E356" t="str">
        <f>IFERROR(VLOOKUP(Entrada[[#This Row],[CODIGO]],Inventari_2[],3,FALSE),"-")</f>
        <v>-</v>
      </c>
    </row>
    <row r="357" spans="1:5" ht="31.5" customHeight="1">
      <c r="A357" s="18"/>
      <c r="B357" s="19"/>
      <c r="D357" t="str">
        <f>IFERROR(VLOOKUP(Entrada[[#This Row],[CODIGO]],Inventari_2[],2,FALSE),"-")</f>
        <v>-</v>
      </c>
      <c r="E357" t="str">
        <f>IFERROR(VLOOKUP(Entrada[[#This Row],[CODIGO]],Inventari_2[],3,FALSE),"-")</f>
        <v>-</v>
      </c>
    </row>
    <row r="358" spans="1:5" ht="31.5" customHeight="1">
      <c r="A358" s="18"/>
      <c r="B358" s="19"/>
      <c r="D358" t="str">
        <f>IFERROR(VLOOKUP(Entrada[[#This Row],[CODIGO]],Inventari_2[],2,FALSE),"-")</f>
        <v>-</v>
      </c>
      <c r="E358" t="str">
        <f>IFERROR(VLOOKUP(Entrada[[#This Row],[CODIGO]],Inventari_2[],3,FALSE),"-")</f>
        <v>-</v>
      </c>
    </row>
    <row r="359" spans="1:5" ht="31.5" customHeight="1">
      <c r="A359" s="18"/>
      <c r="B359" s="19"/>
      <c r="D359" t="str">
        <f>IFERROR(VLOOKUP(Entrada[[#This Row],[CODIGO]],Inventari_2[],2,FALSE),"-")</f>
        <v>-</v>
      </c>
      <c r="E359" t="str">
        <f>IFERROR(VLOOKUP(Entrada[[#This Row],[CODIGO]],Inventari_2[],3,FALSE),"-")</f>
        <v>-</v>
      </c>
    </row>
    <row r="360" spans="1:5" ht="31.5" customHeight="1">
      <c r="A360" s="18"/>
      <c r="B360" s="19"/>
      <c r="D360" t="str">
        <f>IFERROR(VLOOKUP(Entrada[[#This Row],[CODIGO]],Inventari_2[],2,FALSE),"-")</f>
        <v>-</v>
      </c>
      <c r="E360" t="str">
        <f>IFERROR(VLOOKUP(Entrada[[#This Row],[CODIGO]],Inventari_2[],3,FALSE),"-")</f>
        <v>-</v>
      </c>
    </row>
    <row r="361" spans="1:5" ht="31.5" customHeight="1">
      <c r="A361" s="18"/>
      <c r="B361" s="19"/>
      <c r="D361" t="str">
        <f>IFERROR(VLOOKUP(Entrada[[#This Row],[CODIGO]],Inventari_2[],2,FALSE),"-")</f>
        <v>-</v>
      </c>
      <c r="E361" t="str">
        <f>IFERROR(VLOOKUP(Entrada[[#This Row],[CODIGO]],Inventari_2[],3,FALSE),"-")</f>
        <v>-</v>
      </c>
    </row>
    <row r="362" spans="1:5" ht="31.5" customHeight="1">
      <c r="A362" s="18"/>
      <c r="B362" s="19"/>
      <c r="D362" t="str">
        <f>IFERROR(VLOOKUP(Entrada[[#This Row],[CODIGO]],Inventari_2[],2,FALSE),"-")</f>
        <v>-</v>
      </c>
      <c r="E362" t="str">
        <f>IFERROR(VLOOKUP(Entrada[[#This Row],[CODIGO]],Inventari_2[],3,FALSE),"-")</f>
        <v>-</v>
      </c>
    </row>
    <row r="363" spans="1:5" ht="31.5" customHeight="1">
      <c r="A363" s="18"/>
      <c r="B363" s="19"/>
      <c r="D363" t="str">
        <f>IFERROR(VLOOKUP(Entrada[[#This Row],[CODIGO]],Inventari_2[],2,FALSE),"-")</f>
        <v>-</v>
      </c>
      <c r="E363" t="str">
        <f>IFERROR(VLOOKUP(Entrada[[#This Row],[CODIGO]],Inventari_2[],3,FALSE),"-")</f>
        <v>-</v>
      </c>
    </row>
    <row r="364" spans="1:5" ht="31.5" customHeight="1">
      <c r="A364" s="18"/>
      <c r="B364" s="19"/>
      <c r="D364" t="str">
        <f>IFERROR(VLOOKUP(Entrada[[#This Row],[CODIGO]],Inventari_2[],2,FALSE),"-")</f>
        <v>-</v>
      </c>
      <c r="E364" t="str">
        <f>IFERROR(VLOOKUP(Entrada[[#This Row],[CODIGO]],Inventari_2[],3,FALSE),"-")</f>
        <v>-</v>
      </c>
    </row>
    <row r="365" spans="1:5" ht="31.5" customHeight="1">
      <c r="A365" s="18"/>
      <c r="B365" s="19"/>
      <c r="D365" t="str">
        <f>IFERROR(VLOOKUP(Entrada[[#This Row],[CODIGO]],Inventari_2[],2,FALSE),"-")</f>
        <v>-</v>
      </c>
      <c r="E365" t="str">
        <f>IFERROR(VLOOKUP(Entrada[[#This Row],[CODIGO]],Inventari_2[],3,FALSE),"-")</f>
        <v>-</v>
      </c>
    </row>
    <row r="366" spans="1:5" ht="31.5" customHeight="1">
      <c r="A366" s="18"/>
      <c r="B366" s="19"/>
      <c r="D366" t="str">
        <f>IFERROR(VLOOKUP(Entrada[[#This Row],[CODIGO]],Inventari_2[],2,FALSE),"-")</f>
        <v>-</v>
      </c>
      <c r="E366" t="str">
        <f>IFERROR(VLOOKUP(Entrada[[#This Row],[CODIGO]],Inventari_2[],3,FALSE),"-")</f>
        <v>-</v>
      </c>
    </row>
    <row r="367" spans="1:5" ht="31.5" customHeight="1">
      <c r="A367" s="18"/>
      <c r="B367" s="19"/>
      <c r="D367" t="str">
        <f>IFERROR(VLOOKUP(Entrada[[#This Row],[CODIGO]],Inventari_2[],2,FALSE),"-")</f>
        <v>-</v>
      </c>
      <c r="E367" t="str">
        <f>IFERROR(VLOOKUP(Entrada[[#This Row],[CODIGO]],Inventari_2[],3,FALSE),"-")</f>
        <v>-</v>
      </c>
    </row>
    <row r="368" spans="1:5" ht="31.5" customHeight="1">
      <c r="A368" s="18"/>
      <c r="B368" s="19"/>
      <c r="D368" t="str">
        <f>IFERROR(VLOOKUP(Entrada[[#This Row],[CODIGO]],Inventari_2[],2,FALSE),"-")</f>
        <v>-</v>
      </c>
      <c r="E368" t="str">
        <f>IFERROR(VLOOKUP(Entrada[[#This Row],[CODIGO]],Inventari_2[],3,FALSE),"-")</f>
        <v>-</v>
      </c>
    </row>
    <row r="369" spans="1:5" ht="31.5" customHeight="1">
      <c r="A369" s="18"/>
      <c r="B369" s="19"/>
      <c r="D369" t="str">
        <f>IFERROR(VLOOKUP(Entrada[[#This Row],[CODIGO]],Inventari_2[],2,FALSE),"-")</f>
        <v>-</v>
      </c>
      <c r="E369" t="str">
        <f>IFERROR(VLOOKUP(Entrada[[#This Row],[CODIGO]],Inventari_2[],3,FALSE),"-")</f>
        <v>-</v>
      </c>
    </row>
    <row r="370" spans="1:5" ht="31.5" customHeight="1">
      <c r="A370" s="18"/>
      <c r="B370" s="19"/>
      <c r="D370" t="str">
        <f>IFERROR(VLOOKUP(Entrada[[#This Row],[CODIGO]],Inventari_2[],2,FALSE),"-")</f>
        <v>-</v>
      </c>
      <c r="E370" t="str">
        <f>IFERROR(VLOOKUP(Entrada[[#This Row],[CODIGO]],Inventari_2[],3,FALSE),"-")</f>
        <v>-</v>
      </c>
    </row>
    <row r="371" spans="1:5" ht="31.5" customHeight="1">
      <c r="A371" s="18"/>
      <c r="B371" s="19"/>
      <c r="D371" t="str">
        <f>IFERROR(VLOOKUP(Entrada[[#This Row],[CODIGO]],Inventari_2[],2,FALSE),"-")</f>
        <v>-</v>
      </c>
      <c r="E371" t="str">
        <f>IFERROR(VLOOKUP(Entrada[[#This Row],[CODIGO]],Inventari_2[],3,FALSE),"-")</f>
        <v>-</v>
      </c>
    </row>
    <row r="372" spans="1:5" ht="31.5" customHeight="1">
      <c r="A372" s="18"/>
      <c r="B372" s="19"/>
      <c r="D372" t="str">
        <f>IFERROR(VLOOKUP(Entrada[[#This Row],[CODIGO]],Inventari_2[],2,FALSE),"-")</f>
        <v>-</v>
      </c>
      <c r="E372" t="str">
        <f>IFERROR(VLOOKUP(Entrada[[#This Row],[CODIGO]],Inventari_2[],3,FALSE),"-")</f>
        <v>-</v>
      </c>
    </row>
    <row r="373" spans="1:5" ht="31.5" customHeight="1">
      <c r="A373" s="18"/>
      <c r="B373" s="19"/>
      <c r="D373" t="str">
        <f>IFERROR(VLOOKUP(Entrada[[#This Row],[CODIGO]],Inventari_2[],2,FALSE),"-")</f>
        <v>-</v>
      </c>
      <c r="E373" t="str">
        <f>IFERROR(VLOOKUP(Entrada[[#This Row],[CODIGO]],Inventari_2[],3,FALSE),"-")</f>
        <v>-</v>
      </c>
    </row>
    <row r="374" spans="1:5" ht="31.5" customHeight="1">
      <c r="A374" s="18"/>
      <c r="B374" s="19"/>
      <c r="D374" t="str">
        <f>IFERROR(VLOOKUP(Entrada[[#This Row],[CODIGO]],Inventari_2[],2,FALSE),"-")</f>
        <v>-</v>
      </c>
      <c r="E374" t="str">
        <f>IFERROR(VLOOKUP(Entrada[[#This Row],[CODIGO]],Inventari_2[],3,FALSE),"-")</f>
        <v>-</v>
      </c>
    </row>
    <row r="375" spans="1:5" ht="31.5" customHeight="1">
      <c r="A375" s="18"/>
      <c r="B375" s="19"/>
      <c r="D375" t="str">
        <f>IFERROR(VLOOKUP(Entrada[[#This Row],[CODIGO]],Inventari_2[],2,FALSE),"-")</f>
        <v>-</v>
      </c>
      <c r="E375" t="str">
        <f>IFERROR(VLOOKUP(Entrada[[#This Row],[CODIGO]],Inventari_2[],3,FALSE),"-")</f>
        <v>-</v>
      </c>
    </row>
    <row r="376" spans="1:5" ht="31.5" customHeight="1">
      <c r="A376" s="18"/>
      <c r="B376" s="19"/>
      <c r="D376" t="str">
        <f>IFERROR(VLOOKUP(Entrada[[#This Row],[CODIGO]],Inventari_2[],2,FALSE),"-")</f>
        <v>-</v>
      </c>
      <c r="E376" t="str">
        <f>IFERROR(VLOOKUP(Entrada[[#This Row],[CODIGO]],Inventari_2[],3,FALSE),"-")</f>
        <v>-</v>
      </c>
    </row>
    <row r="377" spans="1:5" ht="31.5" customHeight="1">
      <c r="A377" s="18"/>
      <c r="B377" s="19"/>
      <c r="D377" t="str">
        <f>IFERROR(VLOOKUP(Entrada[[#This Row],[CODIGO]],Inventari_2[],2,FALSE),"-")</f>
        <v>-</v>
      </c>
      <c r="E377" t="str">
        <f>IFERROR(VLOOKUP(Entrada[[#This Row],[CODIGO]],Inventari_2[],3,FALSE),"-")</f>
        <v>-</v>
      </c>
    </row>
    <row r="378" spans="1:5" ht="31.5" customHeight="1">
      <c r="A378" s="18"/>
      <c r="B378" s="19"/>
      <c r="D378" t="str">
        <f>IFERROR(VLOOKUP(Entrada[[#This Row],[CODIGO]],Inventari_2[],2,FALSE),"-")</f>
        <v>-</v>
      </c>
      <c r="E378" t="str">
        <f>IFERROR(VLOOKUP(Entrada[[#This Row],[CODIGO]],Inventari_2[],3,FALSE),"-")</f>
        <v>-</v>
      </c>
    </row>
    <row r="379" spans="1:5" ht="31.5" customHeight="1">
      <c r="A379" s="18"/>
      <c r="B379" s="19"/>
      <c r="D379" t="str">
        <f>IFERROR(VLOOKUP(Entrada[[#This Row],[CODIGO]],Inventari_2[],2,FALSE),"-")</f>
        <v>-</v>
      </c>
      <c r="E379" t="str">
        <f>IFERROR(VLOOKUP(Entrada[[#This Row],[CODIGO]],Inventari_2[],3,FALSE),"-")</f>
        <v>-</v>
      </c>
    </row>
  </sheetData>
  <mergeCells count="1">
    <mergeCell ref="A1:F1"/>
  </mergeCells>
  <phoneticPr fontId="13" type="noConversion"/>
  <conditionalFormatting sqref="B3:B248">
    <cfRule type="timePeriod" dxfId="4" priority="1" timePeriod="lastWeek">
      <formula>AND(TODAY()-ROUNDDOWN(B3,0)&gt;=(WEEKDAY(TODAY())),TODAY()-ROUNDDOWN(B3,0)&lt;(WEEKDAY(TODAY())+7))</formula>
    </cfRule>
  </conditionalFormatting>
  <dataValidations count="1">
    <dataValidation type="list" allowBlank="1" showInputMessage="1" showErrorMessage="1" sqref="C5:C6 C8 C10 C13 C23:C248" xr:uid="{A6CB7B97-2D7D-4E85-AAAE-4AAF0ADA0319}">
      <formula1>INDIRECT("CODI")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33AA-7AB0-4F91-A92C-24624A1A8343}">
  <sheetPr codeName="Hoja4"/>
  <dimension ref="A1:DN20"/>
  <sheetViews>
    <sheetView showGridLines="0" workbookViewId="0">
      <selection activeCell="B5" sqref="B5"/>
    </sheetView>
  </sheetViews>
  <sheetFormatPr baseColWidth="10" defaultColWidth="0" defaultRowHeight="15.75" zeroHeight="1"/>
  <cols>
    <col min="1" max="1" width="27" customWidth="1"/>
    <col min="2" max="6" width="11" customWidth="1"/>
    <col min="7" max="118" width="0" hidden="1" customWidth="1"/>
    <col min="119" max="16384" width="11" hidden="1"/>
  </cols>
  <sheetData>
    <row r="1" spans="1:6">
      <c r="A1" s="252" t="s">
        <v>827</v>
      </c>
      <c r="B1" s="252"/>
      <c r="C1" s="252"/>
      <c r="D1" s="252"/>
      <c r="E1" s="252"/>
      <c r="F1" s="252"/>
    </row>
    <row r="2" spans="1:6">
      <c r="A2" s="252"/>
      <c r="B2" s="252"/>
      <c r="C2" s="252"/>
      <c r="D2" s="252"/>
      <c r="E2" s="252"/>
      <c r="F2" s="252"/>
    </row>
    <row r="3" spans="1:6"/>
    <row r="4" spans="1:6" ht="20.25">
      <c r="A4" s="33" t="s">
        <v>0</v>
      </c>
      <c r="B4" s="258" t="s">
        <v>892</v>
      </c>
      <c r="C4" s="259"/>
      <c r="D4" s="259"/>
      <c r="E4" s="259"/>
      <c r="F4" s="259"/>
    </row>
    <row r="5" spans="1:6" ht="16.5" thickTop="1"/>
    <row r="6" spans="1:6" ht="30.75" thickBot="1">
      <c r="A6" s="33" t="s">
        <v>3</v>
      </c>
      <c r="B6" s="257" t="str">
        <f>IFERROR(INDEX(Inventari_2[],MATCH($B$4,Inventari_2[CODIGO],0),2),"")</f>
        <v>LONCHERA TERMICA</v>
      </c>
      <c r="C6" s="257"/>
      <c r="D6" s="257"/>
      <c r="E6" s="257"/>
      <c r="F6" s="257"/>
    </row>
    <row r="7" spans="1:6" ht="16.5" thickTop="1"/>
    <row r="8" spans="1:6" ht="21" thickBot="1">
      <c r="A8" s="33" t="s">
        <v>828</v>
      </c>
      <c r="B8" s="254">
        <f>IFERROR(INDEX(Inventari_2[],MATCH($B$4,Inventari_2[CODIGO],0),7),"")</f>
        <v>0</v>
      </c>
      <c r="C8" s="254"/>
      <c r="D8" s="254"/>
      <c r="E8" s="254"/>
      <c r="F8" s="254"/>
    </row>
    <row r="9" spans="1:6" ht="16.5" thickTop="1"/>
    <row r="10" spans="1:6" ht="21" thickBot="1">
      <c r="A10" s="33" t="s">
        <v>829</v>
      </c>
      <c r="B10" s="256">
        <f>IFERROR(INDEX(Inventario[],MATCH($B$4,Inventari_2[CODIGO],0),5),"")</f>
        <v>8000</v>
      </c>
      <c r="C10" s="256"/>
      <c r="D10" s="256"/>
      <c r="E10" s="256"/>
      <c r="F10" s="256"/>
    </row>
    <row r="11" spans="1:6" ht="16.5" thickTop="1"/>
    <row r="12" spans="1:6" ht="30.75" thickBot="1">
      <c r="A12" s="33" t="s">
        <v>830</v>
      </c>
      <c r="B12" s="255">
        <f>IFERROR(INDEX(Inventari_2[],MATCH(B4,Inventari_2[CODIGO],0),8),"")</f>
        <v>35000</v>
      </c>
      <c r="C12" s="255"/>
      <c r="D12" s="255"/>
      <c r="E12" s="255"/>
      <c r="F12" s="255"/>
    </row>
    <row r="13" spans="1:6" ht="16.5" thickTop="1"/>
    <row r="14" spans="1:6" ht="21" thickBot="1">
      <c r="A14" s="33" t="s">
        <v>2</v>
      </c>
      <c r="B14" s="254" t="str">
        <f>IFERROR(INDEX(Inventari_2[],MATCH(B4,Inventari_2[CODIGO],0),3),"")</f>
        <v>LA TIENDA DEL ESFERO</v>
      </c>
      <c r="C14" s="254"/>
      <c r="D14" s="254"/>
      <c r="E14" s="254"/>
      <c r="F14" s="254"/>
    </row>
    <row r="15" spans="1:6" ht="16.5" thickTop="1"/>
    <row r="16" spans="1:6" ht="21" thickBot="1">
      <c r="A16" s="33" t="s">
        <v>778</v>
      </c>
      <c r="B16" s="253" t="str">
        <f>IFERROR(INDEX(Inventari_2[],MATCH(B4,Inventari_2[CODIGO],0),10),"")</f>
        <v>*LON{JCC02{32*</v>
      </c>
      <c r="C16" s="253"/>
      <c r="D16" s="253"/>
      <c r="E16" s="253"/>
      <c r="F16" s="253"/>
    </row>
    <row r="17" spans="2:6" ht="16.5" thickTop="1">
      <c r="B17" s="253"/>
      <c r="C17" s="253"/>
      <c r="D17" s="253"/>
      <c r="E17" s="253"/>
      <c r="F17" s="253"/>
    </row>
    <row r="18" spans="2:6">
      <c r="B18" s="253"/>
      <c r="C18" s="253"/>
      <c r="D18" s="253"/>
      <c r="E18" s="253"/>
      <c r="F18" s="253"/>
    </row>
    <row r="19" spans="2:6">
      <c r="B19" s="253"/>
      <c r="C19" s="253"/>
      <c r="D19" s="253"/>
      <c r="E19" s="253"/>
      <c r="F19" s="253"/>
    </row>
    <row r="20" spans="2:6">
      <c r="B20" s="253"/>
      <c r="C20" s="253"/>
      <c r="D20" s="253"/>
      <c r="E20" s="253"/>
      <c r="F20" s="253"/>
    </row>
  </sheetData>
  <mergeCells count="8">
    <mergeCell ref="A1:F2"/>
    <mergeCell ref="B16:F20"/>
    <mergeCell ref="B14:F14"/>
    <mergeCell ref="B12:F12"/>
    <mergeCell ref="B10:F10"/>
    <mergeCell ref="B8:F8"/>
    <mergeCell ref="B6:F6"/>
    <mergeCell ref="B4:F4"/>
  </mergeCells>
  <dataValidations count="1">
    <dataValidation type="list" allowBlank="1" showInputMessage="1" showErrorMessage="1" sqref="B4:F4" xr:uid="{3BE0878D-A569-4625-9F5E-FD2D8CD72698}">
      <formula1>INDIRECT("CODI")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3D51-D9AC-488C-B7B8-20002100075E}">
  <sheetPr codeName="Hoja5"/>
  <dimension ref="B1:AD131"/>
  <sheetViews>
    <sheetView topLeftCell="B3" zoomScale="77" zoomScaleNormal="77" workbookViewId="0">
      <selection activeCell="B3" sqref="B3:F5"/>
    </sheetView>
  </sheetViews>
  <sheetFormatPr baseColWidth="10" defaultColWidth="11" defaultRowHeight="15.75"/>
  <cols>
    <col min="1" max="1" width="7" customWidth="1"/>
    <col min="2" max="2" width="5.5" customWidth="1"/>
    <col min="3" max="3" width="7.625" customWidth="1"/>
    <col min="4" max="5" width="5.375" customWidth="1"/>
    <col min="6" max="6" width="11.875" customWidth="1"/>
    <col min="7" max="7" width="0.125" customWidth="1"/>
    <col min="8" max="8" width="9" customWidth="1"/>
    <col min="9" max="9" width="9.375" customWidth="1"/>
    <col min="10" max="10" width="10" customWidth="1"/>
    <col min="11" max="11" width="11" customWidth="1"/>
    <col min="12" max="12" width="7.25" customWidth="1"/>
    <col min="13" max="13" width="0.125" customWidth="1"/>
    <col min="14" max="14" width="11" customWidth="1"/>
    <col min="16" max="16" width="7.125" customWidth="1"/>
    <col min="17" max="17" width="11" customWidth="1"/>
    <col min="18" max="18" width="3.5" customWidth="1"/>
    <col min="19" max="19" width="8.5" hidden="1" customWidth="1"/>
    <col min="24" max="24" width="1" customWidth="1"/>
    <col min="25" max="25" width="0.25" hidden="1" customWidth="1"/>
    <col min="29" max="29" width="6.5" customWidth="1"/>
    <col min="30" max="30" width="2.375" hidden="1" customWidth="1"/>
  </cols>
  <sheetData>
    <row r="1" spans="2:30" ht="33" customHeight="1" thickBot="1"/>
    <row r="2" spans="2:30" ht="1.5" customHeight="1"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2"/>
    </row>
    <row r="3" spans="2:30" ht="15" customHeight="1">
      <c r="B3" s="260" t="s">
        <v>779</v>
      </c>
      <c r="C3" s="260"/>
      <c r="D3" s="260"/>
      <c r="E3" s="260"/>
      <c r="F3" s="260"/>
      <c r="G3" s="53"/>
      <c r="H3" s="260" t="s">
        <v>92</v>
      </c>
      <c r="I3" s="260"/>
      <c r="J3" s="260"/>
      <c r="K3" s="260"/>
      <c r="L3" s="260"/>
      <c r="M3" s="53"/>
      <c r="N3" s="260" t="s">
        <v>48</v>
      </c>
      <c r="O3" s="260"/>
      <c r="P3" s="260"/>
      <c r="Q3" s="260"/>
      <c r="R3" s="260"/>
      <c r="S3" s="53"/>
      <c r="T3" s="260" t="s">
        <v>222</v>
      </c>
      <c r="U3" s="260"/>
      <c r="V3" s="260"/>
      <c r="W3" s="260"/>
      <c r="X3" s="260"/>
      <c r="Y3" s="53"/>
      <c r="Z3" s="260" t="s">
        <v>85</v>
      </c>
      <c r="AA3" s="260"/>
      <c r="AB3" s="260"/>
      <c r="AC3" s="260"/>
      <c r="AD3" s="260"/>
    </row>
    <row r="4" spans="2:30" ht="2.25" customHeight="1">
      <c r="B4" s="260"/>
      <c r="C4" s="260"/>
      <c r="D4" s="260"/>
      <c r="E4" s="260"/>
      <c r="F4" s="260"/>
      <c r="G4" s="53"/>
      <c r="H4" s="260"/>
      <c r="I4" s="260"/>
      <c r="J4" s="260"/>
      <c r="K4" s="260"/>
      <c r="L4" s="260"/>
      <c r="M4" s="53"/>
      <c r="N4" s="260"/>
      <c r="O4" s="260"/>
      <c r="P4" s="260"/>
      <c r="Q4" s="260"/>
      <c r="R4" s="260"/>
      <c r="S4" s="53"/>
      <c r="T4" s="260"/>
      <c r="U4" s="260"/>
      <c r="V4" s="260"/>
      <c r="W4" s="260"/>
      <c r="X4" s="260"/>
      <c r="Y4" s="53"/>
      <c r="Z4" s="260"/>
      <c r="AA4" s="260"/>
      <c r="AB4" s="260"/>
      <c r="AC4" s="260"/>
      <c r="AD4" s="260"/>
    </row>
    <row r="5" spans="2:30" ht="3" hidden="1" customHeight="1">
      <c r="B5" s="260"/>
      <c r="C5" s="260"/>
      <c r="D5" s="260"/>
      <c r="E5" s="260"/>
      <c r="F5" s="260"/>
      <c r="G5" s="53"/>
      <c r="H5" s="260"/>
      <c r="I5" s="260"/>
      <c r="J5" s="260"/>
      <c r="K5" s="260"/>
      <c r="L5" s="260"/>
      <c r="M5" s="53"/>
      <c r="N5" s="260"/>
      <c r="O5" s="260"/>
      <c r="P5" s="260"/>
      <c r="Q5" s="260"/>
      <c r="R5" s="260"/>
      <c r="S5" s="53"/>
      <c r="T5" s="260"/>
      <c r="U5" s="260"/>
      <c r="V5" s="260"/>
      <c r="W5" s="260"/>
      <c r="X5" s="260"/>
      <c r="Y5" s="53"/>
      <c r="Z5" s="260"/>
      <c r="AA5" s="260"/>
      <c r="AB5" s="260"/>
      <c r="AC5" s="260"/>
      <c r="AD5" s="260"/>
    </row>
    <row r="6" spans="2:30" ht="6" hidden="1" customHeight="1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2:30" ht="24.75" customHeight="1">
      <c r="B7" s="261" t="str">
        <f>IFERROR(INDEX(Inventari_2[],MATCH(B3,Inventari_2[DESCRIPCION],0),10),"")</f>
        <v>*6926582118589*</v>
      </c>
      <c r="C7" s="261"/>
      <c r="D7" s="261"/>
      <c r="E7" s="261"/>
      <c r="F7" s="261"/>
      <c r="G7" s="53"/>
      <c r="H7" s="261" t="str">
        <f>IFERROR(INDEX(Inventari_2[],MATCH(H3,Inventari_2[DESCRIPCION],0),10),"")</f>
        <v>*BOLS'009*</v>
      </c>
      <c r="I7" s="261"/>
      <c r="J7" s="261"/>
      <c r="K7" s="261"/>
      <c r="L7" s="261"/>
      <c r="M7" s="53"/>
      <c r="N7" s="261" t="str">
        <f>IFERROR(INDEX(Inventari_2[],MATCH(N3,Inventari_2[DESCRIPCION],0),10),"")</f>
        <v/>
      </c>
      <c r="O7" s="261"/>
      <c r="P7" s="261"/>
      <c r="Q7" s="261"/>
      <c r="R7" s="261"/>
      <c r="S7" s="53"/>
      <c r="T7" s="261" t="str">
        <f>IFERROR(INDEX(Inventari_2[],MATCH(T3,Inventari_2[DESCRIPCION],0),10),"")</f>
        <v>*6920190325124*</v>
      </c>
      <c r="U7" s="261"/>
      <c r="V7" s="261"/>
      <c r="W7" s="261"/>
      <c r="X7" s="261"/>
      <c r="Y7" s="53"/>
      <c r="Z7" s="261" t="str">
        <f>IFERROR(INDEX(Inventari_2[],MATCH(Z3,Inventari_2[DESCRIPCION],0),10),"")</f>
        <v>*BOLS{005*</v>
      </c>
      <c r="AA7" s="261"/>
      <c r="AB7" s="261"/>
      <c r="AC7" s="261"/>
      <c r="AD7" s="261"/>
    </row>
    <row r="8" spans="2:30" ht="3.75" customHeight="1">
      <c r="B8" s="261"/>
      <c r="C8" s="261"/>
      <c r="D8" s="261"/>
      <c r="E8" s="261"/>
      <c r="F8" s="261"/>
      <c r="G8" s="53"/>
      <c r="H8" s="261"/>
      <c r="I8" s="261"/>
      <c r="J8" s="261"/>
      <c r="K8" s="261"/>
      <c r="L8" s="261"/>
      <c r="M8" s="53"/>
      <c r="N8" s="261"/>
      <c r="O8" s="261"/>
      <c r="P8" s="261"/>
      <c r="Q8" s="261"/>
      <c r="R8" s="261"/>
      <c r="S8" s="53"/>
      <c r="T8" s="261"/>
      <c r="U8" s="261"/>
      <c r="V8" s="261"/>
      <c r="W8" s="261"/>
      <c r="X8" s="261"/>
      <c r="Y8" s="53"/>
      <c r="Z8" s="261"/>
      <c r="AA8" s="261"/>
      <c r="AB8" s="261"/>
      <c r="AC8" s="261"/>
      <c r="AD8" s="261"/>
    </row>
    <row r="9" spans="2:30" ht="6.75" customHeight="1">
      <c r="B9" s="261"/>
      <c r="C9" s="261"/>
      <c r="D9" s="261"/>
      <c r="E9" s="261"/>
      <c r="F9" s="261"/>
      <c r="G9" s="53"/>
      <c r="H9" s="261"/>
      <c r="I9" s="261"/>
      <c r="J9" s="261"/>
      <c r="K9" s="261"/>
      <c r="L9" s="261"/>
      <c r="M9" s="53"/>
      <c r="N9" s="261"/>
      <c r="O9" s="261"/>
      <c r="P9" s="261"/>
      <c r="Q9" s="261"/>
      <c r="R9" s="261"/>
      <c r="S9" s="53"/>
      <c r="T9" s="261"/>
      <c r="U9" s="261"/>
      <c r="V9" s="261"/>
      <c r="W9" s="261"/>
      <c r="X9" s="261"/>
      <c r="Y9" s="53"/>
      <c r="Z9" s="261"/>
      <c r="AA9" s="261"/>
      <c r="AB9" s="261"/>
      <c r="AC9" s="261"/>
      <c r="AD9" s="261"/>
    </row>
    <row r="10" spans="2:30" ht="6" customHeight="1">
      <c r="B10" s="261"/>
      <c r="C10" s="261"/>
      <c r="D10" s="261"/>
      <c r="E10" s="261"/>
      <c r="F10" s="261"/>
      <c r="G10" s="53"/>
      <c r="H10" s="261"/>
      <c r="I10" s="261"/>
      <c r="J10" s="261"/>
      <c r="K10" s="261"/>
      <c r="L10" s="261"/>
      <c r="M10" s="53"/>
      <c r="N10" s="261"/>
      <c r="O10" s="261"/>
      <c r="P10" s="261"/>
      <c r="Q10" s="261"/>
      <c r="R10" s="261"/>
      <c r="S10" s="53"/>
      <c r="T10" s="261"/>
      <c r="U10" s="261"/>
      <c r="V10" s="261"/>
      <c r="W10" s="261"/>
      <c r="X10" s="261"/>
      <c r="Y10" s="53"/>
      <c r="Z10" s="261"/>
      <c r="AA10" s="261"/>
      <c r="AB10" s="261"/>
      <c r="AC10" s="261"/>
      <c r="AD10" s="261"/>
    </row>
    <row r="11" spans="2:30" ht="1.5" hidden="1" customHeight="1" thickTop="1" thickBot="1"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spans="2:30" ht="8.25" hidden="1" customHeight="1" thickTop="1" thickBot="1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2:30" ht="3" hidden="1" customHeight="1" thickTop="1" thickBot="1"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2:30" ht="15" customHeight="1">
      <c r="B14" s="260" t="s">
        <v>63</v>
      </c>
      <c r="C14" s="260"/>
      <c r="D14" s="260"/>
      <c r="E14" s="260"/>
      <c r="F14" s="260"/>
      <c r="G14" s="53"/>
      <c r="H14" s="260" t="s">
        <v>368</v>
      </c>
      <c r="I14" s="260"/>
      <c r="J14" s="260"/>
      <c r="K14" s="260"/>
      <c r="L14" s="260"/>
      <c r="M14" s="53"/>
      <c r="N14" s="260" t="s">
        <v>98</v>
      </c>
      <c r="O14" s="260"/>
      <c r="P14" s="260"/>
      <c r="Q14" s="260"/>
      <c r="R14" s="260"/>
      <c r="S14" s="53"/>
      <c r="T14" s="260" t="s">
        <v>406</v>
      </c>
      <c r="U14" s="260"/>
      <c r="V14" s="260"/>
      <c r="W14" s="260"/>
      <c r="X14" s="260"/>
      <c r="Y14" s="53"/>
      <c r="Z14" s="260" t="s">
        <v>88</v>
      </c>
      <c r="AA14" s="260"/>
      <c r="AB14" s="260"/>
      <c r="AC14" s="260"/>
      <c r="AD14" s="260"/>
    </row>
    <row r="15" spans="2:30" ht="1.5" customHeight="1">
      <c r="B15" s="260"/>
      <c r="C15" s="260"/>
      <c r="D15" s="260"/>
      <c r="E15" s="260"/>
      <c r="F15" s="260"/>
      <c r="G15" s="53"/>
      <c r="H15" s="260"/>
      <c r="I15" s="260"/>
      <c r="J15" s="260"/>
      <c r="K15" s="260"/>
      <c r="L15" s="260"/>
      <c r="M15" s="53"/>
      <c r="N15" s="260"/>
      <c r="O15" s="260"/>
      <c r="P15" s="260"/>
      <c r="Q15" s="260"/>
      <c r="R15" s="260"/>
      <c r="S15" s="53"/>
      <c r="T15" s="260"/>
      <c r="U15" s="260"/>
      <c r="V15" s="260"/>
      <c r="W15" s="260"/>
      <c r="X15" s="260"/>
      <c r="Y15" s="53"/>
      <c r="Z15" s="260"/>
      <c r="AA15" s="260"/>
      <c r="AB15" s="260"/>
      <c r="AC15" s="260"/>
      <c r="AD15" s="260"/>
    </row>
    <row r="16" spans="2:30" ht="15.75" hidden="1" customHeight="1">
      <c r="B16" s="260"/>
      <c r="C16" s="260"/>
      <c r="D16" s="260"/>
      <c r="E16" s="260"/>
      <c r="F16" s="260"/>
      <c r="G16" s="53"/>
      <c r="H16" s="260"/>
      <c r="I16" s="260"/>
      <c r="J16" s="260"/>
      <c r="K16" s="260"/>
      <c r="L16" s="260"/>
      <c r="M16" s="53"/>
      <c r="N16" s="260"/>
      <c r="O16" s="260"/>
      <c r="P16" s="260"/>
      <c r="Q16" s="260"/>
      <c r="R16" s="260"/>
      <c r="S16" s="53"/>
      <c r="T16" s="260"/>
      <c r="U16" s="260"/>
      <c r="V16" s="260"/>
      <c r="W16" s="260"/>
      <c r="X16" s="260"/>
      <c r="Y16" s="53"/>
      <c r="Z16" s="260"/>
      <c r="AA16" s="260"/>
      <c r="AB16" s="260"/>
      <c r="AC16" s="260"/>
      <c r="AD16" s="260"/>
    </row>
    <row r="17" spans="2:30" ht="3.75" hidden="1" customHeight="1" thickTop="1" thickBot="1"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spans="2:30">
      <c r="B18" s="261" t="str">
        <f>IFERROR(INDEX(Inventari_2[],MATCH(B14,Inventari_2[DESCRIPCION],0),10),"")</f>
        <v>*ESCP'015*</v>
      </c>
      <c r="C18" s="261"/>
      <c r="D18" s="261"/>
      <c r="E18" s="261"/>
      <c r="F18" s="261"/>
      <c r="G18" s="53"/>
      <c r="H18" s="261" t="str">
        <f>IFERROR(INDEX(Inventari_2[],MATCH(H14,Inventari_2[DESCRIPCION],0),10),"")</f>
        <v>*LONC'004*</v>
      </c>
      <c r="I18" s="261"/>
      <c r="J18" s="261"/>
      <c r="K18" s="261"/>
      <c r="L18" s="261"/>
      <c r="M18" s="53"/>
      <c r="N18" s="261" t="str">
        <f>IFERROR(INDEX(Inventari_2[],MATCH(N14,Inventari_2[DESCRIPCION],0),10),"")</f>
        <v/>
      </c>
      <c r="O18" s="261"/>
      <c r="P18" s="261"/>
      <c r="Q18" s="261"/>
      <c r="R18" s="261"/>
      <c r="S18" s="53"/>
      <c r="T18" s="261" t="str">
        <f>IFERROR(INDEX(Inventari_2[],MATCH(T14,Inventari_2[DESCRIPCION],0),10),"")</f>
        <v>*6971288310157*</v>
      </c>
      <c r="U18" s="261"/>
      <c r="V18" s="261"/>
      <c r="W18" s="261"/>
      <c r="X18" s="261"/>
      <c r="Y18" s="53"/>
      <c r="Z18" s="261" t="str">
        <f>IFERROR(INDEX(Inventari_2[],MATCH(Z14,Inventari_2[DESCRIPCION],0),10),"")</f>
        <v/>
      </c>
      <c r="AA18" s="261"/>
      <c r="AB18" s="261"/>
      <c r="AC18" s="261"/>
      <c r="AD18" s="261"/>
    </row>
    <row r="19" spans="2:30" ht="24.75" customHeight="1">
      <c r="B19" s="261"/>
      <c r="C19" s="261"/>
      <c r="D19" s="261"/>
      <c r="E19" s="261"/>
      <c r="F19" s="261"/>
      <c r="G19" s="53"/>
      <c r="H19" s="261"/>
      <c r="I19" s="261"/>
      <c r="J19" s="261"/>
      <c r="K19" s="261"/>
      <c r="L19" s="261"/>
      <c r="M19" s="53"/>
      <c r="N19" s="261"/>
      <c r="O19" s="261"/>
      <c r="P19" s="261"/>
      <c r="Q19" s="261"/>
      <c r="R19" s="261"/>
      <c r="S19" s="53"/>
      <c r="T19" s="261"/>
      <c r="U19" s="261"/>
      <c r="V19" s="261"/>
      <c r="W19" s="261"/>
      <c r="X19" s="261"/>
      <c r="Y19" s="53"/>
      <c r="Z19" s="261"/>
      <c r="AA19" s="261"/>
      <c r="AB19" s="261"/>
      <c r="AC19" s="261"/>
      <c r="AD19" s="261"/>
    </row>
    <row r="20" spans="2:30" ht="15.75" hidden="1" customHeight="1">
      <c r="B20" s="261"/>
      <c r="C20" s="261"/>
      <c r="D20" s="261"/>
      <c r="E20" s="261"/>
      <c r="F20" s="261"/>
      <c r="G20" s="53"/>
      <c r="H20" s="261"/>
      <c r="I20" s="261"/>
      <c r="J20" s="261"/>
      <c r="K20" s="261"/>
      <c r="L20" s="261"/>
      <c r="M20" s="53"/>
      <c r="N20" s="261"/>
      <c r="O20" s="261"/>
      <c r="P20" s="261"/>
      <c r="Q20" s="261"/>
      <c r="R20" s="261"/>
      <c r="S20" s="53"/>
      <c r="T20" s="261"/>
      <c r="U20" s="261"/>
      <c r="V20" s="261"/>
      <c r="W20" s="261"/>
      <c r="X20" s="261"/>
      <c r="Y20" s="53"/>
      <c r="Z20" s="261"/>
      <c r="AA20" s="261"/>
      <c r="AB20" s="261"/>
      <c r="AC20" s="261"/>
      <c r="AD20" s="261"/>
    </row>
    <row r="21" spans="2:30" ht="15.75" hidden="1" customHeight="1">
      <c r="B21" s="261"/>
      <c r="C21" s="261"/>
      <c r="D21" s="261"/>
      <c r="E21" s="261"/>
      <c r="F21" s="261"/>
      <c r="G21" s="53"/>
      <c r="H21" s="261"/>
      <c r="I21" s="261"/>
      <c r="J21" s="261"/>
      <c r="K21" s="261"/>
      <c r="L21" s="261"/>
      <c r="M21" s="53"/>
      <c r="N21" s="261"/>
      <c r="O21" s="261"/>
      <c r="P21" s="261"/>
      <c r="Q21" s="261"/>
      <c r="R21" s="261"/>
      <c r="S21" s="53"/>
      <c r="T21" s="261"/>
      <c r="U21" s="261"/>
      <c r="V21" s="261"/>
      <c r="W21" s="261"/>
      <c r="X21" s="261"/>
      <c r="Y21" s="53"/>
      <c r="Z21" s="261"/>
      <c r="AA21" s="261"/>
      <c r="AB21" s="261"/>
      <c r="AC21" s="261"/>
      <c r="AD21" s="261"/>
    </row>
    <row r="22" spans="2:30" ht="0.75" customHeight="1"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spans="2:30" ht="11.25" hidden="1" customHeight="1" thickTop="1" thickBot="1"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spans="2:30" ht="15.75" hidden="1" customHeight="1"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spans="2:30" ht="0.75" hidden="1" customHeight="1" thickTop="1" thickBot="1"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spans="2:30" ht="15" customHeight="1">
      <c r="B26" s="260" t="s">
        <v>237</v>
      </c>
      <c r="C26" s="260"/>
      <c r="D26" s="260"/>
      <c r="E26" s="260"/>
      <c r="F26" s="260"/>
      <c r="G26" s="53"/>
      <c r="H26" s="260" t="s">
        <v>490</v>
      </c>
      <c r="I26" s="260"/>
      <c r="J26" s="260"/>
      <c r="K26" s="260"/>
      <c r="L26" s="260"/>
      <c r="M26" s="53"/>
      <c r="N26" s="260" t="s">
        <v>584</v>
      </c>
      <c r="O26" s="260"/>
      <c r="P26" s="260"/>
      <c r="Q26" s="260"/>
      <c r="R26" s="260"/>
      <c r="S26" s="53"/>
      <c r="T26" s="260" t="s">
        <v>464</v>
      </c>
      <c r="U26" s="260"/>
      <c r="V26" s="260"/>
      <c r="W26" s="260"/>
      <c r="X26" s="260"/>
      <c r="Y26" s="53"/>
      <c r="Z26" s="260" t="s">
        <v>90</v>
      </c>
      <c r="AA26" s="260"/>
      <c r="AB26" s="260"/>
      <c r="AC26" s="260"/>
      <c r="AD26" s="260"/>
    </row>
    <row r="27" spans="2:30" ht="15.75" hidden="1" customHeight="1">
      <c r="B27" s="260"/>
      <c r="C27" s="260"/>
      <c r="D27" s="260"/>
      <c r="E27" s="260"/>
      <c r="F27" s="260"/>
      <c r="G27" s="53"/>
      <c r="H27" s="260"/>
      <c r="I27" s="260"/>
      <c r="J27" s="260"/>
      <c r="K27" s="260"/>
      <c r="L27" s="260"/>
      <c r="M27" s="53"/>
      <c r="N27" s="260"/>
      <c r="O27" s="260"/>
      <c r="P27" s="260"/>
      <c r="Q27" s="260"/>
      <c r="R27" s="260"/>
      <c r="S27" s="53"/>
      <c r="T27" s="260"/>
      <c r="U27" s="260"/>
      <c r="V27" s="260"/>
      <c r="W27" s="260"/>
      <c r="X27" s="260"/>
      <c r="Y27" s="53"/>
      <c r="Z27" s="260"/>
      <c r="AA27" s="260"/>
      <c r="AB27" s="260"/>
      <c r="AC27" s="260"/>
      <c r="AD27" s="260"/>
    </row>
    <row r="28" spans="2:30" ht="15.75" hidden="1" customHeight="1">
      <c r="B28" s="260"/>
      <c r="C28" s="260"/>
      <c r="D28" s="260"/>
      <c r="E28" s="260"/>
      <c r="F28" s="260"/>
      <c r="G28" s="53"/>
      <c r="H28" s="260"/>
      <c r="I28" s="260"/>
      <c r="J28" s="260"/>
      <c r="K28" s="260"/>
      <c r="L28" s="260"/>
      <c r="M28" s="53"/>
      <c r="N28" s="260"/>
      <c r="O28" s="260"/>
      <c r="P28" s="260"/>
      <c r="Q28" s="260"/>
      <c r="R28" s="260"/>
      <c r="S28" s="53"/>
      <c r="T28" s="260"/>
      <c r="U28" s="260"/>
      <c r="V28" s="260"/>
      <c r="W28" s="260"/>
      <c r="X28" s="260"/>
      <c r="Y28" s="53"/>
      <c r="Z28" s="260"/>
      <c r="AA28" s="260"/>
      <c r="AB28" s="260"/>
      <c r="AC28" s="260"/>
      <c r="AD28" s="260"/>
    </row>
    <row r="29" spans="2:30" ht="2.25" hidden="1" customHeight="1" thickTop="1" thickBot="1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spans="2:30">
      <c r="B30" s="261" t="str">
        <f>IFERROR(INDEX(Inventari_2[],MATCH(B26,Inventari_2[DESCRIPCION],0),10),"")</f>
        <v/>
      </c>
      <c r="C30" s="261"/>
      <c r="D30" s="261"/>
      <c r="E30" s="261"/>
      <c r="F30" s="261"/>
      <c r="G30" s="53"/>
      <c r="H30" s="261" t="str">
        <f>IFERROR(INDEX(Inventari_2[],MATCH(H26,Inventari_2[DESCRIPCION],0),10),"")</f>
        <v/>
      </c>
      <c r="I30" s="261"/>
      <c r="J30" s="261"/>
      <c r="K30" s="261"/>
      <c r="L30" s="261"/>
      <c r="M30" s="53"/>
      <c r="N30" s="261" t="str">
        <f>IFERROR(INDEX(Inventari_2[],MATCH(N26,Inventari_2[DESCRIPCION],0),10),"")</f>
        <v>*SOMB-001*</v>
      </c>
      <c r="O30" s="261"/>
      <c r="P30" s="261"/>
      <c r="Q30" s="261"/>
      <c r="R30" s="261"/>
      <c r="S30" s="53"/>
      <c r="T30" s="261" t="str">
        <f>IFERROR(INDEX(Inventari_2[],MATCH(T26,Inventari_2[DESCRIPCION],0),10),"")</f>
        <v>*6920556405002*</v>
      </c>
      <c r="U30" s="261"/>
      <c r="V30" s="261"/>
      <c r="W30" s="261"/>
      <c r="X30" s="261"/>
      <c r="Y30" s="53"/>
      <c r="Z30" s="261" t="str">
        <f>IFERROR(INDEX(Inventari_2[],MATCH(Z26,Inventari_2[DESCRIPCION],0),10),"")</f>
        <v>*BOLS'003*</v>
      </c>
      <c r="AA30" s="261"/>
      <c r="AB30" s="261"/>
      <c r="AC30" s="261"/>
      <c r="AD30" s="261"/>
    </row>
    <row r="31" spans="2:30" ht="1.5" customHeight="1">
      <c r="B31" s="261"/>
      <c r="C31" s="261"/>
      <c r="D31" s="261"/>
      <c r="E31" s="261"/>
      <c r="F31" s="261"/>
      <c r="G31" s="53"/>
      <c r="H31" s="261"/>
      <c r="I31" s="261"/>
      <c r="J31" s="261"/>
      <c r="K31" s="261"/>
      <c r="L31" s="261"/>
      <c r="M31" s="53"/>
      <c r="N31" s="261"/>
      <c r="O31" s="261"/>
      <c r="P31" s="261"/>
      <c r="Q31" s="261"/>
      <c r="R31" s="261"/>
      <c r="S31" s="53"/>
      <c r="T31" s="261"/>
      <c r="U31" s="261"/>
      <c r="V31" s="261"/>
      <c r="W31" s="261"/>
      <c r="X31" s="261"/>
      <c r="Y31" s="53"/>
      <c r="Z31" s="261"/>
      <c r="AA31" s="261"/>
      <c r="AB31" s="261"/>
      <c r="AC31" s="261"/>
      <c r="AD31" s="261"/>
    </row>
    <row r="32" spans="2:30" ht="6" customHeight="1">
      <c r="B32" s="261"/>
      <c r="C32" s="261"/>
      <c r="D32" s="261"/>
      <c r="E32" s="261"/>
      <c r="F32" s="261"/>
      <c r="G32" s="53"/>
      <c r="H32" s="261"/>
      <c r="I32" s="261"/>
      <c r="J32" s="261"/>
      <c r="K32" s="261"/>
      <c r="L32" s="261"/>
      <c r="M32" s="53"/>
      <c r="N32" s="261"/>
      <c r="O32" s="261"/>
      <c r="P32" s="261"/>
      <c r="Q32" s="261"/>
      <c r="R32" s="261"/>
      <c r="S32" s="53"/>
      <c r="T32" s="261"/>
      <c r="U32" s="261"/>
      <c r="V32" s="261"/>
      <c r="W32" s="261"/>
      <c r="X32" s="261"/>
      <c r="Y32" s="53"/>
      <c r="Z32" s="261"/>
      <c r="AA32" s="261"/>
      <c r="AB32" s="261"/>
      <c r="AC32" s="261"/>
      <c r="AD32" s="261"/>
    </row>
    <row r="33" spans="2:30" ht="14.25" customHeight="1">
      <c r="B33" s="261"/>
      <c r="C33" s="261"/>
      <c r="D33" s="261"/>
      <c r="E33" s="261"/>
      <c r="F33" s="261"/>
      <c r="G33" s="53"/>
      <c r="H33" s="261"/>
      <c r="I33" s="261"/>
      <c r="J33" s="261"/>
      <c r="K33" s="261"/>
      <c r="L33" s="261"/>
      <c r="M33" s="53"/>
      <c r="N33" s="261"/>
      <c r="O33" s="261"/>
      <c r="P33" s="261"/>
      <c r="Q33" s="261"/>
      <c r="R33" s="261"/>
      <c r="S33" s="53"/>
      <c r="T33" s="261"/>
      <c r="U33" s="261"/>
      <c r="V33" s="261"/>
      <c r="W33" s="261"/>
      <c r="X33" s="261"/>
      <c r="Y33" s="53"/>
      <c r="Z33" s="261"/>
      <c r="AA33" s="261"/>
      <c r="AB33" s="261"/>
      <c r="AC33" s="261"/>
      <c r="AD33" s="261"/>
    </row>
    <row r="34" spans="2:30" ht="5.25" hidden="1" customHeight="1" thickTop="1" thickBot="1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2:30" ht="9" hidden="1" customHeight="1" thickTop="1" thickBot="1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spans="2:30" ht="0.75" customHeight="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spans="2:30" ht="15" customHeight="1">
      <c r="B37" s="260" t="s">
        <v>357</v>
      </c>
      <c r="C37" s="260"/>
      <c r="D37" s="260"/>
      <c r="E37" s="260"/>
      <c r="F37" s="260"/>
      <c r="G37" s="53"/>
      <c r="H37" s="260" t="s">
        <v>470</v>
      </c>
      <c r="I37" s="260"/>
      <c r="J37" s="260"/>
      <c r="K37" s="260"/>
      <c r="L37" s="260"/>
      <c r="M37" s="53"/>
      <c r="N37" s="260" t="s">
        <v>197</v>
      </c>
      <c r="O37" s="260"/>
      <c r="P37" s="260"/>
      <c r="Q37" s="260"/>
      <c r="R37" s="260"/>
      <c r="S37" s="53"/>
      <c r="T37" s="260" t="s">
        <v>450</v>
      </c>
      <c r="U37" s="260"/>
      <c r="V37" s="260"/>
      <c r="W37" s="260"/>
      <c r="X37" s="260"/>
      <c r="Y37" s="53"/>
      <c r="Z37" s="260" t="s">
        <v>372</v>
      </c>
      <c r="AA37" s="260"/>
      <c r="AB37" s="260"/>
      <c r="AC37" s="260"/>
      <c r="AD37" s="260"/>
    </row>
    <row r="38" spans="2:30" ht="15.75" hidden="1" customHeight="1">
      <c r="B38" s="260"/>
      <c r="C38" s="260"/>
      <c r="D38" s="260"/>
      <c r="E38" s="260"/>
      <c r="F38" s="260"/>
      <c r="G38" s="53"/>
      <c r="H38" s="260"/>
      <c r="I38" s="260"/>
      <c r="J38" s="260"/>
      <c r="K38" s="260"/>
      <c r="L38" s="260"/>
      <c r="M38" s="53"/>
      <c r="N38" s="260"/>
      <c r="O38" s="260"/>
      <c r="P38" s="260"/>
      <c r="Q38" s="260"/>
      <c r="R38" s="260"/>
      <c r="S38" s="53"/>
      <c r="T38" s="260"/>
      <c r="U38" s="260"/>
      <c r="V38" s="260"/>
      <c r="W38" s="260"/>
      <c r="X38" s="260"/>
      <c r="Y38" s="53"/>
      <c r="Z38" s="260"/>
      <c r="AA38" s="260"/>
      <c r="AB38" s="260"/>
      <c r="AC38" s="260"/>
      <c r="AD38" s="260"/>
    </row>
    <row r="39" spans="2:30" ht="3" customHeight="1">
      <c r="B39" s="260"/>
      <c r="C39" s="260"/>
      <c r="D39" s="260"/>
      <c r="E39" s="260"/>
      <c r="F39" s="260"/>
      <c r="G39" s="53"/>
      <c r="H39" s="260"/>
      <c r="I39" s="260"/>
      <c r="J39" s="260"/>
      <c r="K39" s="260"/>
      <c r="L39" s="260"/>
      <c r="M39" s="53"/>
      <c r="N39" s="260"/>
      <c r="O39" s="260"/>
      <c r="P39" s="260"/>
      <c r="Q39" s="260"/>
      <c r="R39" s="260"/>
      <c r="S39" s="53"/>
      <c r="T39" s="260"/>
      <c r="U39" s="260"/>
      <c r="V39" s="260"/>
      <c r="W39" s="260"/>
      <c r="X39" s="260"/>
      <c r="Y39" s="53"/>
      <c r="Z39" s="260"/>
      <c r="AA39" s="260"/>
      <c r="AB39" s="260"/>
      <c r="AC39" s="260"/>
      <c r="AD39" s="260"/>
    </row>
    <row r="40" spans="2:30" ht="0.75" customHeight="1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2:30">
      <c r="B41" s="261" t="str">
        <f>IFERROR(INDEX(Inventari_2[],MATCH(B37,Inventari_2[DESCRIPCION],0),10),"")</f>
        <v>*LLAV-004*</v>
      </c>
      <c r="C41" s="261"/>
      <c r="D41" s="261"/>
      <c r="E41" s="261"/>
      <c r="F41" s="261"/>
      <c r="G41" s="53"/>
      <c r="H41" s="261" t="str">
        <f>IFERROR(INDEX(Inventari_2[],MATCH(H37,Inventari_2[DESCRIPCION],0),10),"")</f>
        <v>*POPS-001*</v>
      </c>
      <c r="I41" s="261"/>
      <c r="J41" s="261"/>
      <c r="K41" s="261"/>
      <c r="L41" s="261"/>
      <c r="M41" s="53"/>
      <c r="N41" s="261" t="str">
        <f>IFERROR(INDEX(Inventari_2[],MATCH(N37,Inventari_2[DESCRIPCION],0),10),"")</f>
        <v>*VAR1-001100*</v>
      </c>
      <c r="O41" s="261"/>
      <c r="P41" s="261"/>
      <c r="Q41" s="261"/>
      <c r="R41" s="261"/>
      <c r="S41" s="53"/>
      <c r="T41" s="261" t="str">
        <f>IFERROR(INDEX(Inventari_2[],MATCH(T37,Inventari_2[DESCRIPCION],0),10),"")</f>
        <v/>
      </c>
      <c r="U41" s="261"/>
      <c r="V41" s="261"/>
      <c r="W41" s="261"/>
      <c r="X41" s="261"/>
      <c r="Y41" s="53"/>
      <c r="Z41" s="261" t="str">
        <f>IFERROR(INDEX(Inventari_2[],MATCH(Z37,Inventari_2[DESCRIPCION],0),10),"")</f>
        <v>*LONC-004*</v>
      </c>
      <c r="AA41" s="261"/>
      <c r="AB41" s="261"/>
      <c r="AC41" s="261"/>
      <c r="AD41" s="261"/>
    </row>
    <row r="42" spans="2:30" ht="10.5" customHeight="1">
      <c r="B42" s="261"/>
      <c r="C42" s="261"/>
      <c r="D42" s="261"/>
      <c r="E42" s="261"/>
      <c r="F42" s="261"/>
      <c r="G42" s="53"/>
      <c r="H42" s="261"/>
      <c r="I42" s="261"/>
      <c r="J42" s="261"/>
      <c r="K42" s="261"/>
      <c r="L42" s="261"/>
      <c r="M42" s="53"/>
      <c r="N42" s="261"/>
      <c r="O42" s="261"/>
      <c r="P42" s="261"/>
      <c r="Q42" s="261"/>
      <c r="R42" s="261"/>
      <c r="S42" s="53"/>
      <c r="T42" s="261"/>
      <c r="U42" s="261"/>
      <c r="V42" s="261"/>
      <c r="W42" s="261"/>
      <c r="X42" s="261"/>
      <c r="Y42" s="53"/>
      <c r="Z42" s="261"/>
      <c r="AA42" s="261"/>
      <c r="AB42" s="261"/>
      <c r="AC42" s="261"/>
      <c r="AD42" s="261"/>
    </row>
    <row r="43" spans="2:30" ht="15.75" hidden="1" customHeight="1">
      <c r="B43" s="261"/>
      <c r="C43" s="261"/>
      <c r="D43" s="261"/>
      <c r="E43" s="261"/>
      <c r="F43" s="261"/>
      <c r="G43" s="53"/>
      <c r="H43" s="261"/>
      <c r="I43" s="261"/>
      <c r="J43" s="261"/>
      <c r="K43" s="261"/>
      <c r="L43" s="261"/>
      <c r="M43" s="53"/>
      <c r="N43" s="261"/>
      <c r="O43" s="261"/>
      <c r="P43" s="261"/>
      <c r="Q43" s="261"/>
      <c r="R43" s="261"/>
      <c r="S43" s="53"/>
      <c r="T43" s="261"/>
      <c r="U43" s="261"/>
      <c r="V43" s="261"/>
      <c r="W43" s="261"/>
      <c r="X43" s="261"/>
      <c r="Y43" s="53"/>
      <c r="Z43" s="261"/>
      <c r="AA43" s="261"/>
      <c r="AB43" s="261"/>
      <c r="AC43" s="261"/>
      <c r="AD43" s="261"/>
    </row>
    <row r="44" spans="2:30" ht="11.25" customHeight="1">
      <c r="B44" s="261"/>
      <c r="C44" s="261"/>
      <c r="D44" s="261"/>
      <c r="E44" s="261"/>
      <c r="F44" s="261"/>
      <c r="G44" s="53"/>
      <c r="H44" s="261"/>
      <c r="I44" s="261"/>
      <c r="J44" s="261"/>
      <c r="K44" s="261"/>
      <c r="L44" s="261"/>
      <c r="M44" s="53"/>
      <c r="N44" s="261"/>
      <c r="O44" s="261"/>
      <c r="P44" s="261"/>
      <c r="Q44" s="261"/>
      <c r="R44" s="261"/>
      <c r="S44" s="53"/>
      <c r="T44" s="261"/>
      <c r="U44" s="261"/>
      <c r="V44" s="261"/>
      <c r="W44" s="261"/>
      <c r="X44" s="261"/>
      <c r="Y44" s="53"/>
      <c r="Z44" s="261"/>
      <c r="AA44" s="261"/>
      <c r="AB44" s="261"/>
      <c r="AC44" s="261"/>
      <c r="AD44" s="261"/>
    </row>
    <row r="45" spans="2:30" ht="1.5" hidden="1" customHeight="1" thickTop="1" thickBot="1"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2:30" ht="9" hidden="1" customHeight="1" thickTop="1" thickBot="1"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2:30" ht="6" hidden="1" customHeight="1" thickTop="1" thickBot="1"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2:30" ht="13.5" customHeight="1">
      <c r="B48" s="260" t="s">
        <v>197</v>
      </c>
      <c r="C48" s="260"/>
      <c r="D48" s="260"/>
      <c r="E48" s="260"/>
      <c r="F48" s="260"/>
      <c r="G48" s="53"/>
      <c r="H48" s="260" t="s">
        <v>111</v>
      </c>
      <c r="I48" s="260"/>
      <c r="J48" s="260"/>
      <c r="K48" s="260"/>
      <c r="L48" s="260"/>
      <c r="M48" s="53"/>
      <c r="N48" s="260" t="s">
        <v>391</v>
      </c>
      <c r="O48" s="260"/>
      <c r="P48" s="260"/>
      <c r="Q48" s="260"/>
      <c r="R48" s="260"/>
      <c r="S48" s="53"/>
      <c r="T48" s="262" t="s">
        <v>265</v>
      </c>
      <c r="U48" s="262"/>
      <c r="V48" s="262"/>
      <c r="W48" s="262"/>
      <c r="X48" s="262"/>
      <c r="Y48" s="53"/>
      <c r="Z48" s="260" t="s">
        <v>831</v>
      </c>
      <c r="AA48" s="260"/>
      <c r="AB48" s="260"/>
      <c r="AC48" s="260"/>
      <c r="AD48" s="260"/>
    </row>
    <row r="49" spans="2:30" ht="15.75" hidden="1" customHeight="1">
      <c r="B49" s="260"/>
      <c r="C49" s="260"/>
      <c r="D49" s="260"/>
      <c r="E49" s="260"/>
      <c r="F49" s="260"/>
      <c r="G49" s="53"/>
      <c r="H49" s="260"/>
      <c r="I49" s="260"/>
      <c r="J49" s="260"/>
      <c r="K49" s="260"/>
      <c r="L49" s="260"/>
      <c r="M49" s="53"/>
      <c r="N49" s="260"/>
      <c r="O49" s="260"/>
      <c r="P49" s="260"/>
      <c r="Q49" s="260"/>
      <c r="R49" s="260"/>
      <c r="S49" s="53"/>
      <c r="T49" s="262"/>
      <c r="U49" s="262"/>
      <c r="V49" s="262"/>
      <c r="W49" s="262"/>
      <c r="X49" s="262"/>
      <c r="Y49" s="53"/>
      <c r="Z49" s="260"/>
      <c r="AA49" s="260"/>
      <c r="AB49" s="260"/>
      <c r="AC49" s="260"/>
      <c r="AD49" s="260"/>
    </row>
    <row r="50" spans="2:30" ht="0.75" customHeight="1">
      <c r="B50" s="260"/>
      <c r="C50" s="260"/>
      <c r="D50" s="260"/>
      <c r="E50" s="260"/>
      <c r="F50" s="260"/>
      <c r="G50" s="53"/>
      <c r="H50" s="260"/>
      <c r="I50" s="260"/>
      <c r="J50" s="260"/>
      <c r="K50" s="260"/>
      <c r="L50" s="260"/>
      <c r="M50" s="53"/>
      <c r="N50" s="260"/>
      <c r="O50" s="260"/>
      <c r="P50" s="260"/>
      <c r="Q50" s="260"/>
      <c r="R50" s="260"/>
      <c r="S50" s="53"/>
      <c r="T50" s="262"/>
      <c r="U50" s="262"/>
      <c r="V50" s="262"/>
      <c r="W50" s="262"/>
      <c r="X50" s="262"/>
      <c r="Y50" s="53"/>
      <c r="Z50" s="260"/>
      <c r="AA50" s="260"/>
      <c r="AB50" s="260"/>
      <c r="AC50" s="260"/>
      <c r="AD50" s="260"/>
    </row>
    <row r="51" spans="2:30" ht="2.25" customHeight="1"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2:30">
      <c r="B52" s="261" t="str">
        <f>IFERROR(INDEX(Inventari_2[],MATCH(B48,Inventari_2[DESCRIPCION],0),10),"")</f>
        <v>*VAR1-001100*</v>
      </c>
      <c r="C52" s="261"/>
      <c r="D52" s="261"/>
      <c r="E52" s="261"/>
      <c r="F52" s="261"/>
      <c r="G52" s="53"/>
      <c r="H52" s="261" t="str">
        <f>IFERROR(INDEX(Inventari_2[],MATCH(H48,Inventari_2[DESCRIPCION],0),10),"")</f>
        <v>*BORR-00112200*</v>
      </c>
      <c r="I52" s="261"/>
      <c r="J52" s="261"/>
      <c r="K52" s="261"/>
      <c r="L52" s="261"/>
      <c r="M52" s="53"/>
      <c r="N52" s="261" t="str">
        <f>IFERROR(INDEX(Inventari_2[],MATCH(N48,Inventari_2[DESCRIPCION],0),10),"")</f>
        <v/>
      </c>
      <c r="O52" s="261"/>
      <c r="P52" s="261"/>
      <c r="Q52" s="261"/>
      <c r="R52" s="261"/>
      <c r="S52" s="53"/>
      <c r="T52" s="261" t="str">
        <f>IFERROR(INDEX(Inventari_2[],MATCH(T48,Inventari_2[DESCRIPCION],0),10),"")</f>
        <v>*VARI-007115524*</v>
      </c>
      <c r="U52" s="261"/>
      <c r="V52" s="261"/>
      <c r="W52" s="261"/>
      <c r="X52" s="261"/>
      <c r="Y52" s="53"/>
      <c r="Z52" s="261" t="str">
        <f>IFERROR(INDEX(Inventari_2[],MATCH(Z48,Inventari_2[DESCRIPCION],0),10),"")</f>
        <v/>
      </c>
      <c r="AA52" s="261"/>
      <c r="AB52" s="261"/>
      <c r="AC52" s="261"/>
      <c r="AD52" s="261"/>
    </row>
    <row r="53" spans="2:30">
      <c r="B53" s="261"/>
      <c r="C53" s="261"/>
      <c r="D53" s="261"/>
      <c r="E53" s="261"/>
      <c r="F53" s="261"/>
      <c r="G53" s="53"/>
      <c r="H53" s="261"/>
      <c r="I53" s="261"/>
      <c r="J53" s="261"/>
      <c r="K53" s="261"/>
      <c r="L53" s="261"/>
      <c r="M53" s="53"/>
      <c r="N53" s="261"/>
      <c r="O53" s="261"/>
      <c r="P53" s="261"/>
      <c r="Q53" s="261"/>
      <c r="R53" s="261"/>
      <c r="S53" s="53"/>
      <c r="T53" s="261"/>
      <c r="U53" s="261"/>
      <c r="V53" s="261"/>
      <c r="W53" s="261"/>
      <c r="X53" s="261"/>
      <c r="Y53" s="53"/>
      <c r="Z53" s="261"/>
      <c r="AA53" s="261"/>
      <c r="AB53" s="261"/>
      <c r="AC53" s="261"/>
      <c r="AD53" s="261"/>
    </row>
    <row r="54" spans="2:30" ht="6" customHeight="1">
      <c r="B54" s="261"/>
      <c r="C54" s="261"/>
      <c r="D54" s="261"/>
      <c r="E54" s="261"/>
      <c r="F54" s="261"/>
      <c r="G54" s="53"/>
      <c r="H54" s="261"/>
      <c r="I54" s="261"/>
      <c r="J54" s="261"/>
      <c r="K54" s="261"/>
      <c r="L54" s="261"/>
      <c r="M54" s="53"/>
      <c r="N54" s="261"/>
      <c r="O54" s="261"/>
      <c r="P54" s="261"/>
      <c r="Q54" s="261"/>
      <c r="R54" s="261"/>
      <c r="S54" s="53"/>
      <c r="T54" s="261"/>
      <c r="U54" s="261"/>
      <c r="V54" s="261"/>
      <c r="W54" s="261"/>
      <c r="X54" s="261"/>
      <c r="Y54" s="53"/>
      <c r="Z54" s="261"/>
      <c r="AA54" s="261"/>
      <c r="AB54" s="261"/>
      <c r="AC54" s="261"/>
      <c r="AD54" s="261"/>
    </row>
    <row r="55" spans="2:30" ht="3" customHeight="1">
      <c r="B55" s="261"/>
      <c r="C55" s="261"/>
      <c r="D55" s="261"/>
      <c r="E55" s="261"/>
      <c r="F55" s="261"/>
      <c r="G55" s="53"/>
      <c r="H55" s="261"/>
      <c r="I55" s="261"/>
      <c r="J55" s="261"/>
      <c r="K55" s="261"/>
      <c r="L55" s="261"/>
      <c r="M55" s="53"/>
      <c r="N55" s="261"/>
      <c r="O55" s="261"/>
      <c r="P55" s="261"/>
      <c r="Q55" s="261"/>
      <c r="R55" s="261"/>
      <c r="S55" s="53"/>
      <c r="T55" s="261"/>
      <c r="U55" s="261"/>
      <c r="V55" s="261"/>
      <c r="W55" s="261"/>
      <c r="X55" s="261"/>
      <c r="Y55" s="53"/>
      <c r="Z55" s="261"/>
      <c r="AA55" s="261"/>
      <c r="AB55" s="261"/>
      <c r="AC55" s="261"/>
      <c r="AD55" s="261"/>
    </row>
    <row r="56" spans="2:30" ht="0.75" customHeight="1"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2:30" ht="8.25" hidden="1" customHeight="1" thickTop="1" thickBot="1"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2:30" ht="6.75" hidden="1" customHeight="1" thickTop="1" thickBot="1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2:30">
      <c r="B59" s="260" t="s">
        <v>379</v>
      </c>
      <c r="C59" s="260"/>
      <c r="D59" s="260"/>
      <c r="E59" s="260"/>
      <c r="F59" s="260"/>
      <c r="G59" s="53"/>
      <c r="H59" s="260" t="s">
        <v>796</v>
      </c>
      <c r="I59" s="260"/>
      <c r="J59" s="260"/>
      <c r="K59" s="260"/>
      <c r="L59" s="260"/>
      <c r="M59" s="53"/>
      <c r="N59" s="260" t="s">
        <v>495</v>
      </c>
      <c r="O59" s="260"/>
      <c r="P59" s="260"/>
      <c r="Q59" s="260"/>
      <c r="R59" s="260"/>
      <c r="S59" s="53"/>
      <c r="T59" s="260" t="s">
        <v>437</v>
      </c>
      <c r="U59" s="260"/>
      <c r="V59" s="260"/>
      <c r="W59" s="260"/>
      <c r="X59" s="260"/>
      <c r="Y59" s="53"/>
      <c r="Z59" s="260" t="s">
        <v>502</v>
      </c>
      <c r="AA59" s="260"/>
      <c r="AB59" s="260"/>
      <c r="AC59" s="260"/>
      <c r="AD59" s="260"/>
    </row>
    <row r="60" spans="2:30" ht="5.25" customHeight="1">
      <c r="B60" s="260"/>
      <c r="C60" s="260"/>
      <c r="D60" s="260"/>
      <c r="E60" s="260"/>
      <c r="F60" s="260"/>
      <c r="G60" s="53"/>
      <c r="H60" s="260"/>
      <c r="I60" s="260"/>
      <c r="J60" s="260"/>
      <c r="K60" s="260"/>
      <c r="L60" s="260"/>
      <c r="M60" s="53"/>
      <c r="N60" s="260"/>
      <c r="O60" s="260"/>
      <c r="P60" s="260"/>
      <c r="Q60" s="260"/>
      <c r="R60" s="260"/>
      <c r="S60" s="53"/>
      <c r="T60" s="260"/>
      <c r="U60" s="260"/>
      <c r="V60" s="260"/>
      <c r="W60" s="260"/>
      <c r="X60" s="260"/>
      <c r="Y60" s="53"/>
      <c r="Z60" s="260"/>
      <c r="AA60" s="260"/>
      <c r="AB60" s="260"/>
      <c r="AC60" s="260"/>
      <c r="AD60" s="260"/>
    </row>
    <row r="61" spans="2:30" ht="15.75" hidden="1" customHeight="1">
      <c r="B61" s="260"/>
      <c r="C61" s="260"/>
      <c r="D61" s="260"/>
      <c r="E61" s="260"/>
      <c r="F61" s="260"/>
      <c r="G61" s="53"/>
      <c r="H61" s="260"/>
      <c r="I61" s="260"/>
      <c r="J61" s="260"/>
      <c r="K61" s="260"/>
      <c r="L61" s="260"/>
      <c r="M61" s="53"/>
      <c r="N61" s="260"/>
      <c r="O61" s="260"/>
      <c r="P61" s="260"/>
      <c r="Q61" s="260"/>
      <c r="R61" s="260"/>
      <c r="S61" s="53"/>
      <c r="T61" s="260"/>
      <c r="U61" s="260"/>
      <c r="V61" s="260"/>
      <c r="W61" s="260"/>
      <c r="X61" s="260"/>
      <c r="Y61" s="53"/>
      <c r="Z61" s="260"/>
      <c r="AA61" s="260"/>
      <c r="AB61" s="260"/>
      <c r="AC61" s="260"/>
      <c r="AD61" s="260"/>
    </row>
    <row r="62" spans="2:30" ht="1.5" customHeight="1"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2:30">
      <c r="B63" s="261" t="str">
        <f>IFERROR(INDEX(Inventari_2[],MATCH(B59,Inventari_2[DESCRIPCION],0),10),"")</f>
        <v>*VARI{003*</v>
      </c>
      <c r="C63" s="261"/>
      <c r="D63" s="261"/>
      <c r="E63" s="261"/>
      <c r="F63" s="261"/>
      <c r="G63" s="53"/>
      <c r="H63" s="261" t="str">
        <f>IFERROR(INDEX(Inventari_2[],MATCH(H59,Inventari_2[DESCRIPCION],0),10),"")</f>
        <v>*TEC'008*</v>
      </c>
      <c r="I63" s="261"/>
      <c r="J63" s="261"/>
      <c r="K63" s="261"/>
      <c r="L63" s="261"/>
      <c r="M63" s="53"/>
      <c r="N63" s="261" t="str">
        <f>IFERROR(INDEX(Inventari_2[],MATCH(N59,Inventari_2[DESCRIPCION],0),10),"")</f>
        <v>*ESCP'00112233*</v>
      </c>
      <c r="O63" s="261"/>
      <c r="P63" s="261"/>
      <c r="Q63" s="261"/>
      <c r="R63" s="261"/>
      <c r="S63" s="53"/>
      <c r="T63" s="261" t="str">
        <f>IFERROR(INDEX(Inventari_2[],MATCH(T59,Inventari_2[DESCRIPCION],0),10),"")</f>
        <v>*TEC{011*</v>
      </c>
      <c r="U63" s="261"/>
      <c r="V63" s="261"/>
      <c r="W63" s="261"/>
      <c r="X63" s="261"/>
      <c r="Y63" s="53"/>
      <c r="Z63" s="261" t="str">
        <f>IFERROR(INDEX(Inventari_2[],MATCH(Z59,Inventari_2[DESCRIPCION],0),10),"")</f>
        <v>*PROTC'002*</v>
      </c>
      <c r="AA63" s="261"/>
      <c r="AB63" s="261"/>
      <c r="AC63" s="261"/>
      <c r="AD63" s="261"/>
    </row>
    <row r="64" spans="2:30" ht="20.25" customHeight="1">
      <c r="B64" s="261"/>
      <c r="C64" s="261"/>
      <c r="D64" s="261"/>
      <c r="E64" s="261"/>
      <c r="F64" s="261"/>
      <c r="G64" s="53"/>
      <c r="H64" s="261"/>
      <c r="I64" s="261"/>
      <c r="J64" s="261"/>
      <c r="K64" s="261"/>
      <c r="L64" s="261"/>
      <c r="M64" s="53"/>
      <c r="N64" s="261"/>
      <c r="O64" s="261"/>
      <c r="P64" s="261"/>
      <c r="Q64" s="261"/>
      <c r="R64" s="261"/>
      <c r="S64" s="53"/>
      <c r="T64" s="261"/>
      <c r="U64" s="261"/>
      <c r="V64" s="261"/>
      <c r="W64" s="261"/>
      <c r="X64" s="261"/>
      <c r="Y64" s="53"/>
      <c r="Z64" s="261"/>
      <c r="AA64" s="261"/>
      <c r="AB64" s="261"/>
      <c r="AC64" s="261"/>
      <c r="AD64" s="261"/>
    </row>
    <row r="65" spans="2:30" ht="3" customHeight="1">
      <c r="B65" s="261"/>
      <c r="C65" s="261"/>
      <c r="D65" s="261"/>
      <c r="E65" s="261"/>
      <c r="F65" s="261"/>
      <c r="G65" s="53"/>
      <c r="H65" s="261"/>
      <c r="I65" s="261"/>
      <c r="J65" s="261"/>
      <c r="K65" s="261"/>
      <c r="L65" s="261"/>
      <c r="M65" s="53"/>
      <c r="N65" s="261"/>
      <c r="O65" s="261"/>
      <c r="P65" s="261"/>
      <c r="Q65" s="261"/>
      <c r="R65" s="261"/>
      <c r="S65" s="53"/>
      <c r="T65" s="261"/>
      <c r="U65" s="261"/>
      <c r="V65" s="261"/>
      <c r="W65" s="261"/>
      <c r="X65" s="261"/>
      <c r="Y65" s="53"/>
      <c r="Z65" s="261"/>
      <c r="AA65" s="261"/>
      <c r="AB65" s="261"/>
      <c r="AC65" s="261"/>
      <c r="AD65" s="261"/>
    </row>
    <row r="66" spans="2:30" ht="15.75" hidden="1" customHeight="1">
      <c r="B66" s="261"/>
      <c r="C66" s="261"/>
      <c r="D66" s="261"/>
      <c r="E66" s="261"/>
      <c r="F66" s="261"/>
      <c r="G66" s="53"/>
      <c r="H66" s="261"/>
      <c r="I66" s="261"/>
      <c r="J66" s="261"/>
      <c r="K66" s="261"/>
      <c r="L66" s="261"/>
      <c r="M66" s="53"/>
      <c r="N66" s="261"/>
      <c r="O66" s="261"/>
      <c r="P66" s="261"/>
      <c r="Q66" s="261"/>
      <c r="R66" s="261"/>
      <c r="S66" s="53"/>
      <c r="T66" s="261"/>
      <c r="U66" s="261"/>
      <c r="V66" s="261"/>
      <c r="W66" s="261"/>
      <c r="X66" s="261"/>
      <c r="Y66" s="53"/>
      <c r="Z66" s="261"/>
      <c r="AA66" s="261"/>
      <c r="AB66" s="261"/>
      <c r="AC66" s="261"/>
      <c r="AD66" s="261"/>
    </row>
    <row r="67" spans="2:30" ht="3.75" hidden="1" customHeight="1" thickTop="1" thickBot="1"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2:30" ht="6.75" hidden="1" customHeight="1" thickTop="1" thickBot="1"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2:30" ht="6.75" hidden="1" customHeight="1" thickTop="1" thickBot="1"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2:30">
      <c r="B70" s="260" t="s">
        <v>55</v>
      </c>
      <c r="C70" s="260"/>
      <c r="D70" s="260"/>
      <c r="E70" s="260"/>
      <c r="F70" s="260"/>
      <c r="G70" s="53"/>
      <c r="H70" s="260" t="s">
        <v>485</v>
      </c>
      <c r="I70" s="260"/>
      <c r="J70" s="260"/>
      <c r="K70" s="260"/>
      <c r="L70" s="260"/>
      <c r="M70" s="53"/>
      <c r="N70" s="260" t="s">
        <v>632</v>
      </c>
      <c r="O70" s="260"/>
      <c r="P70" s="260"/>
      <c r="Q70" s="260"/>
      <c r="R70" s="260"/>
      <c r="S70" s="53"/>
      <c r="T70" s="262" t="s">
        <v>562</v>
      </c>
      <c r="U70" s="262"/>
      <c r="V70" s="262"/>
      <c r="W70" s="262"/>
      <c r="X70" s="262"/>
      <c r="Y70" s="53"/>
      <c r="Z70" s="262" t="s">
        <v>612</v>
      </c>
      <c r="AA70" s="262"/>
      <c r="AB70" s="262"/>
      <c r="AC70" s="262"/>
      <c r="AD70" s="262"/>
    </row>
    <row r="71" spans="2:30" ht="0.75" customHeight="1">
      <c r="B71" s="260"/>
      <c r="C71" s="260"/>
      <c r="D71" s="260"/>
      <c r="E71" s="260"/>
      <c r="F71" s="260"/>
      <c r="G71" s="53"/>
      <c r="H71" s="260"/>
      <c r="I71" s="260"/>
      <c r="J71" s="260"/>
      <c r="K71" s="260"/>
      <c r="L71" s="260"/>
      <c r="M71" s="53"/>
      <c r="N71" s="260"/>
      <c r="O71" s="260"/>
      <c r="P71" s="260"/>
      <c r="Q71" s="260"/>
      <c r="R71" s="260"/>
      <c r="S71" s="53"/>
      <c r="T71" s="262"/>
      <c r="U71" s="262"/>
      <c r="V71" s="262"/>
      <c r="W71" s="262"/>
      <c r="X71" s="262"/>
      <c r="Y71" s="53"/>
      <c r="Z71" s="262"/>
      <c r="AA71" s="262"/>
      <c r="AB71" s="262"/>
      <c r="AC71" s="262"/>
      <c r="AD71" s="262"/>
    </row>
    <row r="72" spans="2:30" ht="15.75" hidden="1" customHeight="1">
      <c r="B72" s="260"/>
      <c r="C72" s="260"/>
      <c r="D72" s="260"/>
      <c r="E72" s="260"/>
      <c r="F72" s="260"/>
      <c r="G72" s="53"/>
      <c r="H72" s="260"/>
      <c r="I72" s="260"/>
      <c r="J72" s="260"/>
      <c r="K72" s="260"/>
      <c r="L72" s="260"/>
      <c r="M72" s="53"/>
      <c r="N72" s="260"/>
      <c r="O72" s="260"/>
      <c r="P72" s="260"/>
      <c r="Q72" s="260"/>
      <c r="R72" s="260"/>
      <c r="S72" s="53"/>
      <c r="T72" s="262"/>
      <c r="U72" s="262"/>
      <c r="V72" s="262"/>
      <c r="W72" s="262"/>
      <c r="X72" s="262"/>
      <c r="Y72" s="53"/>
      <c r="Z72" s="262"/>
      <c r="AA72" s="262"/>
      <c r="AB72" s="262"/>
      <c r="AC72" s="262"/>
      <c r="AD72" s="262"/>
    </row>
    <row r="73" spans="2:30" ht="3.75" hidden="1" customHeight="1" thickTop="1" thickBot="1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2:30">
      <c r="B74" s="261" t="str">
        <f>IFERROR(INDEX(Inventari_2[],MATCH(B70,Inventari_2[DESCRIPCION],0),10),"")</f>
        <v>*VARI-004*</v>
      </c>
      <c r="C74" s="261"/>
      <c r="D74" s="261"/>
      <c r="E74" s="261"/>
      <c r="F74" s="261"/>
      <c r="G74" s="53"/>
      <c r="H74" s="261" t="str">
        <f>IFERROR(INDEX(Inventari_2[],MATCH(H70,Inventari_2[DESCRIPCION],0),10),"")</f>
        <v>*PORT-012*</v>
      </c>
      <c r="I74" s="261"/>
      <c r="J74" s="261"/>
      <c r="K74" s="261"/>
      <c r="L74" s="261"/>
      <c r="M74" s="53"/>
      <c r="N74" s="261" t="str">
        <f>IFERROR(INDEX(Inventari_2[],MATCH(N70,Inventari_2[DESCRIPCION],0),10),"")</f>
        <v/>
      </c>
      <c r="O74" s="261"/>
      <c r="P74" s="261"/>
      <c r="Q74" s="261"/>
      <c r="R74" s="261"/>
      <c r="S74" s="53"/>
      <c r="T74" s="261" t="str">
        <f>IFERROR(INDEX(Inventari_2[],MATCH(T70,Inventari_2[DESCRIPCION],0),10),"")</f>
        <v>*TEC-007*</v>
      </c>
      <c r="U74" s="261"/>
      <c r="V74" s="261"/>
      <c r="W74" s="261"/>
      <c r="X74" s="261"/>
      <c r="Y74" s="53"/>
      <c r="Z74" s="261" t="str">
        <f>IFERROR(INDEX(Inventari_2[],MATCH(Z70,Inventari_2[DESCRIPCION],0),10),"")</f>
        <v>*TAPE'001*</v>
      </c>
      <c r="AA74" s="261"/>
      <c r="AB74" s="261"/>
      <c r="AC74" s="261"/>
      <c r="AD74" s="261"/>
    </row>
    <row r="75" spans="2:30" ht="21.75" customHeight="1">
      <c r="B75" s="261"/>
      <c r="C75" s="261"/>
      <c r="D75" s="261"/>
      <c r="E75" s="261"/>
      <c r="F75" s="261"/>
      <c r="G75" s="53"/>
      <c r="H75" s="261"/>
      <c r="I75" s="261"/>
      <c r="J75" s="261"/>
      <c r="K75" s="261"/>
      <c r="L75" s="261"/>
      <c r="M75" s="53"/>
      <c r="N75" s="261"/>
      <c r="O75" s="261"/>
      <c r="P75" s="261"/>
      <c r="Q75" s="261"/>
      <c r="R75" s="261"/>
      <c r="S75" s="53"/>
      <c r="T75" s="261"/>
      <c r="U75" s="261"/>
      <c r="V75" s="261"/>
      <c r="W75" s="261"/>
      <c r="X75" s="261"/>
      <c r="Y75" s="53"/>
      <c r="Z75" s="261"/>
      <c r="AA75" s="261"/>
      <c r="AB75" s="261"/>
      <c r="AC75" s="261"/>
      <c r="AD75" s="261"/>
    </row>
    <row r="76" spans="2:30" ht="15.75" hidden="1" customHeight="1">
      <c r="B76" s="261"/>
      <c r="C76" s="261"/>
      <c r="D76" s="261"/>
      <c r="E76" s="261"/>
      <c r="F76" s="261"/>
      <c r="G76" s="53"/>
      <c r="H76" s="261"/>
      <c r="I76" s="261"/>
      <c r="J76" s="261"/>
      <c r="K76" s="261"/>
      <c r="L76" s="261"/>
      <c r="M76" s="53"/>
      <c r="N76" s="261"/>
      <c r="O76" s="261"/>
      <c r="P76" s="261"/>
      <c r="Q76" s="261"/>
      <c r="R76" s="261"/>
      <c r="S76" s="53"/>
      <c r="T76" s="261"/>
      <c r="U76" s="261"/>
      <c r="V76" s="261"/>
      <c r="W76" s="261"/>
      <c r="X76" s="261"/>
      <c r="Y76" s="53"/>
      <c r="Z76" s="261"/>
      <c r="AA76" s="261"/>
      <c r="AB76" s="261"/>
      <c r="AC76" s="261"/>
      <c r="AD76" s="261"/>
    </row>
    <row r="77" spans="2:30" ht="15.75" hidden="1" customHeight="1">
      <c r="B77" s="261"/>
      <c r="C77" s="261"/>
      <c r="D77" s="261"/>
      <c r="E77" s="261"/>
      <c r="F77" s="261"/>
      <c r="G77" s="53"/>
      <c r="H77" s="261"/>
      <c r="I77" s="261"/>
      <c r="J77" s="261"/>
      <c r="K77" s="261"/>
      <c r="L77" s="261"/>
      <c r="M77" s="53"/>
      <c r="N77" s="261"/>
      <c r="O77" s="261"/>
      <c r="P77" s="261"/>
      <c r="Q77" s="261"/>
      <c r="R77" s="261"/>
      <c r="S77" s="53"/>
      <c r="T77" s="261"/>
      <c r="U77" s="261"/>
      <c r="V77" s="261"/>
      <c r="W77" s="261"/>
      <c r="X77" s="261"/>
      <c r="Y77" s="53"/>
      <c r="Z77" s="261"/>
      <c r="AA77" s="261"/>
      <c r="AB77" s="261"/>
      <c r="AC77" s="261"/>
      <c r="AD77" s="261"/>
    </row>
    <row r="78" spans="2:30" ht="0.75" customHeight="1"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2:30" ht="9" hidden="1" customHeight="1" thickTop="1" thickBot="1"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2:30" ht="6" hidden="1" customHeight="1" thickTop="1" thickBot="1"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2:30" ht="15" customHeight="1">
      <c r="B81" s="260" t="s">
        <v>526</v>
      </c>
      <c r="C81" s="260"/>
      <c r="D81" s="260"/>
      <c r="E81" s="260"/>
      <c r="F81" s="260"/>
      <c r="G81" s="53"/>
      <c r="H81" s="260" t="s">
        <v>329</v>
      </c>
      <c r="I81" s="260"/>
      <c r="J81" s="260"/>
      <c r="K81" s="260"/>
      <c r="L81" s="260"/>
      <c r="M81" s="53"/>
      <c r="N81" s="260" t="s">
        <v>473</v>
      </c>
      <c r="O81" s="260"/>
      <c r="P81" s="260"/>
      <c r="Q81" s="260"/>
      <c r="R81" s="260"/>
      <c r="S81" s="53"/>
      <c r="T81" s="260" t="s">
        <v>184</v>
      </c>
      <c r="U81" s="260"/>
      <c r="V81" s="260"/>
      <c r="W81" s="260"/>
      <c r="X81" s="260"/>
      <c r="Y81" s="53"/>
      <c r="Z81" s="260" t="s">
        <v>348</v>
      </c>
      <c r="AA81" s="260"/>
      <c r="AB81" s="260"/>
      <c r="AC81" s="260"/>
      <c r="AD81" s="260"/>
    </row>
    <row r="82" spans="2:30" ht="15.75" hidden="1" customHeight="1">
      <c r="B82" s="260"/>
      <c r="C82" s="260"/>
      <c r="D82" s="260"/>
      <c r="E82" s="260"/>
      <c r="F82" s="260"/>
      <c r="G82" s="53"/>
      <c r="H82" s="260"/>
      <c r="I82" s="260"/>
      <c r="J82" s="260"/>
      <c r="K82" s="260"/>
      <c r="L82" s="260"/>
      <c r="M82" s="53"/>
      <c r="N82" s="260"/>
      <c r="O82" s="260"/>
      <c r="P82" s="260"/>
      <c r="Q82" s="260"/>
      <c r="R82" s="260"/>
      <c r="S82" s="53"/>
      <c r="T82" s="260"/>
      <c r="U82" s="260"/>
      <c r="V82" s="260"/>
      <c r="W82" s="260"/>
      <c r="X82" s="260"/>
      <c r="Y82" s="53"/>
      <c r="Z82" s="260"/>
      <c r="AA82" s="260"/>
      <c r="AB82" s="260"/>
      <c r="AC82" s="260"/>
      <c r="AD82" s="260"/>
    </row>
    <row r="83" spans="2:30" ht="15.75" hidden="1" customHeight="1">
      <c r="B83" s="260"/>
      <c r="C83" s="260"/>
      <c r="D83" s="260"/>
      <c r="E83" s="260"/>
      <c r="F83" s="260"/>
      <c r="G83" s="53"/>
      <c r="H83" s="260"/>
      <c r="I83" s="260"/>
      <c r="J83" s="260"/>
      <c r="K83" s="260"/>
      <c r="L83" s="260"/>
      <c r="M83" s="53"/>
      <c r="N83" s="260"/>
      <c r="O83" s="260"/>
      <c r="P83" s="260"/>
      <c r="Q83" s="260"/>
      <c r="R83" s="260"/>
      <c r="S83" s="53"/>
      <c r="T83" s="260"/>
      <c r="U83" s="260"/>
      <c r="V83" s="260"/>
      <c r="W83" s="260"/>
      <c r="X83" s="260"/>
      <c r="Y83" s="53"/>
      <c r="Z83" s="260"/>
      <c r="AA83" s="260"/>
      <c r="AB83" s="260"/>
      <c r="AC83" s="260"/>
      <c r="AD83" s="260"/>
    </row>
    <row r="84" spans="2:30" ht="3.75" hidden="1" customHeight="1" thickTop="1" thickBot="1"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2:30">
      <c r="B85" s="261" t="str">
        <f>IFERROR(INDEX(Inventari_2[],MATCH(B81,Inventari_2[DESCRIPCION],0),10),"")</f>
        <v/>
      </c>
      <c r="C85" s="261"/>
      <c r="D85" s="261"/>
      <c r="E85" s="261"/>
      <c r="F85" s="261"/>
      <c r="G85" s="53"/>
      <c r="H85" s="261" t="str">
        <f>IFERROR(INDEX(Inventari_2[],MATCH(H81,Inventari_2[DESCRIPCION],0),10),"")</f>
        <v>*LAMP-002*</v>
      </c>
      <c r="I85" s="261"/>
      <c r="J85" s="261"/>
      <c r="K85" s="261"/>
      <c r="L85" s="261"/>
      <c r="M85" s="53"/>
      <c r="N85" s="261" t="str">
        <f>IFERROR(INDEX(Inventari_2[],MATCH(N81,Inventari_2[DESCRIPCION],0),10),"")</f>
        <v>*PORC'001*</v>
      </c>
      <c r="O85" s="261"/>
      <c r="P85" s="261"/>
      <c r="Q85" s="261"/>
      <c r="R85" s="261"/>
      <c r="S85" s="53"/>
      <c r="T85" s="261" t="str">
        <f>IFERROR(INDEX(Inventari_2[],MATCH(T81,Inventari_2[DESCRIPCION],0),10),"")</f>
        <v>*CEPP-00111222*</v>
      </c>
      <c r="U85" s="261"/>
      <c r="V85" s="261"/>
      <c r="W85" s="261"/>
      <c r="X85" s="261"/>
      <c r="Y85" s="53"/>
      <c r="Z85" s="261" t="str">
        <f>IFERROR(INDEX(Inventari_2[],MATCH(Z81,Inventari_2[DESCRIPCION],0),10),"")</f>
        <v>*JUGUE-013*</v>
      </c>
      <c r="AA85" s="261"/>
      <c r="AB85" s="261"/>
      <c r="AC85" s="261"/>
      <c r="AD85" s="261"/>
    </row>
    <row r="86" spans="2:30">
      <c r="B86" s="261"/>
      <c r="C86" s="261"/>
      <c r="D86" s="261"/>
      <c r="E86" s="261"/>
      <c r="F86" s="261"/>
      <c r="G86" s="53"/>
      <c r="H86" s="261"/>
      <c r="I86" s="261"/>
      <c r="J86" s="261"/>
      <c r="K86" s="261"/>
      <c r="L86" s="261"/>
      <c r="M86" s="53"/>
      <c r="N86" s="261"/>
      <c r="O86" s="261"/>
      <c r="P86" s="261"/>
      <c r="Q86" s="261"/>
      <c r="R86" s="261"/>
      <c r="S86" s="53"/>
      <c r="T86" s="261"/>
      <c r="U86" s="261"/>
      <c r="V86" s="261"/>
      <c r="W86" s="261"/>
      <c r="X86" s="261"/>
      <c r="Y86" s="53"/>
      <c r="Z86" s="261"/>
      <c r="AA86" s="261"/>
      <c r="AB86" s="261"/>
      <c r="AC86" s="261"/>
      <c r="AD86" s="261"/>
    </row>
    <row r="87" spans="2:30" ht="7.5" customHeight="1">
      <c r="B87" s="261"/>
      <c r="C87" s="261"/>
      <c r="D87" s="261"/>
      <c r="E87" s="261"/>
      <c r="F87" s="261"/>
      <c r="G87" s="53"/>
      <c r="H87" s="261"/>
      <c r="I87" s="261"/>
      <c r="J87" s="261"/>
      <c r="K87" s="261"/>
      <c r="L87" s="261"/>
      <c r="M87" s="53"/>
      <c r="N87" s="261"/>
      <c r="O87" s="261"/>
      <c r="P87" s="261"/>
      <c r="Q87" s="261"/>
      <c r="R87" s="261"/>
      <c r="S87" s="53"/>
      <c r="T87" s="261"/>
      <c r="U87" s="261"/>
      <c r="V87" s="261"/>
      <c r="W87" s="261"/>
      <c r="X87" s="261"/>
      <c r="Y87" s="53"/>
      <c r="Z87" s="261"/>
      <c r="AA87" s="261"/>
      <c r="AB87" s="261"/>
      <c r="AC87" s="261"/>
      <c r="AD87" s="261"/>
    </row>
    <row r="88" spans="2:30" ht="15.75" hidden="1" customHeight="1">
      <c r="B88" s="261"/>
      <c r="C88" s="261"/>
      <c r="D88" s="261"/>
      <c r="E88" s="261"/>
      <c r="F88" s="261"/>
      <c r="G88" s="53"/>
      <c r="H88" s="261"/>
      <c r="I88" s="261"/>
      <c r="J88" s="261"/>
      <c r="K88" s="261"/>
      <c r="L88" s="261"/>
      <c r="M88" s="53"/>
      <c r="N88" s="261"/>
      <c r="O88" s="261"/>
      <c r="P88" s="261"/>
      <c r="Q88" s="261"/>
      <c r="R88" s="261"/>
      <c r="S88" s="53"/>
      <c r="T88" s="261"/>
      <c r="U88" s="261"/>
      <c r="V88" s="261"/>
      <c r="W88" s="261"/>
      <c r="X88" s="261"/>
      <c r="Y88" s="53"/>
      <c r="Z88" s="261"/>
      <c r="AA88" s="261"/>
      <c r="AB88" s="261"/>
      <c r="AC88" s="261"/>
      <c r="AD88" s="261"/>
    </row>
    <row r="89" spans="2:30" ht="0.75" customHeight="1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2:30" ht="6.75" hidden="1" customHeight="1" thickTop="1" thickBot="1"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2:30" ht="13.5" customHeight="1">
      <c r="B91" s="262" t="s">
        <v>476</v>
      </c>
      <c r="C91" s="262"/>
      <c r="D91" s="262"/>
      <c r="E91" s="262"/>
      <c r="F91" s="262"/>
      <c r="G91" s="53"/>
      <c r="H91" s="260" t="s">
        <v>479</v>
      </c>
      <c r="I91" s="260"/>
      <c r="J91" s="260"/>
      <c r="K91" s="260"/>
      <c r="L91" s="260"/>
      <c r="M91" s="53"/>
      <c r="N91" s="260" t="s">
        <v>623</v>
      </c>
      <c r="O91" s="260"/>
      <c r="P91" s="260"/>
      <c r="Q91" s="260"/>
      <c r="R91" s="260"/>
      <c r="S91" s="53"/>
      <c r="T91" s="260" t="s">
        <v>309</v>
      </c>
      <c r="U91" s="260"/>
      <c r="V91" s="260"/>
      <c r="W91" s="260"/>
      <c r="X91" s="260"/>
      <c r="Y91" s="53"/>
      <c r="Z91" s="260" t="s">
        <v>430</v>
      </c>
      <c r="AA91" s="260"/>
      <c r="AB91" s="260"/>
      <c r="AC91" s="260"/>
      <c r="AD91" s="260"/>
    </row>
    <row r="92" spans="2:30" ht="15.75" hidden="1" customHeight="1">
      <c r="B92" s="262"/>
      <c r="C92" s="262"/>
      <c r="D92" s="262"/>
      <c r="E92" s="262"/>
      <c r="F92" s="262"/>
      <c r="G92" s="53"/>
      <c r="H92" s="260"/>
      <c r="I92" s="260"/>
      <c r="J92" s="260"/>
      <c r="K92" s="260"/>
      <c r="L92" s="260"/>
      <c r="M92" s="53"/>
      <c r="N92" s="260"/>
      <c r="O92" s="260"/>
      <c r="P92" s="260"/>
      <c r="Q92" s="260"/>
      <c r="R92" s="260"/>
      <c r="S92" s="53"/>
      <c r="T92" s="260"/>
      <c r="U92" s="260"/>
      <c r="V92" s="260"/>
      <c r="W92" s="260"/>
      <c r="X92" s="260"/>
      <c r="Y92" s="53"/>
      <c r="Z92" s="260"/>
      <c r="AA92" s="260"/>
      <c r="AB92" s="260"/>
      <c r="AC92" s="260"/>
      <c r="AD92" s="260"/>
    </row>
    <row r="93" spans="2:30" ht="15.75" hidden="1" customHeight="1">
      <c r="B93" s="262"/>
      <c r="C93" s="262"/>
      <c r="D93" s="262"/>
      <c r="E93" s="262"/>
      <c r="F93" s="262"/>
      <c r="G93" s="53"/>
      <c r="H93" s="260"/>
      <c r="I93" s="260"/>
      <c r="J93" s="260"/>
      <c r="K93" s="260"/>
      <c r="L93" s="260"/>
      <c r="M93" s="53"/>
      <c r="N93" s="260"/>
      <c r="O93" s="260"/>
      <c r="P93" s="260"/>
      <c r="Q93" s="260"/>
      <c r="R93" s="260"/>
      <c r="S93" s="53"/>
      <c r="T93" s="260"/>
      <c r="U93" s="260"/>
      <c r="V93" s="260"/>
      <c r="W93" s="260"/>
      <c r="X93" s="260"/>
      <c r="Y93" s="53"/>
      <c r="Z93" s="260"/>
      <c r="AA93" s="260"/>
      <c r="AB93" s="260"/>
      <c r="AC93" s="260"/>
      <c r="AD93" s="260"/>
    </row>
    <row r="94" spans="2:30" ht="3.75" hidden="1" customHeight="1" thickTop="1" thickBot="1"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2:30">
      <c r="B95" s="261" t="str">
        <f>IFERROR(INDEX(Inventari_2[],MATCH(B91,Inventari_2[DESCRIPCION],0),10),"")</f>
        <v/>
      </c>
      <c r="C95" s="261"/>
      <c r="D95" s="261"/>
      <c r="E95" s="261"/>
      <c r="F95" s="261"/>
      <c r="G95" s="53"/>
      <c r="H95" s="261" t="str">
        <f>IFERROR(INDEX(Inventari_2[],MATCH(H91,Inventari_2[DESCRIPCION],0),10),"")</f>
        <v/>
      </c>
      <c r="I95" s="261"/>
      <c r="J95" s="261"/>
      <c r="K95" s="261"/>
      <c r="L95" s="261"/>
      <c r="M95" s="53"/>
      <c r="N95" s="261" t="str">
        <f>IFERROR(INDEX(Inventari_2[],MATCH(N91,Inventari_2[DESCRIPCION],0),10),"")</f>
        <v>*TERM-0044*</v>
      </c>
      <c r="O95" s="261"/>
      <c r="P95" s="261"/>
      <c r="Q95" s="261"/>
      <c r="R95" s="261"/>
      <c r="S95" s="53"/>
      <c r="T95" s="261" t="str">
        <f>IFERROR(INDEX(Inventari_2[],MATCH(T91,Inventari_2[DESCRIPCION],0),10),"")</f>
        <v>*LAMP-001*</v>
      </c>
      <c r="U95" s="261"/>
      <c r="V95" s="261"/>
      <c r="W95" s="261"/>
      <c r="X95" s="261"/>
      <c r="Y95" s="53"/>
      <c r="Z95" s="261" t="str">
        <f>IFERROR(INDEX(Inventari_2[],MATCH(Z91,Inventari_2[DESCRIPCION],0),10),"")</f>
        <v>*POCI-011*</v>
      </c>
      <c r="AA95" s="261"/>
      <c r="AB95" s="261"/>
      <c r="AC95" s="261"/>
      <c r="AD95" s="261"/>
    </row>
    <row r="96" spans="2:30">
      <c r="B96" s="261"/>
      <c r="C96" s="261"/>
      <c r="D96" s="261"/>
      <c r="E96" s="261"/>
      <c r="F96" s="261"/>
      <c r="G96" s="53"/>
      <c r="H96" s="261"/>
      <c r="I96" s="261"/>
      <c r="J96" s="261"/>
      <c r="K96" s="261"/>
      <c r="L96" s="261"/>
      <c r="M96" s="53"/>
      <c r="N96" s="261"/>
      <c r="O96" s="261"/>
      <c r="P96" s="261"/>
      <c r="Q96" s="261"/>
      <c r="R96" s="261"/>
      <c r="S96" s="53"/>
      <c r="T96" s="261"/>
      <c r="U96" s="261"/>
      <c r="V96" s="261"/>
      <c r="W96" s="261"/>
      <c r="X96" s="261"/>
      <c r="Y96" s="53"/>
      <c r="Z96" s="261"/>
      <c r="AA96" s="261"/>
      <c r="AB96" s="261"/>
      <c r="AC96" s="261"/>
      <c r="AD96" s="261"/>
    </row>
    <row r="97" spans="2:30" ht="4.5" customHeight="1">
      <c r="B97" s="261"/>
      <c r="C97" s="261"/>
      <c r="D97" s="261"/>
      <c r="E97" s="261"/>
      <c r="F97" s="261"/>
      <c r="G97" s="53"/>
      <c r="H97" s="261"/>
      <c r="I97" s="261"/>
      <c r="J97" s="261"/>
      <c r="K97" s="261"/>
      <c r="L97" s="261"/>
      <c r="M97" s="53"/>
      <c r="N97" s="261"/>
      <c r="O97" s="261"/>
      <c r="P97" s="261"/>
      <c r="Q97" s="261"/>
      <c r="R97" s="261"/>
      <c r="S97" s="53"/>
      <c r="T97" s="261"/>
      <c r="U97" s="261"/>
      <c r="V97" s="261"/>
      <c r="W97" s="261"/>
      <c r="X97" s="261"/>
      <c r="Y97" s="53"/>
      <c r="Z97" s="261"/>
      <c r="AA97" s="261"/>
      <c r="AB97" s="261"/>
      <c r="AC97" s="261"/>
      <c r="AD97" s="261"/>
    </row>
    <row r="98" spans="2:30" ht="2.25" hidden="1" customHeight="1" thickTop="1" thickBot="1">
      <c r="B98" s="261"/>
      <c r="C98" s="261"/>
      <c r="D98" s="261"/>
      <c r="E98" s="261"/>
      <c r="F98" s="261"/>
      <c r="G98" s="53"/>
      <c r="H98" s="261"/>
      <c r="I98" s="261"/>
      <c r="J98" s="261"/>
      <c r="K98" s="261"/>
      <c r="L98" s="261"/>
      <c r="M98" s="53"/>
      <c r="N98" s="261"/>
      <c r="O98" s="261"/>
      <c r="P98" s="261"/>
      <c r="Q98" s="261"/>
      <c r="R98" s="261"/>
      <c r="S98" s="53"/>
      <c r="T98" s="261"/>
      <c r="U98" s="261"/>
      <c r="V98" s="261"/>
      <c r="W98" s="261"/>
      <c r="X98" s="261"/>
      <c r="Y98" s="53"/>
      <c r="Z98" s="261"/>
      <c r="AA98" s="261"/>
      <c r="AB98" s="261"/>
      <c r="AC98" s="261"/>
      <c r="AD98" s="261"/>
    </row>
    <row r="99" spans="2:30" ht="2.25" hidden="1" customHeight="1" thickTop="1" thickBot="1"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2:30" ht="3.75" hidden="1" customHeight="1" thickTop="1" thickBot="1"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2:30" ht="5.25" hidden="1" customHeight="1" thickTop="1" thickBot="1"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2:30">
      <c r="B102" s="262" t="s">
        <v>245</v>
      </c>
      <c r="C102" s="262"/>
      <c r="D102" s="262"/>
      <c r="E102" s="262"/>
      <c r="F102" s="262"/>
      <c r="G102" s="53"/>
      <c r="H102" s="260" t="s">
        <v>242</v>
      </c>
      <c r="I102" s="260"/>
      <c r="J102" s="260"/>
      <c r="K102" s="260"/>
      <c r="L102" s="260"/>
      <c r="M102" s="53"/>
      <c r="N102" s="260" t="s">
        <v>488</v>
      </c>
      <c r="O102" s="260"/>
      <c r="P102" s="260"/>
      <c r="Q102" s="260"/>
      <c r="R102" s="260"/>
      <c r="S102" s="53"/>
      <c r="T102" s="262" t="s">
        <v>315</v>
      </c>
      <c r="U102" s="262"/>
      <c r="V102" s="262"/>
      <c r="W102" s="262"/>
      <c r="X102" s="262"/>
      <c r="Y102" s="53"/>
      <c r="Z102" s="260" t="s">
        <v>612</v>
      </c>
      <c r="AA102" s="260"/>
      <c r="AB102" s="260"/>
      <c r="AC102" s="260"/>
      <c r="AD102" s="260"/>
    </row>
    <row r="103" spans="2:30" ht="1.5" customHeight="1">
      <c r="B103" s="262"/>
      <c r="C103" s="262"/>
      <c r="D103" s="262"/>
      <c r="E103" s="262"/>
      <c r="F103" s="262"/>
      <c r="G103" s="53"/>
      <c r="H103" s="260"/>
      <c r="I103" s="260"/>
      <c r="J103" s="260"/>
      <c r="K103" s="260"/>
      <c r="L103" s="260"/>
      <c r="M103" s="53"/>
      <c r="N103" s="260"/>
      <c r="O103" s="260"/>
      <c r="P103" s="260"/>
      <c r="Q103" s="260"/>
      <c r="R103" s="260"/>
      <c r="S103" s="53"/>
      <c r="T103" s="262"/>
      <c r="U103" s="262"/>
      <c r="V103" s="262"/>
      <c r="W103" s="262"/>
      <c r="X103" s="262"/>
      <c r="Y103" s="53"/>
      <c r="Z103" s="260"/>
      <c r="AA103" s="260"/>
      <c r="AB103" s="260"/>
      <c r="AC103" s="260"/>
      <c r="AD103" s="260"/>
    </row>
    <row r="104" spans="2:30" ht="15.75" hidden="1" customHeight="1">
      <c r="B104" s="262"/>
      <c r="C104" s="262"/>
      <c r="D104" s="262"/>
      <c r="E104" s="262"/>
      <c r="F104" s="262"/>
      <c r="G104" s="53"/>
      <c r="H104" s="260"/>
      <c r="I104" s="260"/>
      <c r="J104" s="260"/>
      <c r="K104" s="260"/>
      <c r="L104" s="260"/>
      <c r="M104" s="53"/>
      <c r="N104" s="260"/>
      <c r="O104" s="260"/>
      <c r="P104" s="260"/>
      <c r="Q104" s="260"/>
      <c r="R104" s="260"/>
      <c r="S104" s="53"/>
      <c r="T104" s="262"/>
      <c r="U104" s="262"/>
      <c r="V104" s="262"/>
      <c r="W104" s="262"/>
      <c r="X104" s="262"/>
      <c r="Y104" s="53"/>
      <c r="Z104" s="260"/>
      <c r="AA104" s="260"/>
      <c r="AB104" s="260"/>
      <c r="AC104" s="260"/>
      <c r="AD104" s="260"/>
    </row>
    <row r="105" spans="2:30" ht="3" hidden="1" customHeight="1" thickTop="1" thickBot="1"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2:30">
      <c r="B106" s="261" t="str">
        <f>IFERROR(INDEX(Inventari_2[],MATCH(B102,Inventari_2[DESCRIPCION],0),10),"")</f>
        <v>*LAMP-006*</v>
      </c>
      <c r="C106" s="261"/>
      <c r="D106" s="261"/>
      <c r="E106" s="261"/>
      <c r="F106" s="261"/>
      <c r="G106" s="53"/>
      <c r="H106" s="261" t="str">
        <f>IFERROR(INDEX(Inventari_2[],MATCH(H102,Inventari_2[DESCRIPCION],0),10),"")</f>
        <v>*LAMP-007*</v>
      </c>
      <c r="I106" s="261"/>
      <c r="J106" s="261"/>
      <c r="K106" s="261"/>
      <c r="L106" s="261"/>
      <c r="M106" s="53"/>
      <c r="N106" s="261" t="str">
        <f>IFERROR(INDEX(Inventari_2[],MATCH(N102,Inventari_2[DESCRIPCION],0),10),"")</f>
        <v>*]c18456123456221*</v>
      </c>
      <c r="O106" s="261"/>
      <c r="P106" s="261"/>
      <c r="Q106" s="261"/>
      <c r="R106" s="261"/>
      <c r="S106" s="53"/>
      <c r="T106" s="261" t="str">
        <f>IFERROR(INDEX(Inventari_2[],MATCH(T102,Inventari_2[DESCRIPCION],0),10),"")</f>
        <v>*LAMP-009*</v>
      </c>
      <c r="U106" s="261"/>
      <c r="V106" s="261"/>
      <c r="W106" s="261"/>
      <c r="X106" s="261"/>
      <c r="Y106" s="53"/>
      <c r="Z106" s="261" t="str">
        <f>IFERROR(INDEX(Inventari_2[],MATCH(Z102,Inventari_2[DESCRIPCION],0),10),"")</f>
        <v>*TAPE'001*</v>
      </c>
      <c r="AA106" s="261"/>
      <c r="AB106" s="261"/>
      <c r="AC106" s="261"/>
      <c r="AD106" s="261"/>
    </row>
    <row r="107" spans="2:30">
      <c r="B107" s="261"/>
      <c r="C107" s="261"/>
      <c r="D107" s="261"/>
      <c r="E107" s="261"/>
      <c r="F107" s="261"/>
      <c r="G107" s="53"/>
      <c r="H107" s="261"/>
      <c r="I107" s="261"/>
      <c r="J107" s="261"/>
      <c r="K107" s="261"/>
      <c r="L107" s="261"/>
      <c r="M107" s="53"/>
      <c r="N107" s="261"/>
      <c r="O107" s="261"/>
      <c r="P107" s="261"/>
      <c r="Q107" s="261"/>
      <c r="R107" s="261"/>
      <c r="S107" s="53"/>
      <c r="T107" s="261"/>
      <c r="U107" s="261"/>
      <c r="V107" s="261"/>
      <c r="W107" s="261"/>
      <c r="X107" s="261"/>
      <c r="Y107" s="53"/>
      <c r="Z107" s="261"/>
      <c r="AA107" s="261"/>
      <c r="AB107" s="261"/>
      <c r="AC107" s="261"/>
      <c r="AD107" s="261"/>
    </row>
    <row r="108" spans="2:30" ht="15.75" hidden="1" customHeight="1">
      <c r="B108" s="261"/>
      <c r="C108" s="261"/>
      <c r="D108" s="261"/>
      <c r="E108" s="261"/>
      <c r="F108" s="261"/>
      <c r="G108" s="53"/>
      <c r="H108" s="261"/>
      <c r="I108" s="261"/>
      <c r="J108" s="261"/>
      <c r="K108" s="261"/>
      <c r="L108" s="261"/>
      <c r="M108" s="53"/>
      <c r="N108" s="261"/>
      <c r="O108" s="261"/>
      <c r="P108" s="261"/>
      <c r="Q108" s="261"/>
      <c r="R108" s="261"/>
      <c r="S108" s="53"/>
      <c r="T108" s="261"/>
      <c r="U108" s="261"/>
      <c r="V108" s="261"/>
      <c r="W108" s="261"/>
      <c r="X108" s="261"/>
      <c r="Y108" s="53"/>
      <c r="Z108" s="261"/>
      <c r="AA108" s="261"/>
      <c r="AB108" s="261"/>
      <c r="AC108" s="261"/>
      <c r="AD108" s="261"/>
    </row>
    <row r="109" spans="2:30" ht="6.75" customHeight="1">
      <c r="B109" s="261"/>
      <c r="C109" s="261"/>
      <c r="D109" s="261"/>
      <c r="E109" s="261"/>
      <c r="F109" s="261"/>
      <c r="G109" s="53"/>
      <c r="H109" s="261"/>
      <c r="I109" s="261"/>
      <c r="J109" s="261"/>
      <c r="K109" s="261"/>
      <c r="L109" s="261"/>
      <c r="M109" s="53"/>
      <c r="N109" s="261"/>
      <c r="O109" s="261"/>
      <c r="P109" s="261"/>
      <c r="Q109" s="261"/>
      <c r="R109" s="261"/>
      <c r="S109" s="53"/>
      <c r="T109" s="261"/>
      <c r="U109" s="261"/>
      <c r="V109" s="261"/>
      <c r="W109" s="261"/>
      <c r="X109" s="261"/>
      <c r="Y109" s="53"/>
      <c r="Z109" s="261"/>
      <c r="AA109" s="261"/>
      <c r="AB109" s="261"/>
      <c r="AC109" s="261"/>
      <c r="AD109" s="261"/>
    </row>
    <row r="110" spans="2:30" ht="3" hidden="1" customHeight="1" thickTop="1" thickBot="1"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2:30" ht="3.75" hidden="1" customHeight="1" thickTop="1" thickBot="1"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2:30" ht="3" hidden="1" customHeight="1" thickTop="1" thickBot="1"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2:30">
      <c r="B113" s="260" t="s">
        <v>192</v>
      </c>
      <c r="C113" s="260"/>
      <c r="D113" s="260"/>
      <c r="E113" s="260"/>
      <c r="F113" s="260"/>
      <c r="G113" s="53"/>
      <c r="H113" s="260" t="s">
        <v>178</v>
      </c>
      <c r="I113" s="260"/>
      <c r="J113" s="260"/>
      <c r="K113" s="260"/>
      <c r="L113" s="260"/>
      <c r="M113" s="53"/>
      <c r="N113" s="260" t="s">
        <v>83</v>
      </c>
      <c r="O113" s="260"/>
      <c r="P113" s="260"/>
      <c r="Q113" s="260"/>
      <c r="R113" s="260"/>
      <c r="S113" s="53"/>
      <c r="T113" s="260" t="s">
        <v>412</v>
      </c>
      <c r="U113" s="260"/>
      <c r="V113" s="260"/>
      <c r="W113" s="260"/>
      <c r="X113" s="260"/>
      <c r="Y113" s="53"/>
      <c r="Z113" s="260" t="s">
        <v>612</v>
      </c>
      <c r="AA113" s="260"/>
      <c r="AB113" s="260"/>
      <c r="AC113" s="260"/>
      <c r="AD113" s="260"/>
    </row>
    <row r="114" spans="2:30" ht="2.25" customHeight="1">
      <c r="B114" s="260"/>
      <c r="C114" s="260"/>
      <c r="D114" s="260"/>
      <c r="E114" s="260"/>
      <c r="F114" s="260"/>
      <c r="G114" s="53"/>
      <c r="H114" s="260"/>
      <c r="I114" s="260"/>
      <c r="J114" s="260"/>
      <c r="K114" s="260"/>
      <c r="L114" s="260"/>
      <c r="M114" s="53"/>
      <c r="N114" s="260"/>
      <c r="O114" s="260"/>
      <c r="P114" s="260"/>
      <c r="Q114" s="260"/>
      <c r="R114" s="260"/>
      <c r="S114" s="53"/>
      <c r="T114" s="260"/>
      <c r="U114" s="260"/>
      <c r="V114" s="260"/>
      <c r="W114" s="260"/>
      <c r="X114" s="260"/>
      <c r="Y114" s="53"/>
      <c r="Z114" s="260"/>
      <c r="AA114" s="260"/>
      <c r="AB114" s="260"/>
      <c r="AC114" s="260"/>
      <c r="AD114" s="260"/>
    </row>
    <row r="115" spans="2:30" ht="15.75" hidden="1" customHeight="1">
      <c r="B115" s="260"/>
      <c r="C115" s="260"/>
      <c r="D115" s="260"/>
      <c r="E115" s="260"/>
      <c r="F115" s="260"/>
      <c r="G115" s="53"/>
      <c r="H115" s="260"/>
      <c r="I115" s="260"/>
      <c r="J115" s="260"/>
      <c r="K115" s="260"/>
      <c r="L115" s="260"/>
      <c r="M115" s="53"/>
      <c r="N115" s="260"/>
      <c r="O115" s="260"/>
      <c r="P115" s="260"/>
      <c r="Q115" s="260"/>
      <c r="R115" s="260"/>
      <c r="S115" s="53"/>
      <c r="T115" s="260"/>
      <c r="U115" s="260"/>
      <c r="V115" s="260"/>
      <c r="W115" s="260"/>
      <c r="X115" s="260"/>
      <c r="Y115" s="53"/>
      <c r="Z115" s="260"/>
      <c r="AA115" s="260"/>
      <c r="AB115" s="260"/>
      <c r="AC115" s="260"/>
      <c r="AD115" s="260"/>
    </row>
    <row r="116" spans="2:30" ht="3.75" hidden="1" customHeight="1" thickTop="1" thickBot="1"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2:30">
      <c r="B117" s="261" t="str">
        <f>IFERROR(INDEX(Inventari_2[],MATCH(B113,Inventari_2[DESCRIPCION],0),10),"")</f>
        <v>*CINB'011*</v>
      </c>
      <c r="C117" s="261"/>
      <c r="D117" s="261"/>
      <c r="E117" s="261"/>
      <c r="F117" s="261"/>
      <c r="G117" s="53"/>
      <c r="H117" s="261" t="str">
        <f>IFERROR(INDEX(Inventari_2[],MATCH(H113,Inventari_2[DESCRIPCION],0),10),"")</f>
        <v>*CAR'004*</v>
      </c>
      <c r="I117" s="261"/>
      <c r="J117" s="261"/>
      <c r="K117" s="261"/>
      <c r="L117" s="261"/>
      <c r="M117" s="53"/>
      <c r="N117" s="261" t="str">
        <f>IFERROR(INDEX(Inventari_2[],MATCH(N113,Inventari_2[DESCRIPCION],0),10),"")</f>
        <v/>
      </c>
      <c r="O117" s="261"/>
      <c r="P117" s="261"/>
      <c r="Q117" s="261"/>
      <c r="R117" s="261"/>
      <c r="S117" s="53"/>
      <c r="T117" s="261" t="str">
        <f>IFERROR(INDEX(Inventari_2[],MATCH(T113,Inventari_2[DESCRIPCION],0),10),"")</f>
        <v/>
      </c>
      <c r="U117" s="261"/>
      <c r="V117" s="261"/>
      <c r="W117" s="261"/>
      <c r="X117" s="261"/>
      <c r="Y117" s="53"/>
      <c r="Z117" s="261" t="str">
        <f>IFERROR(INDEX(Inventari_2[],MATCH(Z113,Inventari_2[DESCRIPCION],0),10),"")</f>
        <v>*TAPE'001*</v>
      </c>
      <c r="AA117" s="261"/>
      <c r="AB117" s="261"/>
      <c r="AC117" s="261"/>
      <c r="AD117" s="261"/>
    </row>
    <row r="118" spans="2:30" ht="19.5" customHeight="1">
      <c r="B118" s="261"/>
      <c r="C118" s="261"/>
      <c r="D118" s="261"/>
      <c r="E118" s="261"/>
      <c r="F118" s="261"/>
      <c r="G118" s="53"/>
      <c r="H118" s="261"/>
      <c r="I118" s="261"/>
      <c r="J118" s="261"/>
      <c r="K118" s="261"/>
      <c r="L118" s="261"/>
      <c r="M118" s="53"/>
      <c r="N118" s="261"/>
      <c r="O118" s="261"/>
      <c r="P118" s="261"/>
      <c r="Q118" s="261"/>
      <c r="R118" s="261"/>
      <c r="S118" s="53"/>
      <c r="T118" s="261"/>
      <c r="U118" s="261"/>
      <c r="V118" s="261"/>
      <c r="W118" s="261"/>
      <c r="X118" s="261"/>
      <c r="Y118" s="53"/>
      <c r="Z118" s="261"/>
      <c r="AA118" s="261"/>
      <c r="AB118" s="261"/>
      <c r="AC118" s="261"/>
      <c r="AD118" s="261"/>
    </row>
    <row r="119" spans="2:30" ht="15.75" hidden="1" customHeight="1">
      <c r="B119" s="261"/>
      <c r="C119" s="261"/>
      <c r="D119" s="261"/>
      <c r="E119" s="261"/>
      <c r="F119" s="261"/>
      <c r="G119" s="53"/>
      <c r="H119" s="261"/>
      <c r="I119" s="261"/>
      <c r="J119" s="261"/>
      <c r="K119" s="261"/>
      <c r="L119" s="261"/>
      <c r="M119" s="53"/>
      <c r="N119" s="261"/>
      <c r="O119" s="261"/>
      <c r="P119" s="261"/>
      <c r="Q119" s="261"/>
      <c r="R119" s="261"/>
      <c r="S119" s="53"/>
      <c r="T119" s="261"/>
      <c r="U119" s="261"/>
      <c r="V119" s="261"/>
      <c r="W119" s="261"/>
      <c r="X119" s="261"/>
      <c r="Y119" s="53"/>
      <c r="Z119" s="261"/>
      <c r="AA119" s="261"/>
      <c r="AB119" s="261"/>
      <c r="AC119" s="261"/>
      <c r="AD119" s="261"/>
    </row>
    <row r="120" spans="2:30" ht="15.75" hidden="1" customHeight="1">
      <c r="B120" s="261"/>
      <c r="C120" s="261"/>
      <c r="D120" s="261"/>
      <c r="E120" s="261"/>
      <c r="F120" s="261"/>
      <c r="G120" s="53"/>
      <c r="H120" s="261"/>
      <c r="I120" s="261"/>
      <c r="J120" s="261"/>
      <c r="K120" s="261"/>
      <c r="L120" s="261"/>
      <c r="M120" s="53"/>
      <c r="N120" s="261"/>
      <c r="O120" s="261"/>
      <c r="P120" s="261"/>
      <c r="Q120" s="261"/>
      <c r="R120" s="261"/>
      <c r="S120" s="53"/>
      <c r="T120" s="261"/>
      <c r="U120" s="261"/>
      <c r="V120" s="261"/>
      <c r="W120" s="261"/>
      <c r="X120" s="261"/>
      <c r="Y120" s="53"/>
      <c r="Z120" s="261"/>
      <c r="AA120" s="261"/>
      <c r="AB120" s="261"/>
      <c r="AC120" s="261"/>
      <c r="AD120" s="261"/>
    </row>
    <row r="121" spans="2:30" ht="2.25" hidden="1" customHeight="1" thickTop="1" thickBot="1"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2:30" ht="3" hidden="1" customHeight="1" thickTop="1" thickBot="1"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2:30" ht="5.25" hidden="1" customHeight="1" thickTop="1" thickBot="1"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2:30">
      <c r="B124" s="260" t="s">
        <v>100</v>
      </c>
      <c r="C124" s="260"/>
      <c r="D124" s="260"/>
      <c r="E124" s="260"/>
      <c r="F124" s="260"/>
      <c r="G124" s="53"/>
      <c r="H124" s="260" t="s">
        <v>228</v>
      </c>
      <c r="I124" s="260"/>
      <c r="J124" s="260"/>
      <c r="K124" s="260"/>
      <c r="L124" s="260"/>
      <c r="M124" s="53"/>
      <c r="N124" s="260" t="s">
        <v>222</v>
      </c>
      <c r="O124" s="260"/>
      <c r="P124" s="260"/>
      <c r="Q124" s="260"/>
      <c r="R124" s="260"/>
      <c r="S124" s="53"/>
      <c r="T124" s="260" t="s">
        <v>422</v>
      </c>
      <c r="U124" s="260"/>
      <c r="V124" s="260"/>
      <c r="W124" s="260"/>
      <c r="X124" s="260"/>
      <c r="Y124" s="53"/>
      <c r="Z124" s="260" t="s">
        <v>63</v>
      </c>
      <c r="AA124" s="260"/>
      <c r="AB124" s="260"/>
      <c r="AC124" s="260"/>
      <c r="AD124" s="260"/>
    </row>
    <row r="125" spans="2:30" ht="4.5" customHeight="1">
      <c r="B125" s="260"/>
      <c r="C125" s="260"/>
      <c r="D125" s="260"/>
      <c r="E125" s="260"/>
      <c r="F125" s="260"/>
      <c r="G125" s="53"/>
      <c r="H125" s="260"/>
      <c r="I125" s="260"/>
      <c r="J125" s="260"/>
      <c r="K125" s="260"/>
      <c r="L125" s="260"/>
      <c r="M125" s="53"/>
      <c r="N125" s="260"/>
      <c r="O125" s="260"/>
      <c r="P125" s="260"/>
      <c r="Q125" s="260"/>
      <c r="R125" s="260"/>
      <c r="S125" s="53"/>
      <c r="T125" s="260"/>
      <c r="U125" s="260"/>
      <c r="V125" s="260"/>
      <c r="W125" s="260"/>
      <c r="X125" s="260"/>
      <c r="Y125" s="53"/>
      <c r="Z125" s="260"/>
      <c r="AA125" s="260"/>
      <c r="AB125" s="260"/>
      <c r="AC125" s="260"/>
      <c r="AD125" s="260"/>
    </row>
    <row r="126" spans="2:30" ht="15.75" hidden="1" customHeight="1">
      <c r="B126" s="260"/>
      <c r="C126" s="260"/>
      <c r="D126" s="260"/>
      <c r="E126" s="260"/>
      <c r="F126" s="260"/>
      <c r="G126" s="53"/>
      <c r="H126" s="260"/>
      <c r="I126" s="260"/>
      <c r="J126" s="260"/>
      <c r="K126" s="260"/>
      <c r="L126" s="260"/>
      <c r="M126" s="53"/>
      <c r="N126" s="260"/>
      <c r="O126" s="260"/>
      <c r="P126" s="260"/>
      <c r="Q126" s="260"/>
      <c r="R126" s="260"/>
      <c r="S126" s="53"/>
      <c r="T126" s="260"/>
      <c r="U126" s="260"/>
      <c r="V126" s="260"/>
      <c r="W126" s="260"/>
      <c r="X126" s="260"/>
      <c r="Y126" s="53"/>
      <c r="Z126" s="260"/>
      <c r="AA126" s="260"/>
      <c r="AB126" s="260"/>
      <c r="AC126" s="260"/>
      <c r="AD126" s="260"/>
    </row>
    <row r="127" spans="2:30" ht="6" hidden="1" customHeight="1" thickTop="1" thickBot="1"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2:30">
      <c r="B128" s="261" t="str">
        <f>IFERROR(INDEX(Inventari_2[],MATCH(B124,Inventari_2[DESCRIPCION],0),10),"")</f>
        <v>*BOLS'010*</v>
      </c>
      <c r="C128" s="261"/>
      <c r="D128" s="261"/>
      <c r="E128" s="261"/>
      <c r="F128" s="261"/>
      <c r="G128" s="53"/>
      <c r="H128" s="261" t="str">
        <f>IFERROR(INDEX(Inventari_2[],MATCH(H124,Inventari_2[DESCRIPCION],0),10),"")</f>
        <v>*DIA-001*</v>
      </c>
      <c r="I128" s="261"/>
      <c r="J128" s="261"/>
      <c r="K128" s="261"/>
      <c r="L128" s="261"/>
      <c r="M128" s="53"/>
      <c r="N128" s="261" t="str">
        <f>IFERROR(INDEX(Inventari_2[],MATCH(N124,Inventari_2[DESCRIPCION],0),10),"")</f>
        <v>*6920190325124*</v>
      </c>
      <c r="O128" s="261"/>
      <c r="P128" s="261"/>
      <c r="Q128" s="261"/>
      <c r="R128" s="261"/>
      <c r="S128" s="53"/>
      <c r="T128" s="261" t="str">
        <f>IFERROR(INDEX(Inventari_2[],MATCH(T124,Inventari_2[DESCRIPCION],0),10),"")</f>
        <v>*MOR'001*</v>
      </c>
      <c r="U128" s="261"/>
      <c r="V128" s="261"/>
      <c r="W128" s="261"/>
      <c r="X128" s="261"/>
      <c r="Y128" s="53"/>
      <c r="Z128" s="261" t="str">
        <f>IFERROR(INDEX(Inventari_2[],MATCH(Z124,Inventari_2[DESCRIPCION],0),10),"")</f>
        <v>*ESCP'015*</v>
      </c>
      <c r="AA128" s="261"/>
      <c r="AB128" s="261"/>
      <c r="AC128" s="261"/>
      <c r="AD128" s="261"/>
    </row>
    <row r="129" spans="2:30">
      <c r="B129" s="261"/>
      <c r="C129" s="261"/>
      <c r="D129" s="261"/>
      <c r="E129" s="261"/>
      <c r="F129" s="261"/>
      <c r="G129" s="53"/>
      <c r="H129" s="261"/>
      <c r="I129" s="261"/>
      <c r="J129" s="261"/>
      <c r="K129" s="261"/>
      <c r="L129" s="261"/>
      <c r="M129" s="53"/>
      <c r="N129" s="261"/>
      <c r="O129" s="261"/>
      <c r="P129" s="261"/>
      <c r="Q129" s="261"/>
      <c r="R129" s="261"/>
      <c r="S129" s="53"/>
      <c r="T129" s="261"/>
      <c r="U129" s="261"/>
      <c r="V129" s="261"/>
      <c r="W129" s="261"/>
      <c r="X129" s="261"/>
      <c r="Y129" s="53"/>
      <c r="Z129" s="261"/>
      <c r="AA129" s="261"/>
      <c r="AB129" s="261"/>
      <c r="AC129" s="261"/>
      <c r="AD129" s="261"/>
    </row>
    <row r="130" spans="2:30" ht="6" customHeight="1">
      <c r="B130" s="261"/>
      <c r="C130" s="261"/>
      <c r="D130" s="261"/>
      <c r="E130" s="261"/>
      <c r="F130" s="261"/>
      <c r="G130" s="53"/>
      <c r="H130" s="261"/>
      <c r="I130" s="261"/>
      <c r="J130" s="261"/>
      <c r="K130" s="261"/>
      <c r="L130" s="261"/>
      <c r="M130" s="53"/>
      <c r="N130" s="261"/>
      <c r="O130" s="261"/>
      <c r="P130" s="261"/>
      <c r="Q130" s="261"/>
      <c r="R130" s="261"/>
      <c r="S130" s="53"/>
      <c r="T130" s="261"/>
      <c r="U130" s="261"/>
      <c r="V130" s="261"/>
      <c r="W130" s="261"/>
      <c r="X130" s="261"/>
      <c r="Y130" s="53"/>
      <c r="Z130" s="261"/>
      <c r="AA130" s="261"/>
      <c r="AB130" s="261"/>
      <c r="AC130" s="261"/>
      <c r="AD130" s="261"/>
    </row>
    <row r="131" spans="2:30" ht="3" customHeight="1">
      <c r="B131" s="261"/>
      <c r="C131" s="261"/>
      <c r="D131" s="261"/>
      <c r="E131" s="261"/>
      <c r="F131" s="261"/>
      <c r="G131" s="53"/>
      <c r="H131" s="261"/>
      <c r="I131" s="261"/>
      <c r="J131" s="261"/>
      <c r="K131" s="261"/>
      <c r="L131" s="261"/>
      <c r="M131" s="53"/>
      <c r="N131" s="261"/>
      <c r="O131" s="261"/>
      <c r="P131" s="261"/>
      <c r="Q131" s="261"/>
      <c r="R131" s="261"/>
      <c r="S131" s="53"/>
      <c r="T131" s="261"/>
      <c r="U131" s="261"/>
      <c r="V131" s="261"/>
      <c r="W131" s="261"/>
      <c r="X131" s="261"/>
      <c r="Y131" s="53"/>
      <c r="Z131" s="261"/>
      <c r="AA131" s="261"/>
      <c r="AB131" s="261"/>
      <c r="AC131" s="261"/>
      <c r="AD131" s="261"/>
    </row>
  </sheetData>
  <mergeCells count="120">
    <mergeCell ref="Z124:AD126"/>
    <mergeCell ref="Z128:AD131"/>
    <mergeCell ref="Z95:AD98"/>
    <mergeCell ref="Z102:AD104"/>
    <mergeCell ref="Z106:AD109"/>
    <mergeCell ref="Z113:AD115"/>
    <mergeCell ref="Z117:AD120"/>
    <mergeCell ref="Z70:AD72"/>
    <mergeCell ref="Z74:AD77"/>
    <mergeCell ref="Z81:AD83"/>
    <mergeCell ref="Z85:AD88"/>
    <mergeCell ref="Z91:AD93"/>
    <mergeCell ref="B128:F131"/>
    <mergeCell ref="H128:L131"/>
    <mergeCell ref="N128:R131"/>
    <mergeCell ref="T128:X131"/>
    <mergeCell ref="Z3:AD5"/>
    <mergeCell ref="Z7:AD10"/>
    <mergeCell ref="Z14:AD16"/>
    <mergeCell ref="Z18:AD21"/>
    <mergeCell ref="Z26:AD28"/>
    <mergeCell ref="Z30:AD33"/>
    <mergeCell ref="Z37:AD39"/>
    <mergeCell ref="Z41:AD44"/>
    <mergeCell ref="Z48:AD50"/>
    <mergeCell ref="Z52:AD55"/>
    <mergeCell ref="Z59:AD61"/>
    <mergeCell ref="Z63:AD66"/>
    <mergeCell ref="B117:F120"/>
    <mergeCell ref="H117:L120"/>
    <mergeCell ref="N117:R120"/>
    <mergeCell ref="T117:X120"/>
    <mergeCell ref="B124:F126"/>
    <mergeCell ref="H124:L126"/>
    <mergeCell ref="N124:R126"/>
    <mergeCell ref="T124:X126"/>
    <mergeCell ref="B106:F109"/>
    <mergeCell ref="H106:L109"/>
    <mergeCell ref="N106:R109"/>
    <mergeCell ref="T106:X109"/>
    <mergeCell ref="B113:F115"/>
    <mergeCell ref="H113:L115"/>
    <mergeCell ref="N113:R115"/>
    <mergeCell ref="T113:X115"/>
    <mergeCell ref="B95:F98"/>
    <mergeCell ref="H95:L98"/>
    <mergeCell ref="N95:R98"/>
    <mergeCell ref="T95:X98"/>
    <mergeCell ref="B102:F104"/>
    <mergeCell ref="H102:L104"/>
    <mergeCell ref="N102:R104"/>
    <mergeCell ref="T102:X104"/>
    <mergeCell ref="B91:F93"/>
    <mergeCell ref="H91:L93"/>
    <mergeCell ref="N91:R93"/>
    <mergeCell ref="T91:X93"/>
    <mergeCell ref="T14:X16"/>
    <mergeCell ref="T18:X21"/>
    <mergeCell ref="T26:X28"/>
    <mergeCell ref="T30:X33"/>
    <mergeCell ref="T37:X39"/>
    <mergeCell ref="T41:X44"/>
    <mergeCell ref="T48:X50"/>
    <mergeCell ref="T52:X55"/>
    <mergeCell ref="T59:X61"/>
    <mergeCell ref="T63:X66"/>
    <mergeCell ref="T70:X72"/>
    <mergeCell ref="T74:X77"/>
    <mergeCell ref="T81:X83"/>
    <mergeCell ref="H70:L72"/>
    <mergeCell ref="H81:L83"/>
    <mergeCell ref="H85:L88"/>
    <mergeCell ref="B70:F72"/>
    <mergeCell ref="B74:F77"/>
    <mergeCell ref="B81:F83"/>
    <mergeCell ref="B85:F88"/>
    <mergeCell ref="T3:X5"/>
    <mergeCell ref="T7:X10"/>
    <mergeCell ref="N70:R72"/>
    <mergeCell ref="N74:R77"/>
    <mergeCell ref="N81:R83"/>
    <mergeCell ref="N85:R88"/>
    <mergeCell ref="N26:R28"/>
    <mergeCell ref="N30:R33"/>
    <mergeCell ref="N37:R39"/>
    <mergeCell ref="N41:R44"/>
    <mergeCell ref="N48:R50"/>
    <mergeCell ref="N52:R55"/>
    <mergeCell ref="N3:R5"/>
    <mergeCell ref="N7:R10"/>
    <mergeCell ref="N14:R16"/>
    <mergeCell ref="N18:R21"/>
    <mergeCell ref="T85:X88"/>
    <mergeCell ref="H74:L77"/>
    <mergeCell ref="B48:F50"/>
    <mergeCell ref="B52:F55"/>
    <mergeCell ref="B59:F61"/>
    <mergeCell ref="B63:F66"/>
    <mergeCell ref="N59:R61"/>
    <mergeCell ref="N63:R66"/>
    <mergeCell ref="H48:L50"/>
    <mergeCell ref="H52:L55"/>
    <mergeCell ref="H59:L61"/>
    <mergeCell ref="H63:L66"/>
    <mergeCell ref="H3:L5"/>
    <mergeCell ref="H7:L10"/>
    <mergeCell ref="H14:L16"/>
    <mergeCell ref="H18:L21"/>
    <mergeCell ref="B3:F5"/>
    <mergeCell ref="B37:F39"/>
    <mergeCell ref="H37:L39"/>
    <mergeCell ref="B41:F44"/>
    <mergeCell ref="H41:L44"/>
    <mergeCell ref="B7:F10"/>
    <mergeCell ref="H26:L28"/>
    <mergeCell ref="H30:L33"/>
    <mergeCell ref="B14:F16"/>
    <mergeCell ref="B18:F21"/>
    <mergeCell ref="B26:F28"/>
    <mergeCell ref="B30:F33"/>
  </mergeCells>
  <dataValidations count="1">
    <dataValidation type="list" allowBlank="1" showInputMessage="1" showErrorMessage="1" sqref="B3:F5 B14:F16 B26:F28 B37:F39 H3:L5 H14:L16 H26:L28 H37:L39 B48:F50 B59:F61 B70:F72 B81:F83 H48:L50 H59:L61 H70:L72 H81:L83 N3:R5 N14:R16 N26:R28 N37:R39 N48:R50 N59:R61 N70:R72 N81:R83 T3:X5 T14:X16 T26:X28 T37:X39 T48:X50 T59:X61 T70:X72 T81:X83 B91:F93 B102:F104 B113:F115 B124:F126 H91:L93 H102:L104 H113:L115 H124:L126 N91:R93 N102:R104 N113:R115 N124:R126 T91:X93 T102:X104 T113:X115 T124:X126 Z3:AD5 Z14:AD16 Z26:AD28 Z37:AD39 Z48:AD50 Z59:AD61 Z70:AD72 Z81:AD83 Z91:AD93 Z102:AD104 Z113:AD115 Z124:AD126" xr:uid="{F9168AAB-6673-4517-865C-D620BF5DE296}">
      <formula1>INDIRECT("DESCRIP")</formula1>
    </dataValidation>
  </dataValidations>
  <pageMargins left="0.25" right="0.25" top="0.75" bottom="0.75" header="0.3" footer="0.3"/>
  <pageSetup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F5-5AD2-CE4F-B0AD-B2F413B0FB77}">
  <sheetPr codeName="Hoja1"/>
  <dimension ref="A1"/>
  <sheetViews>
    <sheetView zoomScaleNormal="80" zoomScaleSheetLayoutView="100" workbookViewId="0"/>
  </sheetViews>
  <sheetFormatPr baseColWidth="10" defaultColWidth="9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A0122-9007-4934-8DD6-AC443A8D3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inventario llegada</vt:lpstr>
      <vt:lpstr>INVENTARIO</vt:lpstr>
      <vt:lpstr>SALIDAS</vt:lpstr>
      <vt:lpstr>ENTRADA</vt:lpstr>
      <vt:lpstr>BUSCADOR</vt:lpstr>
      <vt:lpstr>GENERADOR</vt:lpstr>
      <vt:lpstr>Hoja1</vt:lpstr>
      <vt:lpstr>GENERADOR!Área_de_impresión</vt:lpstr>
      <vt:lpstr>CODI</vt:lpstr>
      <vt:lpstr>DESCRIP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Cristian Bravo</cp:lastModifiedBy>
  <cp:revision/>
  <dcterms:created xsi:type="dcterms:W3CDTF">2016-02-25T02:48:22Z</dcterms:created>
  <dcterms:modified xsi:type="dcterms:W3CDTF">2026-09-19T21:00:48Z</dcterms:modified>
  <cp:category/>
  <cp:contentStatus/>
</cp:coreProperties>
</file>